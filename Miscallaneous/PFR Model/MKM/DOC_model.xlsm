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1.bin" ContentType="application/vnd.openxmlformats-officedocument.oleObject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lkusima/Desktop/RASH_Research/CO_ox/Kinetics/OOP_Kinetics/MiKi/Miscallaneous/PFR Model/PSSA_PEA/"/>
    </mc:Choice>
  </mc:AlternateContent>
  <xr:revisionPtr revIDLastSave="0" documentId="13_ncr:1_{0A5DC654-B332-D844-8C65-3FAB65F166B1}" xr6:coauthVersionLast="47" xr6:coauthVersionMax="47" xr10:uidLastSave="{00000000-0000-0000-0000-000000000000}"/>
  <bookViews>
    <workbookView xWindow="-38400" yWindow="-500" windowWidth="38400" windowHeight="21100" xr2:uid="{00000000-000D-0000-FFFF-FFFF00000000}"/>
  </bookViews>
  <sheets>
    <sheet name="Cases" sheetId="19" r:id="rId1"/>
    <sheet name="IO" sheetId="1" r:id="rId2"/>
    <sheet name="Model" sheetId="2" r:id="rId3"/>
    <sheet name="surface" sheetId="18" r:id="rId4"/>
    <sheet name="O2" sheetId="15" r:id="rId5"/>
    <sheet name="CO" sheetId="16" r:id="rId6"/>
    <sheet name="NO" sheetId="20" r:id="rId7"/>
    <sheet name="Revisions" sheetId="10" r:id="rId8"/>
    <sheet name="Sheet1" sheetId="17" r:id="rId9"/>
  </sheets>
  <definedNames>
    <definedName name="_xlnm._FilterDatabase" localSheetId="0" hidden="1">Cases!$A$2:$N$206</definedName>
    <definedName name="cal">IO!$B$57</definedName>
    <definedName name="cal_J">IO!$B$80</definedName>
    <definedName name="Case">IO!$A$1</definedName>
    <definedName name="Cases">Cases!$A$3:$N$206</definedName>
    <definedName name="data">#REF!</definedName>
    <definedName name="K1_">IO!$AQ$21</definedName>
    <definedName name="K10_">IO!$AQ$30</definedName>
    <definedName name="k10f">IO!$AK$30</definedName>
    <definedName name="k10r">IO!$AT$30</definedName>
    <definedName name="k1f">IO!$AK$21</definedName>
    <definedName name="k1r">IO!$AT$21</definedName>
    <definedName name="K2_">IO!$AQ$22</definedName>
    <definedName name="k2f">IO!$AK$22</definedName>
    <definedName name="k2r">IO!$AT$22</definedName>
    <definedName name="K3_">IO!$AQ$23</definedName>
    <definedName name="k3f">IO!$AK$23</definedName>
    <definedName name="k3r">IO!$AT$23</definedName>
    <definedName name="K4_">IO!$AQ$24</definedName>
    <definedName name="k4f">IO!$AK$24</definedName>
    <definedName name="k4r">IO!$AT$24</definedName>
    <definedName name="K5_">IO!$AQ$25</definedName>
    <definedName name="k5f">IO!$AK$25</definedName>
    <definedName name="k5r">IO!$AT$25</definedName>
    <definedName name="K6_">IO!$AQ$26</definedName>
    <definedName name="k6f">IO!$AK$26</definedName>
    <definedName name="k6r">IO!$AT$26</definedName>
    <definedName name="K7_">IO!$AQ$27</definedName>
    <definedName name="k7f">IO!$AK$27</definedName>
    <definedName name="k7r">IO!$AT$27</definedName>
    <definedName name="K8_">IO!$AQ$28</definedName>
    <definedName name="k8f">IO!$AK$28</definedName>
    <definedName name="k8r">IO!$AT$28</definedName>
    <definedName name="K9_">IO!$AQ$29</definedName>
    <definedName name="k9f">IO!$AK$29</definedName>
    <definedName name="k9r">IO!$AT$29</definedName>
    <definedName name="nRx">#REF!</definedName>
    <definedName name="P_t">Model!$M$1</definedName>
    <definedName name="Por_306">#REF!</definedName>
    <definedName name="_xlnm.Print_Area" localSheetId="1">IO!$A$1:$AE$19</definedName>
    <definedName name="ratio_3_4">IO!$AG$19</definedName>
    <definedName name="sample">IO!$A$1</definedName>
    <definedName name="solver_adj" localSheetId="1" hidden="1">IO!$AG$24,IO!$AM$21,IO!$AM$22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IO!$AG$91</definedName>
    <definedName name="solver_pre" localSheetId="1" hidden="1">0.000001</definedName>
    <definedName name="solver_rbv" localSheetId="1" hidden="1">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solver_ver" localSheetId="1" hidden="1">3</definedName>
    <definedName name="T_cat">IO!$V$14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79" i="1" l="1"/>
  <c r="AG29" i="1"/>
  <c r="AG25" i="1"/>
  <c r="AI25" i="1"/>
  <c r="AI29" i="1"/>
  <c r="AD81" i="1"/>
  <c r="M17" i="1"/>
  <c r="V14" i="1"/>
  <c r="AK24" i="1" s="1"/>
  <c r="S1" i="1"/>
  <c r="R1" i="1"/>
  <c r="D93" i="19"/>
  <c r="AQ28" i="1" l="1"/>
  <c r="AM29" i="1" s="1"/>
  <c r="AQ29" i="1" s="1"/>
  <c r="AQ27" i="1"/>
  <c r="AQ30" i="1"/>
  <c r="AQ26" i="1"/>
  <c r="AQ25" i="1"/>
  <c r="AQ24" i="1"/>
  <c r="AQ23" i="1"/>
  <c r="AQ21" i="1"/>
  <c r="AQ22" i="1"/>
  <c r="AK29" i="1"/>
  <c r="AK28" i="1"/>
  <c r="AT28" i="1"/>
  <c r="AT30" i="1"/>
  <c r="AT27" i="1"/>
  <c r="AT22" i="1" l="1"/>
  <c r="AC3" i="2" s="1"/>
  <c r="AB2" i="2"/>
  <c r="AC2" i="2"/>
  <c r="AT21" i="1"/>
  <c r="AB3" i="2" s="1"/>
  <c r="AT26" i="1"/>
  <c r="AG3" i="2" s="1"/>
  <c r="AT23" i="1"/>
  <c r="AD3" i="2" s="1"/>
  <c r="B6" i="2"/>
  <c r="A2" i="2"/>
  <c r="M10" i="1"/>
  <c r="M8" i="1"/>
  <c r="M6" i="1"/>
  <c r="M5" i="1"/>
  <c r="N18" i="1"/>
  <c r="AG2" i="2" l="1"/>
  <c r="AD2" i="2"/>
  <c r="A6" i="2"/>
  <c r="M4" i="1"/>
  <c r="B7" i="2" l="1"/>
  <c r="A7" i="2" l="1"/>
  <c r="B8" i="2" s="1"/>
  <c r="A8" i="2" s="1"/>
  <c r="B9" i="2" l="1"/>
  <c r="A9" i="2" s="1"/>
  <c r="B10" i="2" l="1"/>
  <c r="A10" i="2" s="1"/>
  <c r="B11" i="2" l="1"/>
  <c r="A11" i="2" s="1"/>
  <c r="B12" i="2" s="1"/>
  <c r="A12" i="2" l="1"/>
  <c r="B13" i="2" l="1"/>
  <c r="A13" i="2" l="1"/>
  <c r="B14" i="2" l="1"/>
  <c r="A14" i="2" l="1"/>
  <c r="B15" i="2" l="1"/>
  <c r="A15" i="2" l="1"/>
  <c r="B16" i="2" l="1"/>
  <c r="A16" i="2" l="1"/>
  <c r="B17" i="2" l="1"/>
  <c r="A17" i="2" l="1"/>
  <c r="B18" i="2" l="1"/>
  <c r="A18" i="2" l="1"/>
  <c r="B19" i="2" l="1"/>
  <c r="A19" i="2" l="1"/>
  <c r="B20" i="2" l="1"/>
  <c r="A20" i="2" l="1"/>
  <c r="B21" i="2" l="1"/>
  <c r="A21" i="2" l="1"/>
  <c r="B22" i="2" l="1"/>
  <c r="A22" i="2" l="1"/>
  <c r="B23" i="2" l="1"/>
  <c r="A23" i="2" l="1"/>
  <c r="B24" i="2" l="1"/>
  <c r="A24" i="2" l="1"/>
  <c r="B25" i="2" l="1"/>
  <c r="A25" i="2" l="1"/>
  <c r="C9" i="1"/>
  <c r="C8" i="1"/>
  <c r="L77" i="1"/>
  <c r="H77" i="1"/>
  <c r="G77" i="1"/>
  <c r="F77" i="1"/>
  <c r="E77" i="1"/>
  <c r="C71" i="1"/>
  <c r="B26" i="2" l="1"/>
  <c r="A26" i="2" l="1"/>
  <c r="E22" i="17"/>
  <c r="C22" i="17"/>
  <c r="F21" i="17"/>
  <c r="F22" i="17" s="1"/>
  <c r="D21" i="17"/>
  <c r="D22" i="17" s="1"/>
  <c r="X14" i="1"/>
  <c r="B27" i="2" l="1"/>
  <c r="Z4" i="1"/>
  <c r="Z8" i="1"/>
  <c r="Z9" i="1"/>
  <c r="Z7" i="1"/>
  <c r="Z6" i="1"/>
  <c r="Z3" i="1"/>
  <c r="Z5" i="1"/>
  <c r="Z10" i="1"/>
  <c r="E74" i="1"/>
  <c r="F74" i="1"/>
  <c r="G74" i="1"/>
  <c r="H74" i="1"/>
  <c r="L74" i="1"/>
  <c r="E75" i="1"/>
  <c r="F75" i="1"/>
  <c r="G75" i="1"/>
  <c r="H75" i="1"/>
  <c r="L75" i="1"/>
  <c r="E76" i="1"/>
  <c r="F76" i="1"/>
  <c r="G76" i="1"/>
  <c r="H76" i="1"/>
  <c r="L76" i="1"/>
  <c r="C66" i="1"/>
  <c r="L73" i="1"/>
  <c r="C70" i="1"/>
  <c r="C69" i="1"/>
  <c r="C68" i="1"/>
  <c r="H73" i="1"/>
  <c r="G73" i="1"/>
  <c r="F73" i="1"/>
  <c r="E73" i="1"/>
  <c r="C67" i="1"/>
  <c r="D11" i="17"/>
  <c r="D8" i="17"/>
  <c r="C8" i="17"/>
  <c r="D7" i="17"/>
  <c r="C7" i="17"/>
  <c r="D2" i="17"/>
  <c r="A27" i="2" l="1"/>
  <c r="R15" i="1"/>
  <c r="S15" i="1"/>
  <c r="K73" i="1"/>
  <c r="B28" i="2" l="1"/>
  <c r="A28" i="2" l="1"/>
  <c r="T11" i="1"/>
  <c r="U11" i="1"/>
  <c r="M11" i="1"/>
  <c r="B29" i="2" l="1"/>
  <c r="N9" i="1"/>
  <c r="I1" i="2" s="1"/>
  <c r="N10" i="1"/>
  <c r="N8" i="1"/>
  <c r="H1" i="2" s="1"/>
  <c r="N7" i="1"/>
  <c r="G1" i="2" s="1"/>
  <c r="N4" i="1"/>
  <c r="N5" i="1"/>
  <c r="N6" i="1"/>
  <c r="F1" i="2" s="1"/>
  <c r="N3" i="1"/>
  <c r="C1" i="2" s="1"/>
  <c r="E1" i="2" l="1"/>
  <c r="N14" i="1"/>
  <c r="A29" i="2"/>
  <c r="V10" i="1"/>
  <c r="J1" i="2"/>
  <c r="V4" i="1"/>
  <c r="D1" i="2"/>
  <c r="S8" i="1"/>
  <c r="S6" i="1" s="1"/>
  <c r="R5" i="1"/>
  <c r="V5" i="1" s="1"/>
  <c r="W5" i="1" s="1"/>
  <c r="B30" i="2" l="1"/>
  <c r="S9" i="1"/>
  <c r="V9" i="1" s="1"/>
  <c r="W9" i="1" s="1"/>
  <c r="V8" i="1"/>
  <c r="R6" i="1"/>
  <c r="R7" i="1"/>
  <c r="V7" i="1" s="1"/>
  <c r="W7" i="1" s="1"/>
  <c r="A30" i="2" l="1"/>
  <c r="S11" i="1"/>
  <c r="W8" i="1"/>
  <c r="V6" i="1"/>
  <c r="W6" i="1" s="1"/>
  <c r="V3" i="1"/>
  <c r="R11" i="1"/>
  <c r="D10" i="1"/>
  <c r="B31" i="2" l="1"/>
  <c r="Z15" i="1"/>
  <c r="V11" i="1"/>
  <c r="D3" i="1"/>
  <c r="A31" i="2" l="1"/>
  <c r="U13" i="1"/>
  <c r="T13" i="1"/>
  <c r="S13" i="1"/>
  <c r="R13" i="1"/>
  <c r="X9" i="1"/>
  <c r="X8" i="1"/>
  <c r="X3" i="1"/>
  <c r="V12" i="1"/>
  <c r="X4" i="1"/>
  <c r="X5" i="1"/>
  <c r="X7" i="1"/>
  <c r="X6" i="1"/>
  <c r="X10" i="1"/>
  <c r="V13" i="1"/>
  <c r="N13" i="1"/>
  <c r="B32" i="2" l="1"/>
  <c r="X11" i="1"/>
  <c r="M12" i="1"/>
  <c r="A32" i="2" l="1"/>
  <c r="D5" i="2"/>
  <c r="B33" i="2" l="1"/>
  <c r="D6" i="2"/>
  <c r="D7" i="2" l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" i="2" s="1"/>
  <c r="AC4" i="1" s="1"/>
  <c r="A33" i="2"/>
  <c r="N11" i="1"/>
  <c r="B34" i="2" l="1"/>
  <c r="N12" i="1"/>
  <c r="A34" i="2" l="1"/>
  <c r="E5" i="2"/>
  <c r="C5" i="2"/>
  <c r="C6" i="2" s="1"/>
  <c r="C7" i="2" l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" i="2" s="1"/>
  <c r="AC3" i="1" s="1"/>
  <c r="B35" i="2"/>
  <c r="A35" i="2" l="1"/>
  <c r="H5" i="2"/>
  <c r="B36" i="2" l="1"/>
  <c r="I5" i="2"/>
  <c r="A36" i="2" l="1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G5" i="2"/>
  <c r="B37" i="2" l="1"/>
  <c r="K1" i="2"/>
  <c r="F5" i="2"/>
  <c r="A37" i="2" l="1"/>
  <c r="K5" i="2"/>
  <c r="L5" i="2" l="1"/>
  <c r="O5" i="2"/>
  <c r="P5" i="2"/>
  <c r="N5" i="2"/>
  <c r="M5" i="2"/>
  <c r="B38" i="2"/>
  <c r="Q5" i="2" l="1"/>
  <c r="A38" i="2"/>
  <c r="S5" i="2" l="1"/>
  <c r="W5" i="2"/>
  <c r="U5" i="2"/>
  <c r="T5" i="2"/>
  <c r="R5" i="2"/>
  <c r="V5" i="2"/>
  <c r="AG5" i="2" s="1"/>
  <c r="B39" i="2"/>
  <c r="X5" i="2" l="1"/>
  <c r="AB5" i="2"/>
  <c r="AD5" i="2"/>
  <c r="AC5" i="2"/>
  <c r="A39" i="2"/>
  <c r="B40" i="2" l="1"/>
  <c r="A40" i="2" l="1"/>
  <c r="B41" i="2" l="1"/>
  <c r="A41" i="2" l="1"/>
  <c r="B42" i="2" l="1"/>
  <c r="A42" i="2" l="1"/>
  <c r="B43" i="2" l="1"/>
  <c r="A43" i="2" l="1"/>
  <c r="B44" i="2" l="1"/>
  <c r="A44" i="2" l="1"/>
  <c r="B45" i="2" l="1"/>
  <c r="A45" i="2" l="1"/>
  <c r="B46" i="2" l="1"/>
  <c r="A46" i="2" l="1"/>
  <c r="B47" i="2" l="1"/>
  <c r="A47" i="2" l="1"/>
  <c r="B48" i="2" l="1"/>
  <c r="A48" i="2" l="1"/>
  <c r="B49" i="2" l="1"/>
  <c r="A49" i="2" l="1"/>
  <c r="B50" i="2" l="1"/>
  <c r="A50" i="2" l="1"/>
  <c r="B51" i="2" l="1"/>
  <c r="A51" i="2" l="1"/>
  <c r="B52" i="2" l="1"/>
  <c r="A52" i="2" l="1"/>
  <c r="B53" i="2" l="1"/>
  <c r="A53" i="2" l="1"/>
  <c r="B54" i="2" l="1"/>
  <c r="A54" i="2" l="1"/>
  <c r="B55" i="2" l="1"/>
  <c r="A55" i="2" l="1"/>
  <c r="B56" i="2" l="1"/>
  <c r="A56" i="2" l="1"/>
  <c r="B57" i="2" l="1"/>
  <c r="A57" i="2" l="1"/>
  <c r="B58" i="2" l="1"/>
  <c r="A58" i="2" l="1"/>
  <c r="B59" i="2" l="1"/>
  <c r="A59" i="2" l="1"/>
  <c r="B60" i="2" l="1"/>
  <c r="A60" i="2" l="1"/>
  <c r="B61" i="2" l="1"/>
  <c r="A61" i="2" l="1"/>
  <c r="B62" i="2" l="1"/>
  <c r="A62" i="2" l="1"/>
  <c r="B63" i="2" l="1"/>
  <c r="A63" i="2" l="1"/>
  <c r="B64" i="2" l="1"/>
  <c r="A64" i="2" l="1"/>
  <c r="B65" i="2" l="1"/>
  <c r="A65" i="2" l="1"/>
  <c r="B66" i="2" l="1"/>
  <c r="A66" i="2" l="1"/>
  <c r="B67" i="2" l="1"/>
  <c r="A67" i="2" l="1"/>
  <c r="B68" i="2" l="1"/>
  <c r="A68" i="2" l="1"/>
  <c r="B69" i="2" l="1"/>
  <c r="A69" i="2" l="1"/>
  <c r="B70" i="2" l="1"/>
  <c r="A70" i="2" l="1"/>
  <c r="B71" i="2" l="1"/>
  <c r="A71" i="2" l="1"/>
  <c r="B72" i="2" l="1"/>
  <c r="A72" i="2" l="1"/>
  <c r="B73" i="2" l="1"/>
  <c r="A73" i="2" l="1"/>
  <c r="B74" i="2" l="1"/>
  <c r="A74" i="2" l="1"/>
  <c r="B75" i="2" l="1"/>
  <c r="A75" i="2" l="1"/>
  <c r="B76" i="2" l="1"/>
  <c r="A76" i="2" l="1"/>
  <c r="B77" i="2" l="1"/>
  <c r="A77" i="2" l="1"/>
  <c r="B78" i="2" l="1"/>
  <c r="A78" i="2" l="1"/>
  <c r="B79" i="2" l="1"/>
  <c r="A79" i="2" l="1"/>
  <c r="B80" i="2" l="1"/>
  <c r="A80" i="2" l="1"/>
  <c r="B81" i="2" l="1"/>
  <c r="A81" i="2" l="1"/>
  <c r="B82" i="2" l="1"/>
  <c r="A82" i="2" l="1"/>
  <c r="B83" i="2" l="1"/>
  <c r="A83" i="2" l="1"/>
  <c r="B84" i="2" l="1"/>
  <c r="A84" i="2" l="1"/>
  <c r="B85" i="2" l="1"/>
  <c r="A85" i="2" l="1"/>
  <c r="B86" i="2" l="1"/>
  <c r="A86" i="2" l="1"/>
  <c r="B87" i="2" l="1"/>
  <c r="A87" i="2" l="1"/>
  <c r="B88" i="2" l="1"/>
  <c r="A88" i="2" l="1"/>
  <c r="B89" i="2" l="1"/>
  <c r="A89" i="2" l="1"/>
  <c r="B90" i="2" l="1"/>
  <c r="A90" i="2" l="1"/>
  <c r="B91" i="2" l="1"/>
  <c r="A91" i="2" l="1"/>
  <c r="B92" i="2" l="1"/>
  <c r="A92" i="2" l="1"/>
  <c r="B93" i="2" l="1"/>
  <c r="A93" i="2" l="1"/>
  <c r="B94" i="2" l="1"/>
  <c r="A94" i="2" l="1"/>
  <c r="B95" i="2" l="1"/>
  <c r="A95" i="2" l="1"/>
  <c r="B96" i="2" l="1"/>
  <c r="A96" i="2" l="1"/>
  <c r="B97" i="2" l="1"/>
  <c r="A97" i="2" l="1"/>
  <c r="B98" i="2" l="1"/>
  <c r="A98" i="2" l="1"/>
  <c r="B99" i="2" l="1"/>
  <c r="A99" i="2" l="1"/>
  <c r="B100" i="2" l="1"/>
  <c r="A100" i="2" l="1"/>
  <c r="B101" i="2" l="1"/>
  <c r="A101" i="2" l="1"/>
  <c r="B102" i="2" l="1"/>
  <c r="A102" i="2" l="1"/>
  <c r="B103" i="2" l="1"/>
  <c r="A103" i="2" l="1"/>
  <c r="B104" i="2" l="1"/>
  <c r="A104" i="2" l="1"/>
  <c r="B105" i="2" l="1"/>
  <c r="A105" i="2" l="1"/>
  <c r="B106" i="2" l="1"/>
  <c r="A106" i="2" l="1"/>
  <c r="B107" i="2" l="1"/>
  <c r="A107" i="2" l="1"/>
  <c r="B108" i="2" l="1"/>
  <c r="A108" i="2" l="1"/>
  <c r="B109" i="2" l="1"/>
  <c r="A109" i="2" l="1"/>
  <c r="B110" i="2" l="1"/>
  <c r="A110" i="2" l="1"/>
  <c r="B111" i="2" l="1"/>
  <c r="A111" i="2" s="1"/>
  <c r="B112" i="2" l="1"/>
  <c r="A112" i="2" s="1"/>
  <c r="B113" i="2" l="1"/>
  <c r="A113" i="2" s="1"/>
  <c r="B114" i="2" l="1"/>
  <c r="A114" i="2" s="1"/>
  <c r="B115" i="2" l="1"/>
  <c r="A115" i="2" s="1"/>
  <c r="B116" i="2" l="1"/>
  <c r="A116" i="2" s="1"/>
  <c r="B117" i="2" l="1"/>
  <c r="A117" i="2" s="1"/>
  <c r="B118" i="2" l="1"/>
  <c r="A118" i="2" s="1"/>
  <c r="B119" i="2" l="1"/>
  <c r="A119" i="2" s="1"/>
  <c r="B120" i="2" l="1"/>
  <c r="A120" i="2" s="1"/>
  <c r="B121" i="2" l="1"/>
  <c r="A121" i="2" s="1"/>
  <c r="B122" i="2" l="1"/>
  <c r="A122" i="2" s="1"/>
  <c r="B123" i="2" l="1"/>
  <c r="A123" i="2" l="1"/>
  <c r="B124" i="2" l="1"/>
  <c r="A124" i="2" l="1"/>
  <c r="B125" i="2" l="1"/>
  <c r="A125" i="2" l="1"/>
  <c r="B126" i="2" l="1"/>
  <c r="A126" i="2" l="1"/>
  <c r="B127" i="2" l="1"/>
  <c r="A127" i="2" s="1"/>
  <c r="B128" i="2" l="1"/>
  <c r="A128" i="2" s="1"/>
  <c r="B129" i="2" l="1"/>
  <c r="A129" i="2" s="1"/>
  <c r="B130" i="2" l="1"/>
  <c r="A130" i="2" s="1"/>
  <c r="B131" i="2" l="1"/>
  <c r="A131" i="2" s="1"/>
  <c r="B132" i="2" l="1"/>
  <c r="A132" i="2" s="1"/>
  <c r="B133" i="2" l="1"/>
  <c r="A133" i="2" s="1"/>
  <c r="B134" i="2" l="1"/>
  <c r="A134" i="2" s="1"/>
  <c r="B135" i="2" l="1"/>
  <c r="A135" i="2" s="1"/>
  <c r="B136" i="2" l="1"/>
  <c r="A136" i="2" s="1"/>
  <c r="B137" i="2" l="1"/>
  <c r="A137" i="2" s="1"/>
  <c r="B138" i="2" l="1"/>
  <c r="A138" i="2" s="1"/>
  <c r="B139" i="2" l="1"/>
  <c r="A139" i="2" s="1"/>
  <c r="B140" i="2" l="1"/>
  <c r="A140" i="2" l="1"/>
  <c r="B141" i="2" l="1"/>
  <c r="A141" i="2" l="1"/>
  <c r="B142" i="2" l="1"/>
  <c r="A142" i="2" l="1"/>
  <c r="B143" i="2" l="1"/>
  <c r="A143" i="2" l="1"/>
  <c r="B144" i="2" l="1"/>
  <c r="A144" i="2" l="1"/>
  <c r="B145" i="2" l="1"/>
  <c r="A145" i="2" l="1"/>
  <c r="B146" i="2" l="1"/>
  <c r="A146" i="2" l="1"/>
  <c r="B147" i="2" l="1"/>
  <c r="A147" i="2" l="1"/>
  <c r="B148" i="2" l="1"/>
  <c r="A148" i="2" l="1"/>
  <c r="B149" i="2" l="1"/>
  <c r="A149" i="2" l="1"/>
  <c r="B150" i="2" s="1"/>
  <c r="A150" i="2" s="1"/>
  <c r="W14" i="1"/>
  <c r="O14" i="1"/>
  <c r="B151" i="2" l="1"/>
  <c r="A151" i="2" s="1"/>
  <c r="Y74" i="1"/>
  <c r="Y9" i="1"/>
  <c r="Y8" i="1"/>
  <c r="P6" i="1"/>
  <c r="Y7" i="1"/>
  <c r="O73" i="1"/>
  <c r="O8" i="1"/>
  <c r="O76" i="1"/>
  <c r="Y10" i="1"/>
  <c r="Y3" i="1"/>
  <c r="O3" i="1"/>
  <c r="P10" i="1"/>
  <c r="P3" i="1"/>
  <c r="Y76" i="1"/>
  <c r="Y6" i="1"/>
  <c r="Y73" i="1"/>
  <c r="P9" i="1"/>
  <c r="O4" i="1"/>
  <c r="O75" i="1"/>
  <c r="P8" i="1"/>
  <c r="O74" i="1"/>
  <c r="P5" i="1"/>
  <c r="O9" i="1"/>
  <c r="P4" i="1"/>
  <c r="Y75" i="1"/>
  <c r="Y5" i="1"/>
  <c r="Y4" i="1"/>
  <c r="O7" i="1"/>
  <c r="D24" i="17" s="1"/>
  <c r="H24" i="17" s="1"/>
  <c r="O6" i="1"/>
  <c r="O5" i="1"/>
  <c r="P7" i="1"/>
  <c r="O10" i="1"/>
  <c r="B152" i="2" l="1"/>
  <c r="A152" i="2" s="1"/>
  <c r="O16" i="1"/>
  <c r="P15" i="1"/>
  <c r="W15" i="1" s="1"/>
  <c r="Y16" i="1"/>
  <c r="B153" i="2" l="1"/>
  <c r="A153" i="2" s="1"/>
  <c r="B154" i="2" l="1"/>
  <c r="A154" i="2" s="1"/>
  <c r="B155" i="2" l="1"/>
  <c r="A155" i="2" s="1"/>
  <c r="B156" i="2" l="1"/>
  <c r="A156" i="2" s="1"/>
  <c r="B157" i="2" l="1"/>
  <c r="A157" i="2" s="1"/>
  <c r="B158" i="2" l="1"/>
  <c r="A158" i="2" s="1"/>
  <c r="B159" i="2" l="1"/>
  <c r="A159" i="2" s="1"/>
  <c r="B160" i="2" l="1"/>
  <c r="A160" i="2" s="1"/>
  <c r="B161" i="2" l="1"/>
  <c r="A161" i="2" s="1"/>
  <c r="B162" i="2" l="1"/>
  <c r="A162" i="2" s="1"/>
  <c r="B163" i="2" l="1"/>
  <c r="A163" i="2" s="1"/>
  <c r="B164" i="2" l="1"/>
  <c r="A164" i="2" s="1"/>
  <c r="B165" i="2" l="1"/>
  <c r="A165" i="2" s="1"/>
  <c r="B166" i="2" l="1"/>
  <c r="A166" i="2" s="1"/>
  <c r="B167" i="2" l="1"/>
  <c r="A167" i="2" s="1"/>
  <c r="B168" i="2" l="1"/>
  <c r="A168" i="2" l="1"/>
  <c r="B169" i="2" s="1"/>
  <c r="A169" i="2" l="1"/>
  <c r="B170" i="2" l="1"/>
  <c r="A170" i="2" l="1"/>
  <c r="B171" i="2" l="1"/>
  <c r="A171" i="2" l="1"/>
  <c r="B172" i="2" l="1"/>
  <c r="A172" i="2" l="1"/>
  <c r="B173" i="2" l="1"/>
  <c r="A173" i="2" l="1"/>
  <c r="B174" i="2" l="1"/>
  <c r="A174" i="2" l="1"/>
  <c r="B175" i="2" l="1"/>
  <c r="A175" i="2" l="1"/>
  <c r="B176" i="2" l="1"/>
  <c r="A176" i="2" l="1"/>
  <c r="B177" i="2" l="1"/>
  <c r="A177" i="2" l="1"/>
  <c r="B178" i="2" l="1"/>
  <c r="A178" i="2" l="1"/>
  <c r="B179" i="2" l="1"/>
  <c r="A179" i="2" l="1"/>
  <c r="B180" i="2" l="1"/>
  <c r="A180" i="2" l="1"/>
  <c r="B181" i="2" l="1"/>
  <c r="A181" i="2" l="1"/>
  <c r="B182" i="2" l="1"/>
  <c r="A182" i="2" l="1"/>
  <c r="B183" i="2" l="1"/>
  <c r="A183" i="2" l="1"/>
  <c r="B184" i="2" l="1"/>
  <c r="A184" i="2" l="1"/>
  <c r="B185" i="2" l="1"/>
  <c r="A185" i="2" l="1"/>
  <c r="B186" i="2" l="1"/>
  <c r="A186" i="2" l="1"/>
  <c r="B187" i="2" l="1"/>
  <c r="A187" i="2" l="1"/>
  <c r="B188" i="2" l="1"/>
  <c r="A188" i="2" l="1"/>
  <c r="B189" i="2" l="1"/>
  <c r="A189" i="2" l="1"/>
  <c r="B190" i="2" l="1"/>
  <c r="A190" i="2" l="1"/>
  <c r="B191" i="2" l="1"/>
  <c r="A191" i="2" l="1"/>
  <c r="B192" i="2" l="1"/>
  <c r="A192" i="2" l="1"/>
  <c r="B193" i="2" l="1"/>
  <c r="A193" i="2" l="1"/>
  <c r="B194" i="2" l="1"/>
  <c r="A194" i="2" l="1"/>
  <c r="B195" i="2" l="1"/>
  <c r="A195" i="2" l="1"/>
  <c r="B196" i="2" l="1"/>
  <c r="A196" i="2" l="1"/>
  <c r="B197" i="2" l="1"/>
  <c r="A197" i="2" l="1"/>
  <c r="B198" i="2" l="1"/>
  <c r="A198" i="2" l="1"/>
  <c r="A199" i="2" l="1"/>
  <c r="J2" i="2" l="1"/>
  <c r="AC10" i="1" s="1"/>
  <c r="AC14" i="1" l="1"/>
  <c r="AF14" i="1" s="1"/>
  <c r="AT24" i="1" l="1"/>
  <c r="AE3" i="2" s="1"/>
  <c r="AE2" i="2"/>
  <c r="AK25" i="1"/>
  <c r="AF2" i="2" s="1"/>
  <c r="AE5" i="2" l="1"/>
  <c r="AT25" i="1"/>
  <c r="AF3" i="2" l="1"/>
  <c r="Y5" i="2"/>
  <c r="AF5" i="2"/>
  <c r="E6" i="2" l="1"/>
  <c r="G6" i="2"/>
  <c r="AT29" i="1"/>
  <c r="Z5" i="2" s="1"/>
  <c r="I6" i="2" s="1"/>
  <c r="F6" i="2" l="1"/>
  <c r="H6" i="2"/>
  <c r="K6" i="2" l="1"/>
  <c r="N6" i="2" l="1"/>
  <c r="L6" i="2"/>
  <c r="P6" i="2"/>
  <c r="M6" i="2"/>
  <c r="O6" i="2"/>
  <c r="Q6" i="2" l="1"/>
  <c r="W6" i="2" l="1"/>
  <c r="Y6" i="2"/>
  <c r="F7" i="2" s="1"/>
  <c r="Z6" i="2"/>
  <c r="H7" i="2" s="1"/>
  <c r="R6" i="2"/>
  <c r="T6" i="2"/>
  <c r="S6" i="2"/>
  <c r="U6" i="2"/>
  <c r="V6" i="2"/>
  <c r="X6" i="2" l="1"/>
  <c r="I7" i="2"/>
  <c r="G7" i="2"/>
  <c r="E7" i="2"/>
  <c r="K7" i="2" l="1"/>
  <c r="M7" i="2" s="1"/>
  <c r="O7" i="2" l="1"/>
  <c r="N7" i="2"/>
  <c r="P7" i="2"/>
  <c r="L7" i="2"/>
  <c r="Q7" i="2" l="1"/>
  <c r="T7" i="2" s="1"/>
  <c r="Y7" i="2" l="1"/>
  <c r="G8" i="2" s="1"/>
  <c r="Z7" i="2"/>
  <c r="I8" i="2" s="1"/>
  <c r="R7" i="2"/>
  <c r="W7" i="2"/>
  <c r="V7" i="2"/>
  <c r="U7" i="2"/>
  <c r="S7" i="2"/>
  <c r="E8" i="2" l="1"/>
  <c r="F8" i="2"/>
  <c r="H8" i="2"/>
  <c r="X7" i="2"/>
  <c r="K8" i="2" l="1"/>
  <c r="M8" i="2" s="1"/>
  <c r="O8" i="2"/>
  <c r="L8" i="2" l="1"/>
  <c r="N8" i="2"/>
  <c r="P8" i="2"/>
  <c r="Q8" i="2" l="1"/>
  <c r="R8" i="2" s="1"/>
  <c r="Z8" i="2"/>
  <c r="H9" i="2" s="1"/>
  <c r="W8" i="2"/>
  <c r="V8" i="2"/>
  <c r="U8" i="2"/>
  <c r="S8" i="2"/>
  <c r="T8" i="2"/>
  <c r="Y8" i="2"/>
  <c r="E9" i="2" s="1"/>
  <c r="X8" i="2" l="1"/>
  <c r="I9" i="2"/>
  <c r="G9" i="2"/>
  <c r="F9" i="2"/>
  <c r="K9" i="2" l="1"/>
  <c r="M9" i="2" s="1"/>
  <c r="L9" i="2" l="1"/>
  <c r="P9" i="2"/>
  <c r="O9" i="2"/>
  <c r="N9" i="2"/>
  <c r="Q9" i="2" l="1"/>
  <c r="T9" i="2" l="1"/>
  <c r="U9" i="2"/>
  <c r="W9" i="2"/>
  <c r="Y9" i="2"/>
  <c r="V9" i="2"/>
  <c r="R9" i="2"/>
  <c r="Z9" i="2"/>
  <c r="S9" i="2"/>
  <c r="X9" i="2" l="1"/>
  <c r="H10" i="2"/>
  <c r="I10" i="2"/>
  <c r="G10" i="2"/>
  <c r="E10" i="2"/>
  <c r="F10" i="2"/>
  <c r="K10" i="2" l="1"/>
  <c r="N10" i="2" s="1"/>
  <c r="M10" i="2" l="1"/>
  <c r="O10" i="2"/>
  <c r="P10" i="2"/>
  <c r="L10" i="2"/>
  <c r="Q10" i="2" l="1"/>
  <c r="R10" i="2" s="1"/>
  <c r="Y10" i="2" l="1"/>
  <c r="F11" i="2" s="1"/>
  <c r="U10" i="2"/>
  <c r="T10" i="2"/>
  <c r="S10" i="2"/>
  <c r="W10" i="2"/>
  <c r="V10" i="2"/>
  <c r="Z10" i="2"/>
  <c r="I11" i="2" s="1"/>
  <c r="G11" i="2"/>
  <c r="E11" i="2"/>
  <c r="X10" i="2" l="1"/>
  <c r="H11" i="2"/>
  <c r="K11" i="2" s="1"/>
  <c r="M11" i="2" s="1"/>
  <c r="O11" i="2" l="1"/>
  <c r="P11" i="2"/>
  <c r="N11" i="2"/>
  <c r="L11" i="2"/>
  <c r="Q11" i="2" l="1"/>
  <c r="W11" i="2" s="1"/>
  <c r="R11" i="2" l="1"/>
  <c r="S11" i="2"/>
  <c r="Z11" i="2"/>
  <c r="H12" i="2" s="1"/>
  <c r="U11" i="2"/>
  <c r="Y11" i="2"/>
  <c r="E12" i="2" s="1"/>
  <c r="V11" i="2"/>
  <c r="T11" i="2"/>
  <c r="X11" i="2" l="1"/>
  <c r="G12" i="2"/>
  <c r="I12" i="2"/>
  <c r="F12" i="2"/>
  <c r="K12" i="2" l="1"/>
  <c r="N12" i="2" s="1"/>
  <c r="O12" i="2" l="1"/>
  <c r="M12" i="2"/>
  <c r="L12" i="2"/>
  <c r="P12" i="2"/>
  <c r="Q12" i="2" s="1"/>
  <c r="V12" i="2" s="1"/>
  <c r="W12" i="2" l="1"/>
  <c r="Z12" i="2"/>
  <c r="H13" i="2" s="1"/>
  <c r="Y12" i="2"/>
  <c r="F13" i="2" s="1"/>
  <c r="S12" i="2"/>
  <c r="R12" i="2"/>
  <c r="U12" i="2"/>
  <c r="T12" i="2"/>
  <c r="X12" i="2" l="1"/>
  <c r="I13" i="2"/>
  <c r="G13" i="2"/>
  <c r="E13" i="2"/>
  <c r="K13" i="2" l="1"/>
  <c r="L13" i="2" s="1"/>
  <c r="M13" i="2"/>
  <c r="P13" i="2"/>
  <c r="N13" i="2"/>
  <c r="O13" i="2"/>
  <c r="Q13" i="2" l="1"/>
  <c r="R13" i="2" s="1"/>
  <c r="Y13" i="2"/>
  <c r="U13" i="2" l="1"/>
  <c r="S13" i="2"/>
  <c r="Z13" i="2"/>
  <c r="H14" i="2" s="1"/>
  <c r="W13" i="2"/>
  <c r="T13" i="2"/>
  <c r="V13" i="2"/>
  <c r="E14" i="2"/>
  <c r="G14" i="2"/>
  <c r="F14" i="2"/>
  <c r="X13" i="2" l="1"/>
  <c r="I14" i="2"/>
  <c r="K14" i="2"/>
  <c r="M14" i="2" s="1"/>
  <c r="N14" i="2" l="1"/>
  <c r="O14" i="2"/>
  <c r="P14" i="2"/>
  <c r="L14" i="2"/>
  <c r="Q14" i="2" l="1"/>
  <c r="R14" i="2" l="1"/>
  <c r="Y14" i="2"/>
  <c r="F15" i="2" s="1"/>
  <c r="W14" i="2"/>
  <c r="T14" i="2"/>
  <c r="Z14" i="2"/>
  <c r="U14" i="2"/>
  <c r="S14" i="2"/>
  <c r="V14" i="2"/>
  <c r="X14" i="2" l="1"/>
  <c r="G15" i="2"/>
  <c r="E15" i="2"/>
  <c r="I15" i="2"/>
  <c r="H15" i="2"/>
  <c r="K15" i="2" l="1"/>
  <c r="L15" i="2" l="1"/>
  <c r="M15" i="2"/>
  <c r="N15" i="2"/>
  <c r="P15" i="2"/>
  <c r="O15" i="2"/>
  <c r="Q15" i="2" l="1"/>
  <c r="W15" i="2" l="1"/>
  <c r="Z15" i="2"/>
  <c r="H16" i="2" s="1"/>
  <c r="Y15" i="2"/>
  <c r="E16" i="2" s="1"/>
  <c r="R15" i="2"/>
  <c r="T15" i="2"/>
  <c r="V15" i="2"/>
  <c r="U15" i="2"/>
  <c r="S15" i="2"/>
  <c r="X15" i="2" l="1"/>
  <c r="I16" i="2"/>
  <c r="F16" i="2"/>
  <c r="G16" i="2"/>
  <c r="K16" i="2" l="1"/>
  <c r="P16" i="2" s="1"/>
  <c r="L16" i="2" l="1"/>
  <c r="O16" i="2"/>
  <c r="M16" i="2"/>
  <c r="N16" i="2"/>
  <c r="Q16" i="2" l="1"/>
  <c r="Y16" i="2" l="1"/>
  <c r="F17" i="2" s="1"/>
  <c r="Z16" i="2"/>
  <c r="H17" i="2" s="1"/>
  <c r="V16" i="2"/>
  <c r="S16" i="2"/>
  <c r="U16" i="2"/>
  <c r="R16" i="2"/>
  <c r="T16" i="2"/>
  <c r="W16" i="2"/>
  <c r="X16" i="2" l="1"/>
  <c r="G17" i="2"/>
  <c r="E17" i="2"/>
  <c r="I17" i="2"/>
  <c r="K17" i="2" l="1"/>
  <c r="L17" i="2" s="1"/>
  <c r="P17" i="2" l="1"/>
  <c r="M17" i="2"/>
  <c r="N17" i="2"/>
  <c r="O17" i="2"/>
  <c r="Q17" i="2"/>
  <c r="W17" i="2" l="1"/>
  <c r="Y17" i="2"/>
  <c r="F18" i="2" s="1"/>
  <c r="U17" i="2"/>
  <c r="S17" i="2"/>
  <c r="T17" i="2"/>
  <c r="V17" i="2"/>
  <c r="Z17" i="2"/>
  <c r="H18" i="2" s="1"/>
  <c r="R17" i="2"/>
  <c r="X17" i="2" l="1"/>
  <c r="G18" i="2"/>
  <c r="E18" i="2"/>
  <c r="I18" i="2"/>
  <c r="K18" i="2" l="1"/>
  <c r="N18" i="2" s="1"/>
  <c r="M18" i="2" l="1"/>
  <c r="L18" i="2"/>
  <c r="P18" i="2"/>
  <c r="O18" i="2"/>
  <c r="Q18" i="2" l="1"/>
  <c r="V18" i="2" s="1"/>
  <c r="Z18" i="2" l="1"/>
  <c r="H19" i="2" s="1"/>
  <c r="Y18" i="2"/>
  <c r="E19" i="2" s="1"/>
  <c r="T18" i="2"/>
  <c r="W18" i="2"/>
  <c r="U18" i="2"/>
  <c r="S18" i="2"/>
  <c r="R18" i="2"/>
  <c r="I19" i="2" l="1"/>
  <c r="F19" i="2"/>
  <c r="G19" i="2"/>
  <c r="X18" i="2"/>
  <c r="K19" i="2" l="1"/>
  <c r="N19" i="2" s="1"/>
  <c r="P19" i="2"/>
  <c r="L19" i="2" l="1"/>
  <c r="M19" i="2"/>
  <c r="O19" i="2"/>
  <c r="Q19" i="2" l="1"/>
  <c r="V19" i="2"/>
  <c r="W19" i="2"/>
  <c r="S19" i="2"/>
  <c r="R19" i="2"/>
  <c r="T19" i="2"/>
  <c r="Z19" i="2"/>
  <c r="I20" i="2" s="1"/>
  <c r="U19" i="2"/>
  <c r="Y19" i="2"/>
  <c r="F20" i="2" s="1"/>
  <c r="X19" i="2" l="1"/>
  <c r="E20" i="2"/>
  <c r="H20" i="2"/>
  <c r="G20" i="2"/>
  <c r="K20" i="2" l="1"/>
  <c r="O20" i="2" s="1"/>
  <c r="N20" i="2" l="1"/>
  <c r="P20" i="2"/>
  <c r="M20" i="2"/>
  <c r="L20" i="2"/>
  <c r="Q20" i="2" l="1"/>
  <c r="T20" i="2" s="1"/>
  <c r="Y20" i="2"/>
  <c r="G21" i="2" s="1"/>
  <c r="U20" i="2" l="1"/>
  <c r="V20" i="2"/>
  <c r="Z20" i="2"/>
  <c r="H21" i="2" s="1"/>
  <c r="W20" i="2"/>
  <c r="S20" i="2"/>
  <c r="R20" i="2"/>
  <c r="F21" i="2"/>
  <c r="E21" i="2"/>
  <c r="I21" i="2" l="1"/>
  <c r="X20" i="2"/>
  <c r="K21" i="2"/>
  <c r="M21" i="2" s="1"/>
  <c r="N21" i="2" l="1"/>
  <c r="L21" i="2"/>
  <c r="O21" i="2"/>
  <c r="P21" i="2"/>
  <c r="Q21" i="2"/>
  <c r="Z21" i="2" l="1"/>
  <c r="I22" i="2" s="1"/>
  <c r="T21" i="2"/>
  <c r="U21" i="2"/>
  <c r="R21" i="2"/>
  <c r="W21" i="2"/>
  <c r="V21" i="2"/>
  <c r="S21" i="2"/>
  <c r="Y21" i="2"/>
  <c r="X21" i="2" l="1"/>
  <c r="H22" i="2"/>
  <c r="G22" i="2"/>
  <c r="F22" i="2"/>
  <c r="E22" i="2"/>
  <c r="K22" i="2" l="1"/>
  <c r="L22" i="2" s="1"/>
  <c r="P22" i="2" l="1"/>
  <c r="O22" i="2"/>
  <c r="N22" i="2"/>
  <c r="M22" i="2"/>
  <c r="Q22" i="2" l="1"/>
  <c r="R22" i="2" l="1"/>
  <c r="S22" i="2"/>
  <c r="Z22" i="2"/>
  <c r="Y22" i="2"/>
  <c r="W22" i="2"/>
  <c r="V22" i="2"/>
  <c r="U22" i="2"/>
  <c r="T22" i="2"/>
  <c r="X22" i="2" l="1"/>
  <c r="F23" i="2"/>
  <c r="G23" i="2"/>
  <c r="E23" i="2"/>
  <c r="I23" i="2"/>
  <c r="H23" i="2"/>
  <c r="K23" i="2" l="1"/>
  <c r="O23" i="2" s="1"/>
  <c r="M23" i="2" l="1"/>
  <c r="N23" i="2"/>
  <c r="P23" i="2"/>
  <c r="L23" i="2"/>
  <c r="Q23" i="2" l="1"/>
  <c r="V23" i="2" l="1"/>
  <c r="T23" i="2"/>
  <c r="W23" i="2"/>
  <c r="R23" i="2"/>
  <c r="S23" i="2"/>
  <c r="U23" i="2"/>
  <c r="Y23" i="2"/>
  <c r="G24" i="2" s="1"/>
  <c r="Z23" i="2"/>
  <c r="H24" i="2" s="1"/>
  <c r="X23" i="2" l="1"/>
  <c r="E24" i="2"/>
  <c r="I24" i="2"/>
  <c r="F24" i="2"/>
  <c r="K24" i="2" l="1"/>
  <c r="N24" i="2" s="1"/>
  <c r="L24" i="2" l="1"/>
  <c r="O24" i="2"/>
  <c r="P24" i="2"/>
  <c r="M24" i="2"/>
  <c r="Q24" i="2" l="1"/>
  <c r="V24" i="2" l="1"/>
  <c r="W24" i="2"/>
  <c r="T24" i="2"/>
  <c r="Y24" i="2"/>
  <c r="F25" i="2" s="1"/>
  <c r="S24" i="2"/>
  <c r="R24" i="2"/>
  <c r="U24" i="2"/>
  <c r="Z24" i="2"/>
  <c r="H25" i="2" s="1"/>
  <c r="X24" i="2" l="1"/>
  <c r="E25" i="2"/>
  <c r="I25" i="2"/>
  <c r="G25" i="2"/>
  <c r="K25" i="2" l="1"/>
  <c r="P25" i="2" l="1"/>
  <c r="M25" i="2"/>
  <c r="L25" i="2"/>
  <c r="O25" i="2"/>
  <c r="N25" i="2"/>
  <c r="Q25" i="2" l="1"/>
  <c r="W25" i="2" s="1"/>
  <c r="V25" i="2" l="1"/>
  <c r="U25" i="2"/>
  <c r="Y25" i="2"/>
  <c r="G26" i="2" s="1"/>
  <c r="T25" i="2"/>
  <c r="S25" i="2"/>
  <c r="Z25" i="2"/>
  <c r="I26" i="2" s="1"/>
  <c r="R25" i="2"/>
  <c r="H26" i="2" l="1"/>
  <c r="X25" i="2"/>
  <c r="E26" i="2"/>
  <c r="F26" i="2"/>
  <c r="K26" i="2" l="1"/>
  <c r="N26" i="2" s="1"/>
  <c r="L26" i="2" l="1"/>
  <c r="M26" i="2"/>
  <c r="O26" i="2"/>
  <c r="P26" i="2"/>
  <c r="Q26" i="2" s="1"/>
  <c r="V26" i="2" l="1"/>
  <c r="Y26" i="2"/>
  <c r="G27" i="2" s="1"/>
  <c r="Z26" i="2"/>
  <c r="H27" i="2" s="1"/>
  <c r="W26" i="2"/>
  <c r="T26" i="2"/>
  <c r="S26" i="2"/>
  <c r="R26" i="2"/>
  <c r="U26" i="2"/>
  <c r="E27" i="2" l="1"/>
  <c r="F27" i="2"/>
  <c r="I27" i="2"/>
  <c r="X26" i="2"/>
  <c r="K27" i="2" l="1"/>
  <c r="L27" i="2" s="1"/>
  <c r="P27" i="2"/>
  <c r="O27" i="2"/>
  <c r="N27" i="2"/>
  <c r="M27" i="2"/>
  <c r="Q27" i="2" s="1"/>
  <c r="R27" i="2" l="1"/>
  <c r="U27" i="2"/>
  <c r="T27" i="2"/>
  <c r="Y27" i="2"/>
  <c r="Z27" i="2"/>
  <c r="V27" i="2"/>
  <c r="S27" i="2"/>
  <c r="W27" i="2"/>
  <c r="X27" i="2" l="1"/>
  <c r="I28" i="2"/>
  <c r="H28" i="2"/>
  <c r="F28" i="2"/>
  <c r="E28" i="2"/>
  <c r="G28" i="2"/>
  <c r="K28" i="2" l="1"/>
  <c r="L28" i="2" s="1"/>
  <c r="O28" i="2" l="1"/>
  <c r="M28" i="2"/>
  <c r="N28" i="2"/>
  <c r="P28" i="2"/>
  <c r="Q28" i="2" l="1"/>
  <c r="R28" i="2" l="1"/>
  <c r="S28" i="2"/>
  <c r="Y28" i="2"/>
  <c r="V28" i="2"/>
  <c r="T28" i="2"/>
  <c r="Z28" i="2"/>
  <c r="U28" i="2"/>
  <c r="W28" i="2"/>
  <c r="X28" i="2" l="1"/>
  <c r="E29" i="2"/>
  <c r="G29" i="2"/>
  <c r="F29" i="2"/>
  <c r="H29" i="2"/>
  <c r="I29" i="2"/>
  <c r="K29" i="2" l="1"/>
  <c r="O29" i="2" s="1"/>
  <c r="N29" i="2" l="1"/>
  <c r="M29" i="2"/>
  <c r="P29" i="2"/>
  <c r="L29" i="2"/>
  <c r="Q29" i="2" l="1"/>
  <c r="R29" i="2" l="1"/>
  <c r="W29" i="2"/>
  <c r="S29" i="2"/>
  <c r="T29" i="2"/>
  <c r="V29" i="2"/>
  <c r="U29" i="2"/>
  <c r="Y29" i="2"/>
  <c r="Z29" i="2"/>
  <c r="X29" i="2" l="1"/>
  <c r="H30" i="2"/>
  <c r="I30" i="2"/>
  <c r="E30" i="2"/>
  <c r="F30" i="2"/>
  <c r="G30" i="2"/>
  <c r="K30" i="2" l="1"/>
  <c r="M30" i="2" s="1"/>
  <c r="P30" i="2" l="1"/>
  <c r="L30" i="2"/>
  <c r="N30" i="2"/>
  <c r="O30" i="2"/>
  <c r="Q30" i="2" l="1"/>
  <c r="Z30" i="2" l="1"/>
  <c r="I31" i="2" s="1"/>
  <c r="Y30" i="2"/>
  <c r="G31" i="2" s="1"/>
  <c r="U30" i="2"/>
  <c r="T30" i="2"/>
  <c r="W30" i="2"/>
  <c r="R30" i="2"/>
  <c r="V30" i="2"/>
  <c r="S30" i="2"/>
  <c r="H31" i="2" l="1"/>
  <c r="X30" i="2"/>
  <c r="E31" i="2"/>
  <c r="F31" i="2"/>
  <c r="K31" i="2" l="1"/>
  <c r="L31" i="2" s="1"/>
  <c r="P31" i="2" l="1"/>
  <c r="M31" i="2"/>
  <c r="O31" i="2"/>
  <c r="N31" i="2"/>
  <c r="Q31" i="2" l="1"/>
  <c r="S31" i="2" s="1"/>
  <c r="Y31" i="2" l="1"/>
  <c r="F32" i="2" s="1"/>
  <c r="U31" i="2"/>
  <c r="V31" i="2"/>
  <c r="Z31" i="2"/>
  <c r="I32" i="2" s="1"/>
  <c r="W31" i="2"/>
  <c r="T31" i="2"/>
  <c r="R31" i="2"/>
  <c r="G32" i="2" l="1"/>
  <c r="E32" i="2"/>
  <c r="H32" i="2"/>
  <c r="X31" i="2"/>
  <c r="K32" i="2" l="1"/>
  <c r="M32" i="2" s="1"/>
  <c r="P32" i="2"/>
  <c r="L32" i="2"/>
  <c r="O32" i="2"/>
  <c r="N32" i="2" l="1"/>
  <c r="Q32" i="2"/>
  <c r="R32" i="2" s="1"/>
  <c r="U32" i="2" l="1"/>
  <c r="S32" i="2"/>
  <c r="W32" i="2"/>
  <c r="T32" i="2"/>
  <c r="V32" i="2"/>
  <c r="Z32" i="2"/>
  <c r="I33" i="2" s="1"/>
  <c r="Y32" i="2"/>
  <c r="F33" i="2" s="1"/>
  <c r="X32" i="2" l="1"/>
  <c r="G33" i="2"/>
  <c r="E33" i="2"/>
  <c r="H33" i="2"/>
  <c r="K33" i="2" l="1"/>
  <c r="L33" i="2" s="1"/>
  <c r="N33" i="2" l="1"/>
  <c r="M33" i="2"/>
  <c r="O33" i="2"/>
  <c r="P33" i="2"/>
  <c r="Q33" i="2" l="1"/>
  <c r="V33" i="2" l="1"/>
  <c r="Y33" i="2"/>
  <c r="Z33" i="2"/>
  <c r="S33" i="2"/>
  <c r="U33" i="2"/>
  <c r="T33" i="2"/>
  <c r="R33" i="2"/>
  <c r="W33" i="2"/>
  <c r="X33" i="2" l="1"/>
  <c r="F34" i="2"/>
  <c r="G34" i="2"/>
  <c r="E34" i="2"/>
  <c r="H34" i="2"/>
  <c r="I34" i="2"/>
  <c r="K34" i="2" l="1"/>
  <c r="O34" i="2" l="1"/>
  <c r="M34" i="2"/>
  <c r="P34" i="2"/>
  <c r="L34" i="2"/>
  <c r="N34" i="2"/>
  <c r="Q34" i="2" l="1"/>
  <c r="T34" i="2" s="1"/>
  <c r="Y34" i="2"/>
  <c r="F35" i="2" s="1"/>
  <c r="U34" i="2" l="1"/>
  <c r="W34" i="2"/>
  <c r="V34" i="2"/>
  <c r="Z34" i="2"/>
  <c r="I35" i="2" s="1"/>
  <c r="R34" i="2"/>
  <c r="S34" i="2"/>
  <c r="G35" i="2"/>
  <c r="E35" i="2"/>
  <c r="X34" i="2" l="1"/>
  <c r="H35" i="2"/>
  <c r="K35" i="2" s="1"/>
  <c r="N35" i="2" l="1"/>
  <c r="M35" i="2"/>
  <c r="P35" i="2"/>
  <c r="L35" i="2"/>
  <c r="O35" i="2"/>
  <c r="Q35" i="2"/>
  <c r="R35" i="2" s="1"/>
  <c r="V35" i="2" l="1"/>
  <c r="U35" i="2"/>
  <c r="S35" i="2"/>
  <c r="Z35" i="2"/>
  <c r="I36" i="2" s="1"/>
  <c r="T35" i="2"/>
  <c r="Y35" i="2"/>
  <c r="G36" i="2" s="1"/>
  <c r="W35" i="2"/>
  <c r="X35" i="2" s="1"/>
  <c r="H36" i="2" l="1"/>
  <c r="F36" i="2"/>
  <c r="E36" i="2"/>
  <c r="K36" i="2" l="1"/>
  <c r="P36" i="2" s="1"/>
  <c r="O36" i="2"/>
  <c r="L36" i="2" l="1"/>
  <c r="N36" i="2"/>
  <c r="M36" i="2"/>
  <c r="Q36" i="2"/>
  <c r="V36" i="2" s="1"/>
  <c r="R36" i="2" l="1"/>
  <c r="W36" i="2"/>
  <c r="S36" i="2"/>
  <c r="Y36" i="2"/>
  <c r="F37" i="2" s="1"/>
  <c r="Z36" i="2"/>
  <c r="I37" i="2" s="1"/>
  <c r="T36" i="2"/>
  <c r="U36" i="2"/>
  <c r="X36" i="2" l="1"/>
  <c r="E37" i="2"/>
  <c r="H37" i="2"/>
  <c r="G37" i="2"/>
  <c r="K37" i="2" l="1"/>
  <c r="L37" i="2" s="1"/>
  <c r="P37" i="2"/>
  <c r="O37" i="2" l="1"/>
  <c r="N37" i="2"/>
  <c r="M37" i="2"/>
  <c r="Q37" i="2" s="1"/>
  <c r="U37" i="2" l="1"/>
  <c r="W37" i="2"/>
  <c r="T37" i="2"/>
  <c r="Y37" i="2"/>
  <c r="F38" i="2" s="1"/>
  <c r="V37" i="2"/>
  <c r="Z37" i="2"/>
  <c r="I38" i="2" s="1"/>
  <c r="S37" i="2"/>
  <c r="R37" i="2"/>
  <c r="X37" i="2" l="1"/>
  <c r="E38" i="2"/>
  <c r="G38" i="2"/>
  <c r="H38" i="2"/>
  <c r="K38" i="2" l="1"/>
  <c r="L38" i="2" s="1"/>
  <c r="N38" i="2"/>
  <c r="M38" i="2"/>
  <c r="O38" i="2"/>
  <c r="P38" i="2"/>
  <c r="Q38" i="2" l="1"/>
  <c r="V38" i="2" l="1"/>
  <c r="Y38" i="2"/>
  <c r="F39" i="2" s="1"/>
  <c r="T38" i="2"/>
  <c r="W38" i="2"/>
  <c r="U38" i="2"/>
  <c r="S38" i="2"/>
  <c r="R38" i="2"/>
  <c r="Z38" i="2"/>
  <c r="H39" i="2" s="1"/>
  <c r="X38" i="2" l="1"/>
  <c r="E39" i="2"/>
  <c r="G39" i="2"/>
  <c r="I39" i="2"/>
  <c r="K39" i="2" l="1"/>
  <c r="M39" i="2" s="1"/>
  <c r="L39" i="2" l="1"/>
  <c r="P39" i="2"/>
  <c r="O39" i="2"/>
  <c r="N39" i="2"/>
  <c r="Q39" i="2" l="1"/>
  <c r="U39" i="2" s="1"/>
  <c r="Y39" i="2" l="1"/>
  <c r="G40" i="2" s="1"/>
  <c r="Z39" i="2"/>
  <c r="I40" i="2" s="1"/>
  <c r="W39" i="2"/>
  <c r="S39" i="2"/>
  <c r="V39" i="2"/>
  <c r="R39" i="2"/>
  <c r="T39" i="2"/>
  <c r="E40" i="2" l="1"/>
  <c r="F40" i="2"/>
  <c r="X39" i="2"/>
  <c r="H40" i="2"/>
  <c r="K40" i="2" l="1"/>
  <c r="M40" i="2" s="1"/>
  <c r="P40" i="2" l="1"/>
  <c r="O40" i="2"/>
  <c r="L40" i="2"/>
  <c r="N40" i="2"/>
  <c r="Q40" i="2" l="1"/>
  <c r="Z40" i="2" s="1"/>
  <c r="H41" i="2" s="1"/>
  <c r="R40" i="2"/>
  <c r="W40" i="2"/>
  <c r="V40" i="2"/>
  <c r="T40" i="2"/>
  <c r="U40" i="2" l="1"/>
  <c r="Y40" i="2"/>
  <c r="E41" i="2" s="1"/>
  <c r="I41" i="2"/>
  <c r="S40" i="2"/>
  <c r="X40" i="2"/>
  <c r="F41" i="2" l="1"/>
  <c r="G41" i="2"/>
  <c r="K41" i="2"/>
  <c r="L41" i="2" s="1"/>
  <c r="O41" i="2"/>
  <c r="P41" i="2"/>
  <c r="N41" i="2"/>
  <c r="M41" i="2" l="1"/>
  <c r="U41" i="2" s="1"/>
  <c r="Q41" i="2"/>
  <c r="S41" i="2" s="1"/>
  <c r="R41" i="2"/>
  <c r="Z41" i="2"/>
  <c r="I42" i="2" s="1"/>
  <c r="Y41" i="2"/>
  <c r="G42" i="2" s="1"/>
  <c r="V41" i="2"/>
  <c r="T41" i="2"/>
  <c r="W41" i="2" l="1"/>
  <c r="X41" i="2"/>
  <c r="E42" i="2"/>
  <c r="H42" i="2"/>
  <c r="F42" i="2"/>
  <c r="K42" i="2" l="1"/>
  <c r="N42" i="2" s="1"/>
  <c r="O42" i="2" l="1"/>
  <c r="P42" i="2"/>
  <c r="M42" i="2"/>
  <c r="L42" i="2"/>
  <c r="Q42" i="2" s="1"/>
  <c r="V42" i="2" l="1"/>
  <c r="R42" i="2"/>
  <c r="Z42" i="2"/>
  <c r="W42" i="2"/>
  <c r="S42" i="2"/>
  <c r="U42" i="2"/>
  <c r="Y42" i="2"/>
  <c r="T42" i="2"/>
  <c r="X42" i="2" l="1"/>
  <c r="H43" i="2"/>
  <c r="I43" i="2"/>
  <c r="G43" i="2"/>
  <c r="F43" i="2"/>
  <c r="E43" i="2"/>
  <c r="K43" i="2" l="1"/>
  <c r="N43" i="2" s="1"/>
  <c r="P43" i="2" l="1"/>
  <c r="L43" i="2"/>
  <c r="O43" i="2"/>
  <c r="M43" i="2"/>
  <c r="Q43" i="2" l="1"/>
  <c r="V43" i="2" l="1"/>
  <c r="Y43" i="2"/>
  <c r="E44" i="2" s="1"/>
  <c r="T43" i="2"/>
  <c r="W43" i="2"/>
  <c r="U43" i="2"/>
  <c r="S43" i="2"/>
  <c r="R43" i="2"/>
  <c r="Z43" i="2"/>
  <c r="H44" i="2" s="1"/>
  <c r="X43" i="2" l="1"/>
  <c r="F44" i="2"/>
  <c r="G44" i="2"/>
  <c r="I44" i="2"/>
  <c r="K44" i="2" l="1"/>
  <c r="L44" i="2" s="1"/>
  <c r="O44" i="2" l="1"/>
  <c r="P44" i="2"/>
  <c r="N44" i="2"/>
  <c r="M44" i="2"/>
  <c r="Q44" i="2" l="1"/>
  <c r="T44" i="2" l="1"/>
  <c r="R44" i="2"/>
  <c r="W44" i="2"/>
  <c r="Z44" i="2"/>
  <c r="H45" i="2" s="1"/>
  <c r="V44" i="2"/>
  <c r="U44" i="2"/>
  <c r="S44" i="2"/>
  <c r="Y44" i="2"/>
  <c r="G45" i="2" s="1"/>
  <c r="X44" i="2" l="1"/>
  <c r="I45" i="2"/>
  <c r="F45" i="2"/>
  <c r="E45" i="2"/>
  <c r="K45" i="2" l="1"/>
  <c r="N45" i="2" s="1"/>
  <c r="L45" i="2" l="1"/>
  <c r="P45" i="2"/>
  <c r="O45" i="2"/>
  <c r="M45" i="2"/>
  <c r="Q45" i="2" l="1"/>
  <c r="V45" i="2" s="1"/>
  <c r="Z45" i="2" l="1"/>
  <c r="H46" i="2" s="1"/>
  <c r="S45" i="2"/>
  <c r="Y45" i="2"/>
  <c r="F46" i="2" s="1"/>
  <c r="W45" i="2"/>
  <c r="R45" i="2"/>
  <c r="U45" i="2"/>
  <c r="T45" i="2"/>
  <c r="X45" i="2" l="1"/>
  <c r="I46" i="2"/>
  <c r="E46" i="2"/>
  <c r="G46" i="2"/>
  <c r="K46" i="2" l="1"/>
  <c r="O46" i="2" s="1"/>
  <c r="N46" i="2" l="1"/>
  <c r="L46" i="2"/>
  <c r="P46" i="2"/>
  <c r="M46" i="2"/>
  <c r="Q46" i="2"/>
  <c r="T46" i="2" s="1"/>
  <c r="Z46" i="2" l="1"/>
  <c r="I47" i="2" s="1"/>
  <c r="Y46" i="2"/>
  <c r="F47" i="2" s="1"/>
  <c r="U46" i="2"/>
  <c r="W46" i="2"/>
  <c r="S46" i="2"/>
  <c r="R46" i="2"/>
  <c r="V46" i="2"/>
  <c r="H47" i="2" l="1"/>
  <c r="G47" i="2"/>
  <c r="E47" i="2"/>
  <c r="X46" i="2"/>
  <c r="K47" i="2"/>
  <c r="M47" i="2" s="1"/>
  <c r="P47" i="2" l="1"/>
  <c r="N47" i="2"/>
  <c r="O47" i="2"/>
  <c r="L47" i="2"/>
  <c r="Q47" i="2" l="1"/>
  <c r="Z47" i="2" l="1"/>
  <c r="I48" i="2" s="1"/>
  <c r="Y47" i="2"/>
  <c r="F48" i="2" s="1"/>
  <c r="T47" i="2"/>
  <c r="U47" i="2"/>
  <c r="S47" i="2"/>
  <c r="V47" i="2"/>
  <c r="R47" i="2"/>
  <c r="W47" i="2"/>
  <c r="X47" i="2" l="1"/>
  <c r="H48" i="2"/>
  <c r="G48" i="2"/>
  <c r="E48" i="2"/>
  <c r="K48" i="2" l="1"/>
  <c r="N48" i="2" l="1"/>
  <c r="O48" i="2"/>
  <c r="M48" i="2"/>
  <c r="L48" i="2"/>
  <c r="P48" i="2"/>
  <c r="Q48" i="2" l="1"/>
  <c r="T48" i="2" l="1"/>
  <c r="R48" i="2"/>
  <c r="S48" i="2"/>
  <c r="U48" i="2"/>
  <c r="Z48" i="2"/>
  <c r="I49" i="2" s="1"/>
  <c r="W48" i="2"/>
  <c r="V48" i="2"/>
  <c r="Y48" i="2"/>
  <c r="X48" i="2" l="1"/>
  <c r="H49" i="2"/>
  <c r="G49" i="2"/>
  <c r="E49" i="2"/>
  <c r="F49" i="2"/>
  <c r="K49" i="2" l="1"/>
  <c r="M49" i="2" s="1"/>
  <c r="N49" i="2" l="1"/>
  <c r="P49" i="2"/>
  <c r="O49" i="2"/>
  <c r="L49" i="2"/>
  <c r="Q49" i="2" l="1"/>
  <c r="W49" i="2" l="1"/>
  <c r="V49" i="2"/>
  <c r="Z49" i="2"/>
  <c r="I50" i="2" s="1"/>
  <c r="Y49" i="2"/>
  <c r="E50" i="2" s="1"/>
  <c r="R49" i="2"/>
  <c r="T49" i="2"/>
  <c r="U49" i="2"/>
  <c r="S49" i="2"/>
  <c r="X49" i="2" l="1"/>
  <c r="H50" i="2"/>
  <c r="G50" i="2"/>
  <c r="F50" i="2"/>
  <c r="K50" i="2" l="1"/>
  <c r="M50" i="2" s="1"/>
  <c r="P50" i="2" l="1"/>
  <c r="L50" i="2"/>
  <c r="N50" i="2"/>
  <c r="O50" i="2"/>
  <c r="Q50" i="2" l="1"/>
  <c r="S50" i="2" s="1"/>
  <c r="W50" i="2" l="1"/>
  <c r="Z50" i="2"/>
  <c r="H51" i="2" s="1"/>
  <c r="Y50" i="2"/>
  <c r="E51" i="2" s="1"/>
  <c r="V50" i="2"/>
  <c r="R50" i="2"/>
  <c r="T50" i="2"/>
  <c r="U50" i="2"/>
  <c r="G51" i="2" l="1"/>
  <c r="X50" i="2"/>
  <c r="F51" i="2"/>
  <c r="I51" i="2"/>
  <c r="K51" i="2" l="1"/>
  <c r="N51" i="2" s="1"/>
  <c r="M51" i="2"/>
  <c r="O51" i="2"/>
  <c r="L51" i="2" l="1"/>
  <c r="P51" i="2"/>
  <c r="Q51" i="2"/>
  <c r="U51" i="2" s="1"/>
  <c r="Y51" i="2" l="1"/>
  <c r="E52" i="2" s="1"/>
  <c r="T51" i="2"/>
  <c r="V51" i="2"/>
  <c r="Z51" i="2"/>
  <c r="R51" i="2"/>
  <c r="W51" i="2"/>
  <c r="S51" i="2"/>
  <c r="G52" i="2" l="1"/>
  <c r="F52" i="2"/>
  <c r="I52" i="2"/>
  <c r="H52" i="2"/>
  <c r="X51" i="2"/>
  <c r="K52" i="2" l="1"/>
  <c r="O52" i="2" s="1"/>
  <c r="M52" i="2" l="1"/>
  <c r="L52" i="2"/>
  <c r="N52" i="2"/>
  <c r="P52" i="2"/>
  <c r="Q52" i="2" l="1"/>
  <c r="Z52" i="2" s="1"/>
  <c r="W52" i="2" l="1"/>
  <c r="S52" i="2"/>
  <c r="T52" i="2"/>
  <c r="I53" i="2"/>
  <c r="H53" i="2"/>
  <c r="R52" i="2"/>
  <c r="U52" i="2"/>
  <c r="Y52" i="2"/>
  <c r="V52" i="2"/>
  <c r="X52" i="2" l="1"/>
  <c r="E53" i="2"/>
  <c r="G53" i="2"/>
  <c r="F53" i="2"/>
  <c r="K53" i="2" l="1"/>
  <c r="L53" i="2" s="1"/>
  <c r="O53" i="2" l="1"/>
  <c r="P53" i="2"/>
  <c r="N53" i="2"/>
  <c r="M53" i="2"/>
  <c r="Q53" i="2" l="1"/>
  <c r="T53" i="2" s="1"/>
  <c r="Z53" i="2" l="1"/>
  <c r="I54" i="2" s="1"/>
  <c r="U53" i="2"/>
  <c r="R53" i="2"/>
  <c r="S53" i="2"/>
  <c r="W53" i="2"/>
  <c r="Y53" i="2"/>
  <c r="V53" i="2"/>
  <c r="H54" i="2" l="1"/>
  <c r="X53" i="2"/>
  <c r="E54" i="2"/>
  <c r="G54" i="2"/>
  <c r="F54" i="2"/>
  <c r="K54" i="2" l="1"/>
  <c r="O54" i="2" l="1"/>
  <c r="P54" i="2"/>
  <c r="L54" i="2"/>
  <c r="N54" i="2"/>
  <c r="M54" i="2"/>
  <c r="Q54" i="2" l="1"/>
  <c r="T54" i="2" s="1"/>
  <c r="Y54" i="2" l="1"/>
  <c r="G55" i="2" s="1"/>
  <c r="Z54" i="2"/>
  <c r="I55" i="2" s="1"/>
  <c r="W54" i="2"/>
  <c r="R54" i="2"/>
  <c r="V54" i="2"/>
  <c r="S54" i="2"/>
  <c r="U54" i="2"/>
  <c r="H55" i="2" l="1"/>
  <c r="F55" i="2"/>
  <c r="E55" i="2"/>
  <c r="X54" i="2"/>
  <c r="K55" i="2" l="1"/>
  <c r="O55" i="2" s="1"/>
  <c r="N55" i="2"/>
  <c r="L55" i="2" l="1"/>
  <c r="M55" i="2"/>
  <c r="P55" i="2"/>
  <c r="Q55" i="2" l="1"/>
  <c r="R55" i="2" s="1"/>
  <c r="S55" i="2"/>
  <c r="V55" i="2"/>
  <c r="W55" i="2"/>
  <c r="T55" i="2"/>
  <c r="U55" i="2"/>
  <c r="Y55" i="2" l="1"/>
  <c r="G56" i="2" s="1"/>
  <c r="Z55" i="2"/>
  <c r="H56" i="2" s="1"/>
  <c r="F56" i="2"/>
  <c r="E56" i="2"/>
  <c r="X55" i="2"/>
  <c r="I56" i="2" l="1"/>
  <c r="K56" i="2" s="1"/>
  <c r="L56" i="2" l="1"/>
  <c r="N56" i="2"/>
  <c r="M56" i="2"/>
  <c r="U56" i="2" s="1"/>
  <c r="P56" i="2"/>
  <c r="O56" i="2"/>
  <c r="Q56" i="2" s="1"/>
  <c r="Y56" i="2" s="1"/>
  <c r="F57" i="2" s="1"/>
  <c r="V56" i="2"/>
  <c r="W56" i="2"/>
  <c r="R56" i="2"/>
  <c r="S56" i="2" l="1"/>
  <c r="T56" i="2"/>
  <c r="Z56" i="2"/>
  <c r="H57" i="2" s="1"/>
  <c r="X56" i="2"/>
  <c r="E57" i="2"/>
  <c r="G57" i="2"/>
  <c r="I57" i="2"/>
  <c r="K57" i="2" l="1"/>
  <c r="L57" i="2" s="1"/>
  <c r="P57" i="2"/>
  <c r="M57" i="2"/>
  <c r="N57" i="2"/>
  <c r="O57" i="2" l="1"/>
  <c r="Q57" i="2"/>
  <c r="Z57" i="2" s="1"/>
  <c r="Y57" i="2" l="1"/>
  <c r="E58" i="2" s="1"/>
  <c r="U57" i="2"/>
  <c r="W57" i="2"/>
  <c r="S57" i="2"/>
  <c r="R57" i="2"/>
  <c r="T57" i="2"/>
  <c r="I58" i="2"/>
  <c r="H58" i="2"/>
  <c r="V57" i="2"/>
  <c r="F58" i="2" l="1"/>
  <c r="X57" i="2"/>
  <c r="G58" i="2"/>
  <c r="K58" i="2" l="1"/>
  <c r="L58" i="2" s="1"/>
  <c r="P58" i="2"/>
  <c r="O58" i="2"/>
  <c r="N58" i="2" l="1"/>
  <c r="M58" i="2"/>
  <c r="Q58" i="2"/>
  <c r="T58" i="2" s="1"/>
  <c r="Y58" i="2" l="1"/>
  <c r="E59" i="2" s="1"/>
  <c r="U58" i="2"/>
  <c r="V58" i="2"/>
  <c r="W58" i="2"/>
  <c r="Z58" i="2"/>
  <c r="R58" i="2"/>
  <c r="S58" i="2"/>
  <c r="X58" i="2" l="1"/>
  <c r="F59" i="2"/>
  <c r="G59" i="2"/>
  <c r="I59" i="2"/>
  <c r="H59" i="2"/>
  <c r="K59" i="2" l="1"/>
  <c r="P59" i="2" s="1"/>
  <c r="L59" i="2" l="1"/>
  <c r="N59" i="2"/>
  <c r="M59" i="2"/>
  <c r="O59" i="2"/>
  <c r="Q59" i="2" l="1"/>
  <c r="U59" i="2" s="1"/>
  <c r="Y59" i="2" l="1"/>
  <c r="W59" i="2"/>
  <c r="V59" i="2"/>
  <c r="R59" i="2"/>
  <c r="Z59" i="2"/>
  <c r="T59" i="2"/>
  <c r="S59" i="2"/>
  <c r="X59" i="2" l="1"/>
  <c r="G60" i="2"/>
  <c r="F60" i="2"/>
  <c r="E60" i="2"/>
  <c r="H60" i="2"/>
  <c r="I60" i="2"/>
  <c r="K60" i="2" l="1"/>
  <c r="N60" i="2" s="1"/>
  <c r="M60" i="2" l="1"/>
  <c r="L60" i="2"/>
  <c r="O60" i="2"/>
  <c r="P60" i="2"/>
  <c r="Q60" i="2" l="1"/>
  <c r="Z60" i="2" s="1"/>
  <c r="I61" i="2" l="1"/>
  <c r="H61" i="2"/>
  <c r="W60" i="2"/>
  <c r="Y60" i="2"/>
  <c r="V60" i="2"/>
  <c r="T60" i="2"/>
  <c r="U60" i="2"/>
  <c r="R60" i="2"/>
  <c r="S60" i="2"/>
  <c r="X60" i="2" l="1"/>
  <c r="F61" i="2"/>
  <c r="E61" i="2"/>
  <c r="G61" i="2"/>
  <c r="K61" i="2" l="1"/>
  <c r="N61" i="2" l="1"/>
  <c r="O61" i="2"/>
  <c r="P61" i="2"/>
  <c r="M61" i="2"/>
  <c r="L61" i="2"/>
  <c r="Q61" i="2" l="1"/>
  <c r="R61" i="2" s="1"/>
  <c r="Z61" i="2" l="1"/>
  <c r="I62" i="2" s="1"/>
  <c r="Y61" i="2"/>
  <c r="E62" i="2" s="1"/>
  <c r="S61" i="2"/>
  <c r="T61" i="2"/>
  <c r="U61" i="2"/>
  <c r="W61" i="2"/>
  <c r="V61" i="2"/>
  <c r="H62" i="2" l="1"/>
  <c r="F62" i="2"/>
  <c r="G62" i="2"/>
  <c r="X61" i="2"/>
  <c r="K62" i="2" l="1"/>
  <c r="M62" i="2" s="1"/>
  <c r="N62" i="2" l="1"/>
  <c r="O62" i="2"/>
  <c r="P62" i="2"/>
  <c r="L62" i="2"/>
  <c r="Q62" i="2" l="1"/>
  <c r="V62" i="2" s="1"/>
  <c r="Y62" i="2"/>
  <c r="E63" i="2" s="1"/>
  <c r="S62" i="2" l="1"/>
  <c r="U62" i="2"/>
  <c r="R62" i="2"/>
  <c r="T62" i="2"/>
  <c r="Z62" i="2"/>
  <c r="I63" i="2" s="1"/>
  <c r="W62" i="2"/>
  <c r="F63" i="2"/>
  <c r="G63" i="2"/>
  <c r="X62" i="2" l="1"/>
  <c r="H63" i="2"/>
  <c r="K63" i="2"/>
  <c r="M63" i="2" s="1"/>
  <c r="L63" i="2" l="1"/>
  <c r="N63" i="2"/>
  <c r="O63" i="2"/>
  <c r="P63" i="2"/>
  <c r="Q63" i="2" l="1"/>
  <c r="T63" i="2" l="1"/>
  <c r="Y63" i="2"/>
  <c r="R63" i="2"/>
  <c r="V63" i="2"/>
  <c r="S63" i="2"/>
  <c r="W63" i="2"/>
  <c r="U63" i="2"/>
  <c r="Z63" i="2"/>
  <c r="X63" i="2" l="1"/>
  <c r="G64" i="2"/>
  <c r="F64" i="2"/>
  <c r="E64" i="2"/>
  <c r="I64" i="2"/>
  <c r="H64" i="2"/>
  <c r="K64" i="2" l="1"/>
  <c r="L64" i="2" s="1"/>
  <c r="N64" i="2" l="1"/>
  <c r="P64" i="2"/>
  <c r="O64" i="2"/>
  <c r="M64" i="2"/>
  <c r="Q64" i="2" l="1"/>
  <c r="Z64" i="2" s="1"/>
  <c r="I65" i="2" l="1"/>
  <c r="H65" i="2"/>
  <c r="T64" i="2"/>
  <c r="U64" i="2"/>
  <c r="V64" i="2"/>
  <c r="W64" i="2"/>
  <c r="S64" i="2"/>
  <c r="R64" i="2"/>
  <c r="Y64" i="2"/>
  <c r="X64" i="2" l="1"/>
  <c r="E65" i="2"/>
  <c r="F65" i="2"/>
  <c r="G65" i="2"/>
  <c r="K65" i="2" l="1"/>
  <c r="N65" i="2" s="1"/>
  <c r="L65" i="2" l="1"/>
  <c r="O65" i="2"/>
  <c r="P65" i="2"/>
  <c r="M65" i="2"/>
  <c r="Q65" i="2" l="1"/>
  <c r="S65" i="2" s="1"/>
  <c r="Z65" i="2"/>
  <c r="V65" i="2" l="1"/>
  <c r="W65" i="2"/>
  <c r="T65" i="2"/>
  <c r="U65" i="2"/>
  <c r="Y65" i="2"/>
  <c r="E66" i="2" s="1"/>
  <c r="R65" i="2"/>
  <c r="H66" i="2"/>
  <c r="I66" i="2"/>
  <c r="X65" i="2" l="1"/>
  <c r="G66" i="2"/>
  <c r="F66" i="2"/>
  <c r="K66" i="2" s="1"/>
  <c r="N66" i="2" s="1"/>
  <c r="O66" i="2" l="1"/>
  <c r="L66" i="2"/>
  <c r="P66" i="2"/>
  <c r="M66" i="2"/>
  <c r="Q66" i="2" l="1"/>
  <c r="U66" i="2" s="1"/>
  <c r="R66" i="2" l="1"/>
  <c r="S66" i="2"/>
  <c r="V66" i="2"/>
  <c r="T66" i="2"/>
  <c r="Z66" i="2"/>
  <c r="Y66" i="2"/>
  <c r="W66" i="2"/>
  <c r="H67" i="2" l="1"/>
  <c r="I67" i="2"/>
  <c r="G67" i="2"/>
  <c r="F67" i="2"/>
  <c r="E67" i="2"/>
  <c r="X66" i="2"/>
  <c r="K67" i="2" l="1"/>
  <c r="N67" i="2" s="1"/>
  <c r="M67" i="2" l="1"/>
  <c r="L67" i="2"/>
  <c r="P67" i="2"/>
  <c r="O67" i="2"/>
  <c r="Q67" i="2" l="1"/>
  <c r="R67" i="2" s="1"/>
  <c r="W67" i="2" l="1"/>
  <c r="T67" i="2"/>
  <c r="V67" i="2"/>
  <c r="U67" i="2"/>
  <c r="Z67" i="2"/>
  <c r="Y67" i="2"/>
  <c r="S67" i="2"/>
  <c r="X67" i="2" l="1"/>
  <c r="I68" i="2"/>
  <c r="H68" i="2"/>
  <c r="G68" i="2"/>
  <c r="E68" i="2"/>
  <c r="F68" i="2"/>
  <c r="K68" i="2" l="1"/>
  <c r="N68" i="2" s="1"/>
  <c r="L68" i="2" l="1"/>
  <c r="M68" i="2"/>
  <c r="O68" i="2"/>
  <c r="P68" i="2"/>
  <c r="Q68" i="2" l="1"/>
  <c r="Y68" i="2" s="1"/>
  <c r="G69" i="2" l="1"/>
  <c r="E69" i="2"/>
  <c r="F69" i="2"/>
  <c r="V68" i="2"/>
  <c r="W68" i="2"/>
  <c r="T68" i="2"/>
  <c r="R68" i="2"/>
  <c r="U68" i="2"/>
  <c r="Z68" i="2"/>
  <c r="S68" i="2"/>
  <c r="X68" i="2" l="1"/>
  <c r="I69" i="2"/>
  <c r="H69" i="2"/>
  <c r="K69" i="2" l="1"/>
  <c r="P69" i="2" s="1"/>
  <c r="N69" i="2" l="1"/>
  <c r="M69" i="2"/>
  <c r="L69" i="2"/>
  <c r="O69" i="2"/>
  <c r="Q69" i="2" l="1"/>
  <c r="Y69" i="2" s="1"/>
  <c r="E70" i="2" l="1"/>
  <c r="F70" i="2"/>
  <c r="G70" i="2"/>
  <c r="U69" i="2"/>
  <c r="W69" i="2"/>
  <c r="Z69" i="2"/>
  <c r="V69" i="2"/>
  <c r="R69" i="2"/>
  <c r="T69" i="2"/>
  <c r="S69" i="2"/>
  <c r="X69" i="2" l="1"/>
  <c r="H70" i="2"/>
  <c r="I70" i="2"/>
  <c r="K70" i="2" l="1"/>
  <c r="P70" i="2" s="1"/>
  <c r="N70" i="2"/>
  <c r="O70" i="2"/>
  <c r="M70" i="2" l="1"/>
  <c r="L70" i="2"/>
  <c r="Q70" i="2" s="1"/>
  <c r="S70" i="2" s="1"/>
  <c r="R70" i="2" l="1"/>
  <c r="W70" i="2"/>
  <c r="U70" i="2"/>
  <c r="Y70" i="2"/>
  <c r="T70" i="2"/>
  <c r="Z70" i="2"/>
  <c r="V70" i="2"/>
  <c r="X70" i="2" l="1"/>
  <c r="H71" i="2"/>
  <c r="I71" i="2"/>
  <c r="E71" i="2"/>
  <c r="F71" i="2"/>
  <c r="G71" i="2"/>
  <c r="K71" i="2" l="1"/>
  <c r="M71" i="2" s="1"/>
  <c r="O71" i="2" l="1"/>
  <c r="P71" i="2"/>
  <c r="L71" i="2"/>
  <c r="N71" i="2"/>
  <c r="Q71" i="2" l="1"/>
  <c r="R71" i="2" s="1"/>
  <c r="S71" i="2" l="1"/>
  <c r="Z71" i="2"/>
  <c r="U71" i="2"/>
  <c r="T71" i="2"/>
  <c r="W71" i="2"/>
  <c r="Y71" i="2"/>
  <c r="V71" i="2"/>
  <c r="X71" i="2" l="1"/>
  <c r="I72" i="2"/>
  <c r="H72" i="2"/>
  <c r="F72" i="2"/>
  <c r="G72" i="2"/>
  <c r="E72" i="2"/>
  <c r="K72" i="2" l="1"/>
  <c r="L72" i="2" s="1"/>
  <c r="P72" i="2" l="1"/>
  <c r="O72" i="2"/>
  <c r="M72" i="2"/>
  <c r="N72" i="2"/>
  <c r="Q72" i="2" l="1"/>
  <c r="R72" i="2" l="1"/>
  <c r="S72" i="2"/>
  <c r="Y72" i="2"/>
  <c r="W72" i="2"/>
  <c r="V72" i="2"/>
  <c r="Z72" i="2"/>
  <c r="U72" i="2"/>
  <c r="T72" i="2"/>
  <c r="X72" i="2" l="1"/>
  <c r="I73" i="2"/>
  <c r="H73" i="2"/>
  <c r="F73" i="2"/>
  <c r="E73" i="2"/>
  <c r="G73" i="2"/>
  <c r="K73" i="2" l="1"/>
  <c r="M73" i="2" s="1"/>
  <c r="P73" i="2" l="1"/>
  <c r="O73" i="2"/>
  <c r="L73" i="2"/>
  <c r="N73" i="2"/>
  <c r="Q73" i="2" l="1"/>
  <c r="S73" i="2" l="1"/>
  <c r="U73" i="2"/>
  <c r="R73" i="2"/>
  <c r="W73" i="2"/>
  <c r="Z73" i="2"/>
  <c r="T73" i="2"/>
  <c r="V73" i="2"/>
  <c r="Y73" i="2"/>
  <c r="X73" i="2" l="1"/>
  <c r="H74" i="2"/>
  <c r="I74" i="2"/>
  <c r="G74" i="2"/>
  <c r="E74" i="2"/>
  <c r="F74" i="2"/>
  <c r="K74" i="2" l="1"/>
  <c r="O74" i="2" s="1"/>
  <c r="N74" i="2" l="1"/>
  <c r="P74" i="2"/>
  <c r="M74" i="2"/>
  <c r="L74" i="2"/>
  <c r="Q74" i="2" l="1"/>
  <c r="U74" i="2" s="1"/>
  <c r="R74" i="2"/>
  <c r="W74" i="2"/>
  <c r="Z74" i="2"/>
  <c r="T74" i="2"/>
  <c r="Y74" i="2" l="1"/>
  <c r="V74" i="2"/>
  <c r="S74" i="2"/>
  <c r="X74" i="2"/>
  <c r="I75" i="2"/>
  <c r="H75" i="2"/>
  <c r="G75" i="2"/>
  <c r="E75" i="2"/>
  <c r="F75" i="2"/>
  <c r="K75" i="2" l="1"/>
  <c r="L75" i="2" s="1"/>
  <c r="O75" i="2" l="1"/>
  <c r="N75" i="2"/>
  <c r="P75" i="2"/>
  <c r="M75" i="2"/>
  <c r="Q75" i="2" l="1"/>
  <c r="T75" i="2" s="1"/>
  <c r="V75" i="2" l="1"/>
  <c r="R75" i="2"/>
  <c r="Y75" i="2"/>
  <c r="S75" i="2"/>
  <c r="W75" i="2"/>
  <c r="U75" i="2"/>
  <c r="Z75" i="2"/>
  <c r="I76" i="2" l="1"/>
  <c r="H76" i="2"/>
  <c r="X75" i="2"/>
  <c r="F76" i="2"/>
  <c r="G76" i="2"/>
  <c r="E76" i="2"/>
  <c r="K76" i="2" l="1"/>
  <c r="L76" i="2" s="1"/>
  <c r="P76" i="2" l="1"/>
  <c r="N76" i="2"/>
  <c r="O76" i="2"/>
  <c r="M76" i="2"/>
  <c r="Q76" i="2"/>
  <c r="T76" i="2" s="1"/>
  <c r="R76" i="2" l="1"/>
  <c r="V76" i="2"/>
  <c r="Y76" i="2"/>
  <c r="S76" i="2"/>
  <c r="U76" i="2"/>
  <c r="Z76" i="2"/>
  <c r="W76" i="2"/>
  <c r="X76" i="2" l="1"/>
  <c r="E77" i="2"/>
  <c r="F77" i="2"/>
  <c r="G77" i="2"/>
  <c r="H77" i="2"/>
  <c r="I77" i="2"/>
  <c r="K77" i="2" l="1"/>
  <c r="N77" i="2" s="1"/>
  <c r="M77" i="2" l="1"/>
  <c r="P77" i="2"/>
  <c r="L77" i="2"/>
  <c r="O77" i="2"/>
  <c r="Q77" i="2" l="1"/>
  <c r="R77" i="2" s="1"/>
  <c r="U77" i="2" l="1"/>
  <c r="Z77" i="2"/>
  <c r="S77" i="2"/>
  <c r="Y77" i="2"/>
  <c r="T77" i="2"/>
  <c r="V77" i="2"/>
  <c r="W77" i="2"/>
  <c r="X77" i="2" l="1"/>
  <c r="G78" i="2"/>
  <c r="F78" i="2"/>
  <c r="E78" i="2"/>
  <c r="H78" i="2"/>
  <c r="I78" i="2"/>
  <c r="K78" i="2" l="1"/>
  <c r="P78" i="2" s="1"/>
  <c r="N78" i="2" l="1"/>
  <c r="O78" i="2"/>
  <c r="M78" i="2"/>
  <c r="L78" i="2"/>
  <c r="Q78" i="2" s="1"/>
  <c r="Z78" i="2" s="1"/>
  <c r="I79" i="2" l="1"/>
  <c r="H79" i="2"/>
  <c r="Y78" i="2"/>
  <c r="U78" i="2"/>
  <c r="W78" i="2"/>
  <c r="R78" i="2"/>
  <c r="S78" i="2"/>
  <c r="V78" i="2"/>
  <c r="T78" i="2"/>
  <c r="X78" i="2" l="1"/>
  <c r="E79" i="2"/>
  <c r="F79" i="2"/>
  <c r="G79" i="2"/>
  <c r="K79" i="2" l="1"/>
  <c r="L79" i="2" l="1"/>
  <c r="O79" i="2"/>
  <c r="P79" i="2"/>
  <c r="M79" i="2"/>
  <c r="N79" i="2"/>
  <c r="Q79" i="2" l="1"/>
  <c r="Z79" i="2" s="1"/>
  <c r="I80" i="2" l="1"/>
  <c r="H80" i="2"/>
  <c r="W79" i="2"/>
  <c r="S79" i="2"/>
  <c r="V79" i="2"/>
  <c r="U79" i="2"/>
  <c r="T79" i="2"/>
  <c r="R79" i="2"/>
  <c r="Y79" i="2"/>
  <c r="X79" i="2" l="1"/>
  <c r="G80" i="2"/>
  <c r="E80" i="2"/>
  <c r="F80" i="2"/>
  <c r="K80" i="2" l="1"/>
  <c r="O80" i="2" l="1"/>
  <c r="P80" i="2"/>
  <c r="N80" i="2"/>
  <c r="L80" i="2"/>
  <c r="M80" i="2"/>
  <c r="Q80" i="2" l="1"/>
  <c r="W80" i="2" s="1"/>
  <c r="Y80" i="2" l="1"/>
  <c r="R80" i="2"/>
  <c r="T80" i="2"/>
  <c r="Z80" i="2"/>
  <c r="U80" i="2"/>
  <c r="S80" i="2"/>
  <c r="V80" i="2"/>
  <c r="X80" i="2" l="1"/>
  <c r="H81" i="2"/>
  <c r="I81" i="2"/>
  <c r="F81" i="2"/>
  <c r="E81" i="2"/>
  <c r="G81" i="2"/>
  <c r="K81" i="2" l="1"/>
  <c r="L81" i="2" s="1"/>
  <c r="O81" i="2" l="1"/>
  <c r="P81" i="2"/>
  <c r="M81" i="2"/>
  <c r="N81" i="2"/>
  <c r="Q81" i="2"/>
  <c r="T81" i="2" s="1"/>
  <c r="R81" i="2" l="1"/>
  <c r="Y81" i="2"/>
  <c r="W81" i="2"/>
  <c r="Z81" i="2"/>
  <c r="U81" i="2"/>
  <c r="S81" i="2"/>
  <c r="V81" i="2"/>
  <c r="X81" i="2" l="1"/>
  <c r="F82" i="2"/>
  <c r="G82" i="2"/>
  <c r="E82" i="2"/>
  <c r="I82" i="2"/>
  <c r="H82" i="2"/>
  <c r="K82" i="2" l="1"/>
  <c r="M82" i="2" s="1"/>
  <c r="O82" i="2" l="1"/>
  <c r="N82" i="2"/>
  <c r="P82" i="2"/>
  <c r="L82" i="2"/>
  <c r="Q82" i="2" s="1"/>
  <c r="R82" i="2" s="1"/>
  <c r="Y82" i="2" l="1"/>
  <c r="F83" i="2" s="1"/>
  <c r="Z82" i="2"/>
  <c r="T82" i="2"/>
  <c r="S82" i="2"/>
  <c r="W82" i="2"/>
  <c r="U82" i="2"/>
  <c r="V82" i="2"/>
  <c r="G83" i="2" l="1"/>
  <c r="E83" i="2"/>
  <c r="X82" i="2"/>
  <c r="H83" i="2"/>
  <c r="I83" i="2"/>
  <c r="K83" i="2" l="1"/>
  <c r="O83" i="2" s="1"/>
  <c r="L83" i="2" l="1"/>
  <c r="N83" i="2"/>
  <c r="M83" i="2"/>
  <c r="P83" i="2"/>
  <c r="Q83" i="2" l="1"/>
  <c r="Z83" i="2"/>
  <c r="H84" i="2" l="1"/>
  <c r="I84" i="2"/>
  <c r="V83" i="2"/>
  <c r="S83" i="2"/>
  <c r="Y83" i="2"/>
  <c r="T83" i="2"/>
  <c r="U83" i="2"/>
  <c r="R83" i="2"/>
  <c r="W83" i="2"/>
  <c r="X83" i="2" l="1"/>
  <c r="F84" i="2"/>
  <c r="G84" i="2"/>
  <c r="E84" i="2"/>
  <c r="K84" i="2" l="1"/>
  <c r="L84" i="2" s="1"/>
  <c r="M84" i="2" l="1"/>
  <c r="N84" i="2"/>
  <c r="P84" i="2"/>
  <c r="O84" i="2"/>
  <c r="Q84" i="2" l="1"/>
  <c r="Z84" i="2" s="1"/>
  <c r="H85" i="2" l="1"/>
  <c r="I85" i="2"/>
  <c r="W84" i="2"/>
  <c r="R84" i="2"/>
  <c r="T84" i="2"/>
  <c r="Y84" i="2"/>
  <c r="U84" i="2"/>
  <c r="V84" i="2"/>
  <c r="S84" i="2"/>
  <c r="X84" i="2" l="1"/>
  <c r="E85" i="2"/>
  <c r="G85" i="2"/>
  <c r="F85" i="2"/>
  <c r="K85" i="2" l="1"/>
  <c r="N85" i="2" s="1"/>
  <c r="P85" i="2" l="1"/>
  <c r="O85" i="2"/>
  <c r="L85" i="2"/>
  <c r="M85" i="2"/>
  <c r="Q85" i="2" l="1"/>
  <c r="R85" i="2" s="1"/>
  <c r="Z85" i="2"/>
  <c r="Y85" i="2"/>
  <c r="W85" i="2" l="1"/>
  <c r="S85" i="2"/>
  <c r="T85" i="2"/>
  <c r="U85" i="2"/>
  <c r="G86" i="2"/>
  <c r="E86" i="2"/>
  <c r="F86" i="2"/>
  <c r="I86" i="2"/>
  <c r="H86" i="2"/>
  <c r="V85" i="2"/>
  <c r="X85" i="2" l="1"/>
  <c r="K86" i="2"/>
  <c r="M86" i="2" s="1"/>
  <c r="P86" i="2" l="1"/>
  <c r="L86" i="2"/>
  <c r="O86" i="2"/>
  <c r="N86" i="2"/>
  <c r="Q86" i="2" l="1"/>
  <c r="S86" i="2" s="1"/>
  <c r="R86" i="2" l="1"/>
  <c r="V86" i="2"/>
  <c r="Y86" i="2"/>
  <c r="W86" i="2"/>
  <c r="U86" i="2"/>
  <c r="T86" i="2"/>
  <c r="Z86" i="2"/>
  <c r="X86" i="2" l="1"/>
  <c r="I87" i="2"/>
  <c r="H87" i="2"/>
  <c r="F87" i="2"/>
  <c r="E87" i="2"/>
  <c r="G87" i="2"/>
  <c r="K87" i="2" l="1"/>
  <c r="P87" i="2" s="1"/>
  <c r="O87" i="2" l="1"/>
  <c r="M87" i="2"/>
  <c r="N87" i="2"/>
  <c r="L87" i="2"/>
  <c r="Q87" i="2"/>
  <c r="T87" i="2" l="1"/>
  <c r="Z87" i="2"/>
  <c r="R87" i="2"/>
  <c r="S87" i="2"/>
  <c r="V87" i="2"/>
  <c r="U87" i="2"/>
  <c r="W87" i="2"/>
  <c r="Y87" i="2"/>
  <c r="X87" i="2" l="1"/>
  <c r="H88" i="2"/>
  <c r="I88" i="2"/>
  <c r="F88" i="2"/>
  <c r="E88" i="2"/>
  <c r="G88" i="2"/>
  <c r="K88" i="2" l="1"/>
  <c r="L88" i="2" s="1"/>
  <c r="M88" i="2" l="1"/>
  <c r="N88" i="2"/>
  <c r="O88" i="2"/>
  <c r="P88" i="2"/>
  <c r="Q88" i="2" l="1"/>
  <c r="U88" i="2" s="1"/>
  <c r="Z88" i="2"/>
  <c r="W88" i="2"/>
  <c r="Y88" i="2" l="1"/>
  <c r="E89" i="2" s="1"/>
  <c r="V88" i="2"/>
  <c r="S88" i="2"/>
  <c r="T88" i="2"/>
  <c r="R88" i="2"/>
  <c r="I89" i="2"/>
  <c r="H89" i="2"/>
  <c r="F89" i="2" l="1"/>
  <c r="G89" i="2"/>
  <c r="X88" i="2"/>
  <c r="K89" i="2" l="1"/>
  <c r="M89" i="2" s="1"/>
  <c r="L89" i="2" l="1"/>
  <c r="P89" i="2"/>
  <c r="N89" i="2"/>
  <c r="O89" i="2"/>
  <c r="Q89" i="2"/>
  <c r="R89" i="2" s="1"/>
  <c r="Y89" i="2" l="1"/>
  <c r="U89" i="2"/>
  <c r="T89" i="2"/>
  <c r="S89" i="2"/>
  <c r="W89" i="2"/>
  <c r="V89" i="2"/>
  <c r="Z89" i="2"/>
  <c r="X89" i="2" l="1"/>
  <c r="H90" i="2"/>
  <c r="I90" i="2"/>
  <c r="F90" i="2"/>
  <c r="E90" i="2"/>
  <c r="G90" i="2"/>
  <c r="K90" i="2" l="1"/>
  <c r="O90" i="2" s="1"/>
  <c r="M90" i="2" l="1"/>
  <c r="L90" i="2"/>
  <c r="P90" i="2"/>
  <c r="N90" i="2"/>
  <c r="Q90" i="2" s="1"/>
  <c r="S90" i="2" l="1"/>
  <c r="U90" i="2"/>
  <c r="T90" i="2"/>
  <c r="R90" i="2"/>
  <c r="W90" i="2"/>
  <c r="Z90" i="2"/>
  <c r="V90" i="2"/>
  <c r="Y90" i="2"/>
  <c r="X90" i="2" l="1"/>
  <c r="I91" i="2"/>
  <c r="H91" i="2"/>
  <c r="G91" i="2"/>
  <c r="E91" i="2"/>
  <c r="F91" i="2"/>
  <c r="K91" i="2" l="1"/>
  <c r="L91" i="2" s="1"/>
  <c r="M91" i="2"/>
  <c r="P91" i="2" l="1"/>
  <c r="O91" i="2"/>
  <c r="N91" i="2"/>
  <c r="Q91" i="2"/>
  <c r="R91" i="2" s="1"/>
  <c r="Z91" i="2"/>
  <c r="Y91" i="2" l="1"/>
  <c r="E92" i="2" s="1"/>
  <c r="S91" i="2"/>
  <c r="V91" i="2"/>
  <c r="T91" i="2"/>
  <c r="U91" i="2"/>
  <c r="W91" i="2"/>
  <c r="H92" i="2"/>
  <c r="I92" i="2"/>
  <c r="X91" i="2" l="1"/>
  <c r="G92" i="2"/>
  <c r="F92" i="2"/>
  <c r="K92" i="2" s="1"/>
  <c r="M92" i="2" s="1"/>
  <c r="L92" i="2" l="1"/>
  <c r="O92" i="2"/>
  <c r="P92" i="2"/>
  <c r="N92" i="2"/>
  <c r="Q92" i="2" l="1"/>
  <c r="U92" i="2" l="1"/>
  <c r="T92" i="2"/>
  <c r="R92" i="2"/>
  <c r="V92" i="2"/>
  <c r="S92" i="2"/>
  <c r="W92" i="2"/>
  <c r="Y92" i="2"/>
  <c r="Z92" i="2"/>
  <c r="X92" i="2" l="1"/>
  <c r="F93" i="2"/>
  <c r="E93" i="2"/>
  <c r="G93" i="2"/>
  <c r="H93" i="2"/>
  <c r="I93" i="2"/>
  <c r="K93" i="2" l="1"/>
  <c r="L93" i="2" s="1"/>
  <c r="M93" i="2" l="1"/>
  <c r="N93" i="2"/>
  <c r="P93" i="2"/>
  <c r="O93" i="2"/>
  <c r="Q93" i="2" l="1"/>
  <c r="S93" i="2" s="1"/>
  <c r="V93" i="2" l="1"/>
  <c r="R93" i="2"/>
  <c r="U93" i="2"/>
  <c r="T93" i="2"/>
  <c r="W93" i="2"/>
  <c r="Y93" i="2"/>
  <c r="Z93" i="2"/>
  <c r="X93" i="2" l="1"/>
  <c r="F94" i="2"/>
  <c r="G94" i="2"/>
  <c r="E94" i="2"/>
  <c r="I94" i="2"/>
  <c r="H94" i="2"/>
  <c r="K94" i="2" l="1"/>
  <c r="O94" i="2" s="1"/>
  <c r="P94" i="2"/>
  <c r="N94" i="2"/>
  <c r="M94" i="2"/>
  <c r="L94" i="2" l="1"/>
  <c r="Q94" i="2" l="1"/>
  <c r="R94" i="2" s="1"/>
  <c r="Y94" i="2" l="1"/>
  <c r="S94" i="2"/>
  <c r="W94" i="2"/>
  <c r="Z94" i="2"/>
  <c r="T94" i="2"/>
  <c r="U94" i="2"/>
  <c r="V94" i="2"/>
  <c r="X94" i="2" l="1"/>
  <c r="H95" i="2"/>
  <c r="I95" i="2"/>
  <c r="E95" i="2"/>
  <c r="G95" i="2"/>
  <c r="F95" i="2"/>
  <c r="K95" i="2" l="1"/>
  <c r="O95" i="2" s="1"/>
  <c r="P95" i="2" l="1"/>
  <c r="M95" i="2"/>
  <c r="L95" i="2"/>
  <c r="N95" i="2"/>
  <c r="Q95" i="2" l="1"/>
  <c r="U95" i="2" s="1"/>
  <c r="T95" i="2" l="1"/>
  <c r="R95" i="2"/>
  <c r="Y95" i="2"/>
  <c r="S95" i="2"/>
  <c r="W95" i="2"/>
  <c r="Z95" i="2"/>
  <c r="V95" i="2"/>
  <c r="X95" i="2" l="1"/>
  <c r="H96" i="2"/>
  <c r="I96" i="2"/>
  <c r="E96" i="2"/>
  <c r="F96" i="2"/>
  <c r="G96" i="2"/>
  <c r="K96" i="2" l="1"/>
  <c r="O96" i="2" s="1"/>
  <c r="L96" i="2" l="1"/>
  <c r="N96" i="2"/>
  <c r="P96" i="2"/>
  <c r="M96" i="2"/>
  <c r="Q96" i="2" l="1"/>
  <c r="S96" i="2" l="1"/>
  <c r="U96" i="2"/>
  <c r="R96" i="2"/>
  <c r="T96" i="2"/>
  <c r="Y96" i="2"/>
  <c r="V96" i="2"/>
  <c r="Z96" i="2"/>
  <c r="W96" i="2"/>
  <c r="X96" i="2" l="1"/>
  <c r="H97" i="2"/>
  <c r="I97" i="2"/>
  <c r="E97" i="2"/>
  <c r="F97" i="2"/>
  <c r="G97" i="2"/>
  <c r="K97" i="2" l="1"/>
  <c r="L97" i="2" s="1"/>
  <c r="P97" i="2" l="1"/>
  <c r="M97" i="2"/>
  <c r="O97" i="2"/>
  <c r="N97" i="2"/>
  <c r="Q97" i="2" s="1"/>
  <c r="R97" i="2" l="1"/>
  <c r="V97" i="2"/>
  <c r="U97" i="2"/>
  <c r="Y97" i="2"/>
  <c r="T97" i="2"/>
  <c r="Z97" i="2"/>
  <c r="S97" i="2"/>
  <c r="W97" i="2"/>
  <c r="X97" i="2" l="1"/>
  <c r="F98" i="2"/>
  <c r="G98" i="2"/>
  <c r="E98" i="2"/>
  <c r="H98" i="2"/>
  <c r="I98" i="2"/>
  <c r="K98" i="2" l="1"/>
  <c r="N98" i="2" s="1"/>
  <c r="O98" i="2" l="1"/>
  <c r="M98" i="2"/>
  <c r="L98" i="2"/>
  <c r="P98" i="2"/>
  <c r="Q98" i="2" l="1"/>
  <c r="R98" i="2" s="1"/>
  <c r="S98" i="2" l="1"/>
  <c r="Y98" i="2"/>
  <c r="U98" i="2"/>
  <c r="V98" i="2"/>
  <c r="Z98" i="2"/>
  <c r="T98" i="2"/>
  <c r="W98" i="2"/>
  <c r="X98" i="2" l="1"/>
  <c r="I99" i="2"/>
  <c r="H99" i="2"/>
  <c r="G99" i="2"/>
  <c r="F99" i="2"/>
  <c r="E99" i="2"/>
  <c r="K99" i="2" l="1"/>
  <c r="N99" i="2" s="1"/>
  <c r="L99" i="2" l="1"/>
  <c r="M99" i="2"/>
  <c r="O99" i="2"/>
  <c r="P99" i="2"/>
  <c r="Q99" i="2" l="1"/>
  <c r="Y99" i="2" s="1"/>
  <c r="G100" i="2" l="1"/>
  <c r="F100" i="2"/>
  <c r="E100" i="2"/>
  <c r="R99" i="2"/>
  <c r="V99" i="2"/>
  <c r="U99" i="2"/>
  <c r="Z99" i="2"/>
  <c r="T99" i="2"/>
  <c r="S99" i="2"/>
  <c r="W99" i="2"/>
  <c r="X99" i="2" l="1"/>
  <c r="I100" i="2"/>
  <c r="H100" i="2"/>
  <c r="K100" i="2" l="1"/>
  <c r="L100" i="2" l="1"/>
  <c r="N100" i="2"/>
  <c r="M100" i="2"/>
  <c r="P100" i="2"/>
  <c r="O100" i="2"/>
  <c r="Q100" i="2" l="1"/>
  <c r="Z100" i="2" l="1"/>
  <c r="S100" i="2"/>
  <c r="V100" i="2"/>
  <c r="T100" i="2"/>
  <c r="U100" i="2"/>
  <c r="Y100" i="2"/>
  <c r="R100" i="2"/>
  <c r="W100" i="2"/>
  <c r="X100" i="2" l="1"/>
  <c r="E101" i="2"/>
  <c r="F101" i="2"/>
  <c r="G101" i="2"/>
  <c r="H101" i="2"/>
  <c r="I101" i="2"/>
  <c r="K101" i="2" l="1"/>
  <c r="N101" i="2" s="1"/>
  <c r="O101" i="2" l="1"/>
  <c r="M101" i="2"/>
  <c r="L101" i="2"/>
  <c r="P101" i="2"/>
  <c r="Q101" i="2" l="1"/>
  <c r="R101" i="2" s="1"/>
  <c r="U101" i="2" l="1"/>
  <c r="Z101" i="2"/>
  <c r="W101" i="2"/>
  <c r="S101" i="2"/>
  <c r="Y101" i="2"/>
  <c r="T101" i="2"/>
  <c r="V101" i="2"/>
  <c r="X101" i="2" l="1"/>
  <c r="I102" i="2"/>
  <c r="H102" i="2"/>
  <c r="E102" i="2"/>
  <c r="G102" i="2"/>
  <c r="F102" i="2"/>
  <c r="K102" i="2" l="1"/>
  <c r="M102" i="2" s="1"/>
  <c r="L102" i="2" l="1"/>
  <c r="O102" i="2"/>
  <c r="P102" i="2"/>
  <c r="N102" i="2"/>
  <c r="Q102" i="2" l="1"/>
  <c r="T102" i="2" l="1"/>
  <c r="U102" i="2"/>
  <c r="Y102" i="2"/>
  <c r="R102" i="2"/>
  <c r="V102" i="2"/>
  <c r="Z102" i="2"/>
  <c r="S102" i="2"/>
  <c r="W102" i="2"/>
  <c r="X102" i="2" l="1"/>
  <c r="E103" i="2"/>
  <c r="G103" i="2"/>
  <c r="F103" i="2"/>
  <c r="I103" i="2"/>
  <c r="H103" i="2"/>
  <c r="K103" i="2" l="1"/>
  <c r="O103" i="2" s="1"/>
  <c r="N103" i="2" l="1"/>
  <c r="L103" i="2"/>
  <c r="P103" i="2"/>
  <c r="M103" i="2"/>
  <c r="Q103" i="2" l="1"/>
  <c r="Z103" i="2" s="1"/>
  <c r="I104" i="2" l="1"/>
  <c r="H104" i="2"/>
  <c r="Y103" i="2"/>
  <c r="U103" i="2"/>
  <c r="V103" i="2"/>
  <c r="R103" i="2"/>
  <c r="W103" i="2"/>
  <c r="S103" i="2"/>
  <c r="T103" i="2"/>
  <c r="X103" i="2" l="1"/>
  <c r="E104" i="2"/>
  <c r="F104" i="2"/>
  <c r="G104" i="2"/>
  <c r="K104" i="2" l="1"/>
  <c r="N104" i="2" l="1"/>
  <c r="P104" i="2"/>
  <c r="O104" i="2"/>
  <c r="L104" i="2"/>
  <c r="M104" i="2"/>
  <c r="Q104" i="2" l="1"/>
  <c r="R104" i="2" s="1"/>
  <c r="V104" i="2" l="1"/>
  <c r="U104" i="2"/>
  <c r="W104" i="2"/>
  <c r="Y104" i="2"/>
  <c r="S104" i="2"/>
  <c r="Z104" i="2"/>
  <c r="T104" i="2"/>
  <c r="X104" i="2" l="1"/>
  <c r="G105" i="2"/>
  <c r="F105" i="2"/>
  <c r="E105" i="2"/>
  <c r="H105" i="2"/>
  <c r="I105" i="2"/>
  <c r="K105" i="2" l="1"/>
  <c r="L105" i="2" s="1"/>
  <c r="N105" i="2" l="1"/>
  <c r="M105" i="2"/>
  <c r="P105" i="2"/>
  <c r="O105" i="2"/>
  <c r="Q105" i="2" l="1"/>
  <c r="Z105" i="2" s="1"/>
  <c r="Y105" i="2"/>
  <c r="V105" i="2" l="1"/>
  <c r="U105" i="2"/>
  <c r="I106" i="2"/>
  <c r="H106" i="2"/>
  <c r="R105" i="2"/>
  <c r="T105" i="2"/>
  <c r="S105" i="2"/>
  <c r="W105" i="2"/>
  <c r="G106" i="2"/>
  <c r="F106" i="2"/>
  <c r="E106" i="2"/>
  <c r="X105" i="2" l="1"/>
  <c r="K106" i="2"/>
  <c r="M106" i="2" s="1"/>
  <c r="N106" i="2" l="1"/>
  <c r="L106" i="2"/>
  <c r="P106" i="2"/>
  <c r="O106" i="2"/>
  <c r="Q106" i="2" l="1"/>
  <c r="T106" i="2" s="1"/>
  <c r="Z106" i="2" l="1"/>
  <c r="H107" i="2" s="1"/>
  <c r="S106" i="2"/>
  <c r="W106" i="2"/>
  <c r="U106" i="2"/>
  <c r="Y106" i="2"/>
  <c r="G107" i="2" s="1"/>
  <c r="V106" i="2"/>
  <c r="R106" i="2"/>
  <c r="X106" i="2" l="1"/>
  <c r="F107" i="2"/>
  <c r="I107" i="2"/>
  <c r="E107" i="2"/>
  <c r="K107" i="2" l="1"/>
  <c r="L107" i="2" s="1"/>
  <c r="O107" i="2"/>
  <c r="M107" i="2" l="1"/>
  <c r="P107" i="2"/>
  <c r="N107" i="2"/>
  <c r="Q107" i="2"/>
  <c r="T107" i="2" s="1"/>
  <c r="U107" i="2" l="1"/>
  <c r="Z107" i="2"/>
  <c r="S107" i="2"/>
  <c r="R107" i="2"/>
  <c r="W107" i="2"/>
  <c r="V107" i="2"/>
  <c r="Y107" i="2"/>
  <c r="X107" i="2" l="1"/>
  <c r="F108" i="2"/>
  <c r="E108" i="2"/>
  <c r="G108" i="2"/>
  <c r="I108" i="2"/>
  <c r="H108" i="2"/>
  <c r="K108" i="2" l="1"/>
  <c r="P108" i="2" s="1"/>
  <c r="O108" i="2" l="1"/>
  <c r="N108" i="2"/>
  <c r="L108" i="2"/>
  <c r="M108" i="2"/>
  <c r="Q108" i="2" l="1"/>
  <c r="R108" i="2" s="1"/>
  <c r="V108" i="2" l="1"/>
  <c r="Y108" i="2"/>
  <c r="T108" i="2"/>
  <c r="S108" i="2"/>
  <c r="Z108" i="2"/>
  <c r="U108" i="2"/>
  <c r="W108" i="2"/>
  <c r="X108" i="2" l="1"/>
  <c r="I109" i="2"/>
  <c r="H109" i="2"/>
  <c r="G109" i="2"/>
  <c r="F109" i="2"/>
  <c r="E109" i="2"/>
  <c r="K109" i="2" l="1"/>
  <c r="M109" i="2" s="1"/>
  <c r="P109" i="2" l="1"/>
  <c r="O109" i="2"/>
  <c r="L109" i="2"/>
  <c r="N109" i="2"/>
  <c r="Q109" i="2" l="1"/>
  <c r="Y109" i="2" s="1"/>
  <c r="F110" i="2" l="1"/>
  <c r="E110" i="2"/>
  <c r="G110" i="2"/>
  <c r="Z109" i="2"/>
  <c r="S109" i="2"/>
  <c r="T109" i="2"/>
  <c r="U109" i="2"/>
  <c r="W109" i="2"/>
  <c r="R109" i="2"/>
  <c r="V109" i="2"/>
  <c r="X109" i="2" l="1"/>
  <c r="I110" i="2"/>
  <c r="H110" i="2"/>
  <c r="K110" i="2" s="1"/>
  <c r="N110" i="2" l="1"/>
  <c r="M110" i="2"/>
  <c r="L110" i="2"/>
  <c r="O110" i="2"/>
  <c r="P110" i="2"/>
  <c r="Q110" i="2" l="1"/>
  <c r="R110" i="2" s="1"/>
  <c r="Z110" i="2" l="1"/>
  <c r="W110" i="2"/>
  <c r="Y110" i="2"/>
  <c r="U110" i="2"/>
  <c r="T110" i="2"/>
  <c r="V110" i="2"/>
  <c r="S110" i="2"/>
  <c r="X110" i="2" l="1"/>
  <c r="G111" i="2"/>
  <c r="E111" i="2"/>
  <c r="F111" i="2"/>
  <c r="H111" i="2"/>
  <c r="I111" i="2"/>
  <c r="K111" i="2" l="1"/>
  <c r="M111" i="2" s="1"/>
  <c r="O111" i="2" l="1"/>
  <c r="L111" i="2"/>
  <c r="P111" i="2"/>
  <c r="N111" i="2"/>
  <c r="Q111" i="2" l="1"/>
  <c r="Z111" i="2" l="1"/>
  <c r="T111" i="2"/>
  <c r="U111" i="2"/>
  <c r="Y111" i="2"/>
  <c r="S111" i="2"/>
  <c r="V111" i="2"/>
  <c r="R111" i="2"/>
  <c r="W111" i="2"/>
  <c r="X111" i="2" l="1"/>
  <c r="F112" i="2"/>
  <c r="G112" i="2"/>
  <c r="E112" i="2"/>
  <c r="I112" i="2"/>
  <c r="H112" i="2"/>
  <c r="K112" i="2" l="1"/>
  <c r="P112" i="2" s="1"/>
  <c r="L112" i="2" l="1"/>
  <c r="O112" i="2"/>
  <c r="N112" i="2"/>
  <c r="M112" i="2"/>
  <c r="Q112" i="2" l="1"/>
  <c r="U112" i="2" s="1"/>
  <c r="R112" i="2" l="1"/>
  <c r="T112" i="2"/>
  <c r="W112" i="2"/>
  <c r="Y112" i="2"/>
  <c r="V112" i="2"/>
  <c r="Z112" i="2"/>
  <c r="S112" i="2"/>
  <c r="X112" i="2" l="1"/>
  <c r="I113" i="2"/>
  <c r="H113" i="2"/>
  <c r="E113" i="2"/>
  <c r="F113" i="2"/>
  <c r="G113" i="2"/>
  <c r="K113" i="2" l="1"/>
  <c r="O113" i="2" s="1"/>
  <c r="N113" i="2" l="1"/>
  <c r="L113" i="2"/>
  <c r="P113" i="2"/>
  <c r="M113" i="2"/>
  <c r="Q113" i="2" l="1"/>
  <c r="Y113" i="2" s="1"/>
  <c r="G114" i="2" l="1"/>
  <c r="F114" i="2"/>
  <c r="E114" i="2"/>
  <c r="S113" i="2"/>
  <c r="V113" i="2"/>
  <c r="T113" i="2"/>
  <c r="U113" i="2"/>
  <c r="R113" i="2"/>
  <c r="Z113" i="2"/>
  <c r="W113" i="2"/>
  <c r="X113" i="2" l="1"/>
  <c r="I114" i="2"/>
  <c r="H114" i="2"/>
  <c r="K114" i="2" l="1"/>
  <c r="O114" i="2" s="1"/>
  <c r="M114" i="2" l="1"/>
  <c r="L114" i="2"/>
  <c r="N114" i="2"/>
  <c r="P114" i="2"/>
  <c r="Q114" i="2" l="1"/>
  <c r="R114" i="2" s="1"/>
  <c r="W114" i="2" l="1"/>
  <c r="Z114" i="2"/>
  <c r="T114" i="2"/>
  <c r="U114" i="2"/>
  <c r="S114" i="2"/>
  <c r="Y114" i="2"/>
  <c r="V114" i="2"/>
  <c r="X114" i="2" l="1"/>
  <c r="G115" i="2"/>
  <c r="E115" i="2"/>
  <c r="F115" i="2"/>
  <c r="H115" i="2"/>
  <c r="I115" i="2"/>
  <c r="K115" i="2" l="1"/>
  <c r="L115" i="2" s="1"/>
  <c r="M115" i="2" l="1"/>
  <c r="P115" i="2"/>
  <c r="N115" i="2"/>
  <c r="O115" i="2"/>
  <c r="Q115" i="2" l="1"/>
  <c r="R115" i="2" s="1"/>
  <c r="U115" i="2"/>
  <c r="Y115" i="2"/>
  <c r="Z115" i="2" l="1"/>
  <c r="T115" i="2"/>
  <c r="S115" i="2"/>
  <c r="W115" i="2"/>
  <c r="V115" i="2"/>
  <c r="X115" i="2"/>
  <c r="H116" i="2"/>
  <c r="I116" i="2"/>
  <c r="F116" i="2"/>
  <c r="G116" i="2"/>
  <c r="E116" i="2"/>
  <c r="K116" i="2" l="1"/>
  <c r="N116" i="2" s="1"/>
  <c r="O116" i="2" l="1"/>
  <c r="P116" i="2"/>
  <c r="M116" i="2"/>
  <c r="L116" i="2"/>
  <c r="Q116" i="2" l="1"/>
  <c r="R116" i="2" s="1"/>
  <c r="Y116" i="2" l="1"/>
  <c r="T116" i="2"/>
  <c r="S116" i="2"/>
  <c r="U116" i="2"/>
  <c r="W116" i="2"/>
  <c r="Z116" i="2"/>
  <c r="V116" i="2"/>
  <c r="X116" i="2" l="1"/>
  <c r="I117" i="2"/>
  <c r="H117" i="2"/>
  <c r="G117" i="2"/>
  <c r="F117" i="2"/>
  <c r="E117" i="2"/>
  <c r="K117" i="2" l="1"/>
  <c r="O117" i="2" s="1"/>
  <c r="L117" i="2" l="1"/>
  <c r="N117" i="2"/>
  <c r="P117" i="2"/>
  <c r="M117" i="2"/>
  <c r="Q117" i="2" l="1"/>
  <c r="Z117" i="2" s="1"/>
  <c r="I118" i="2" l="1"/>
  <c r="H118" i="2"/>
  <c r="W117" i="2"/>
  <c r="U117" i="2"/>
  <c r="R117" i="2"/>
  <c r="S117" i="2"/>
  <c r="T117" i="2"/>
  <c r="Y117" i="2"/>
  <c r="V117" i="2"/>
  <c r="X117" i="2" l="1"/>
  <c r="F118" i="2"/>
  <c r="G118" i="2"/>
  <c r="E118" i="2"/>
  <c r="K118" i="2" l="1"/>
  <c r="L118" i="2" s="1"/>
  <c r="N118" i="2" l="1"/>
  <c r="M118" i="2"/>
  <c r="O118" i="2"/>
  <c r="P118" i="2"/>
  <c r="Q118" i="2" l="1"/>
  <c r="V118" i="2" s="1"/>
  <c r="Z118" i="2" l="1"/>
  <c r="H119" i="2" s="1"/>
  <c r="Y118" i="2"/>
  <c r="G119" i="2" s="1"/>
  <c r="T118" i="2"/>
  <c r="U118" i="2"/>
  <c r="W118" i="2"/>
  <c r="S118" i="2"/>
  <c r="R118" i="2"/>
  <c r="I119" i="2" l="1"/>
  <c r="F119" i="2"/>
  <c r="X118" i="2"/>
  <c r="E119" i="2"/>
  <c r="K119" i="2" s="1"/>
  <c r="O119" i="2" s="1"/>
  <c r="P119" i="2" l="1"/>
  <c r="L119" i="2"/>
  <c r="N119" i="2"/>
  <c r="M119" i="2"/>
  <c r="Q119" i="2" l="1"/>
  <c r="U119" i="2" s="1"/>
  <c r="W119" i="2" l="1"/>
  <c r="Y119" i="2"/>
  <c r="S119" i="2"/>
  <c r="Z119" i="2"/>
  <c r="V119" i="2"/>
  <c r="R119" i="2"/>
  <c r="T119" i="2"/>
  <c r="X119" i="2" l="1"/>
  <c r="I120" i="2"/>
  <c r="H120" i="2"/>
  <c r="F120" i="2"/>
  <c r="G120" i="2"/>
  <c r="E120" i="2"/>
  <c r="K120" i="2" l="1"/>
  <c r="L120" i="2" s="1"/>
  <c r="N120" i="2" l="1"/>
  <c r="O120" i="2"/>
  <c r="P120" i="2"/>
  <c r="M120" i="2"/>
  <c r="Q120" i="2" l="1"/>
  <c r="R120" i="2" s="1"/>
  <c r="V120" i="2" l="1"/>
  <c r="U120" i="2"/>
  <c r="T120" i="2"/>
  <c r="Z120" i="2"/>
  <c r="H121" i="2" s="1"/>
  <c r="W120" i="2"/>
  <c r="S120" i="2"/>
  <c r="Y120" i="2"/>
  <c r="F121" i="2" s="1"/>
  <c r="X120" i="2" l="1"/>
  <c r="I121" i="2"/>
  <c r="G121" i="2"/>
  <c r="E121" i="2"/>
  <c r="K121" i="2"/>
  <c r="L121" i="2" s="1"/>
  <c r="P121" i="2"/>
  <c r="M121" i="2" l="1"/>
  <c r="O121" i="2"/>
  <c r="N121" i="2"/>
  <c r="Q121" i="2" l="1"/>
  <c r="Z121" i="2" s="1"/>
  <c r="H122" i="2" s="1"/>
  <c r="Y121" i="2"/>
  <c r="U121" i="2"/>
  <c r="T121" i="2"/>
  <c r="R121" i="2"/>
  <c r="V121" i="2"/>
  <c r="W121" i="2" l="1"/>
  <c r="S121" i="2"/>
  <c r="I122" i="2"/>
  <c r="X121" i="2"/>
  <c r="E122" i="2"/>
  <c r="G122" i="2"/>
  <c r="F122" i="2"/>
  <c r="K122" i="2" l="1"/>
  <c r="L122" i="2" s="1"/>
  <c r="M122" i="2" l="1"/>
  <c r="N122" i="2"/>
  <c r="P122" i="2"/>
  <c r="O122" i="2"/>
  <c r="Q122" i="2" l="1"/>
  <c r="R122" i="2" l="1"/>
  <c r="V122" i="2"/>
  <c r="U122" i="2"/>
  <c r="T122" i="2"/>
  <c r="Y122" i="2"/>
  <c r="S122" i="2"/>
  <c r="W122" i="2"/>
  <c r="Z122" i="2"/>
  <c r="X122" i="2" l="1"/>
  <c r="G123" i="2"/>
  <c r="F123" i="2"/>
  <c r="E123" i="2"/>
  <c r="I123" i="2"/>
  <c r="H123" i="2"/>
  <c r="K123" i="2" l="1"/>
  <c r="O123" i="2" s="1"/>
  <c r="M123" i="2" l="1"/>
  <c r="L123" i="2"/>
  <c r="N123" i="2"/>
  <c r="P123" i="2"/>
  <c r="Q123" i="2" l="1"/>
  <c r="R123" i="2" s="1"/>
  <c r="Z123" i="2" l="1"/>
  <c r="W123" i="2"/>
  <c r="V123" i="2"/>
  <c r="Y123" i="2"/>
  <c r="S123" i="2"/>
  <c r="T123" i="2"/>
  <c r="U123" i="2"/>
  <c r="X123" i="2" l="1"/>
  <c r="G124" i="2"/>
  <c r="E124" i="2"/>
  <c r="F124" i="2"/>
  <c r="I124" i="2"/>
  <c r="H124" i="2"/>
  <c r="K124" i="2" l="1"/>
  <c r="L124" i="2" s="1"/>
  <c r="P124" i="2" l="1"/>
  <c r="O124" i="2"/>
  <c r="N124" i="2"/>
  <c r="M124" i="2"/>
  <c r="Q124" i="2" l="1"/>
  <c r="V124" i="2" s="1"/>
  <c r="Z124" i="2" l="1"/>
  <c r="Y124" i="2"/>
  <c r="U124" i="2"/>
  <c r="T124" i="2"/>
  <c r="W124" i="2"/>
  <c r="S124" i="2"/>
  <c r="R124" i="2"/>
  <c r="X124" i="2" l="1"/>
  <c r="G125" i="2"/>
  <c r="F125" i="2"/>
  <c r="E125" i="2"/>
  <c r="I125" i="2"/>
  <c r="H125" i="2"/>
  <c r="K125" i="2" l="1"/>
  <c r="M125" i="2" s="1"/>
  <c r="L125" i="2" l="1"/>
  <c r="O125" i="2"/>
  <c r="N125" i="2"/>
  <c r="P125" i="2"/>
  <c r="Q125" i="2" l="1"/>
  <c r="V125" i="2" s="1"/>
  <c r="W125" i="2" l="1"/>
  <c r="Z125" i="2"/>
  <c r="R125" i="2"/>
  <c r="Y125" i="2"/>
  <c r="U125" i="2"/>
  <c r="T125" i="2"/>
  <c r="S125" i="2"/>
  <c r="X125" i="2" l="1"/>
  <c r="G126" i="2"/>
  <c r="F126" i="2"/>
  <c r="E126" i="2"/>
  <c r="I126" i="2"/>
  <c r="H126" i="2"/>
  <c r="K126" i="2" l="1"/>
  <c r="L126" i="2" s="1"/>
  <c r="M126" i="2" l="1"/>
  <c r="P126" i="2"/>
  <c r="N126" i="2"/>
  <c r="O126" i="2"/>
  <c r="Q126" i="2" l="1"/>
  <c r="W126" i="2" s="1"/>
  <c r="Y126" i="2" l="1"/>
  <c r="U126" i="2"/>
  <c r="R126" i="2"/>
  <c r="T126" i="2"/>
  <c r="Z126" i="2"/>
  <c r="S126" i="2"/>
  <c r="V126" i="2"/>
  <c r="X126" i="2" l="1"/>
  <c r="H127" i="2"/>
  <c r="I127" i="2"/>
  <c r="G127" i="2"/>
  <c r="E127" i="2"/>
  <c r="F127" i="2"/>
  <c r="K127" i="2" l="1"/>
  <c r="L127" i="2" s="1"/>
  <c r="O127" i="2" l="1"/>
  <c r="M127" i="2"/>
  <c r="P127" i="2"/>
  <c r="N127" i="2"/>
  <c r="Q127" i="2"/>
  <c r="V127" i="2" s="1"/>
  <c r="Z127" i="2" l="1"/>
  <c r="U127" i="2"/>
  <c r="Y127" i="2"/>
  <c r="S127" i="2"/>
  <c r="T127" i="2"/>
  <c r="R127" i="2"/>
  <c r="W127" i="2"/>
  <c r="X127" i="2" l="1"/>
  <c r="F128" i="2"/>
  <c r="E128" i="2"/>
  <c r="G128" i="2"/>
  <c r="H128" i="2"/>
  <c r="I128" i="2"/>
  <c r="K128" i="2" l="1"/>
  <c r="N128" i="2" s="1"/>
  <c r="O128" i="2" l="1"/>
  <c r="L128" i="2"/>
  <c r="M128" i="2"/>
  <c r="P128" i="2"/>
  <c r="Q128" i="2" l="1"/>
  <c r="Z128" i="2" s="1"/>
  <c r="I129" i="2" l="1"/>
  <c r="H129" i="2"/>
  <c r="Y128" i="2"/>
  <c r="R128" i="2"/>
  <c r="U128" i="2"/>
  <c r="W128" i="2"/>
  <c r="S128" i="2"/>
  <c r="V128" i="2"/>
  <c r="T128" i="2"/>
  <c r="X128" i="2" l="1"/>
  <c r="F129" i="2"/>
  <c r="G129" i="2"/>
  <c r="E129" i="2"/>
  <c r="K129" i="2" l="1"/>
  <c r="M129" i="2" s="1"/>
  <c r="N129" i="2" l="1"/>
  <c r="L129" i="2"/>
  <c r="O129" i="2"/>
  <c r="P129" i="2"/>
  <c r="Q129" i="2" l="1"/>
  <c r="R129" i="2" s="1"/>
  <c r="Z129" i="2" l="1"/>
  <c r="S129" i="2"/>
  <c r="Y129" i="2"/>
  <c r="W129" i="2"/>
  <c r="V129" i="2"/>
  <c r="U129" i="2"/>
  <c r="T129" i="2"/>
  <c r="X129" i="2" l="1"/>
  <c r="E130" i="2"/>
  <c r="G130" i="2"/>
  <c r="F130" i="2"/>
  <c r="H130" i="2"/>
  <c r="I130" i="2"/>
  <c r="K130" i="2" l="1"/>
  <c r="L130" i="2" s="1"/>
  <c r="N130" i="2" l="1"/>
  <c r="P130" i="2"/>
  <c r="M130" i="2"/>
  <c r="O130" i="2"/>
  <c r="Q130" i="2" l="1"/>
  <c r="U130" i="2" s="1"/>
  <c r="Y130" i="2"/>
  <c r="V130" i="2"/>
  <c r="T130" i="2"/>
  <c r="W130" i="2" l="1"/>
  <c r="R130" i="2"/>
  <c r="S130" i="2"/>
  <c r="Z130" i="2"/>
  <c r="E131" i="2"/>
  <c r="F131" i="2"/>
  <c r="G131" i="2"/>
  <c r="X130" i="2" l="1"/>
  <c r="H131" i="2"/>
  <c r="I131" i="2"/>
  <c r="K131" i="2" l="1"/>
  <c r="L131" i="2" s="1"/>
  <c r="M131" i="2" l="1"/>
  <c r="P131" i="2"/>
  <c r="O131" i="2"/>
  <c r="N131" i="2"/>
  <c r="Q131" i="2"/>
  <c r="R131" i="2" l="1"/>
  <c r="U131" i="2"/>
  <c r="W131" i="2"/>
  <c r="Y131" i="2"/>
  <c r="V131" i="2"/>
  <c r="Z131" i="2"/>
  <c r="T131" i="2"/>
  <c r="S131" i="2"/>
  <c r="X131" i="2" l="1"/>
  <c r="G132" i="2"/>
  <c r="E132" i="2"/>
  <c r="F132" i="2"/>
  <c r="I132" i="2"/>
  <c r="H132" i="2"/>
  <c r="K132" i="2" l="1"/>
  <c r="L132" i="2" s="1"/>
  <c r="M132" i="2" l="1"/>
  <c r="P132" i="2"/>
  <c r="N132" i="2"/>
  <c r="O132" i="2"/>
  <c r="Q132" i="2" l="1"/>
  <c r="Y132" i="2" s="1"/>
  <c r="G133" i="2" l="1"/>
  <c r="E133" i="2"/>
  <c r="F133" i="2"/>
  <c r="Z132" i="2"/>
  <c r="R132" i="2"/>
  <c r="T132" i="2"/>
  <c r="U132" i="2"/>
  <c r="S132" i="2"/>
  <c r="V132" i="2"/>
  <c r="W132" i="2"/>
  <c r="X132" i="2" l="1"/>
  <c r="H133" i="2"/>
  <c r="I133" i="2"/>
  <c r="K133" i="2" s="1"/>
  <c r="P133" i="2" s="1"/>
  <c r="L133" i="2" l="1"/>
  <c r="M133" i="2"/>
  <c r="N133" i="2"/>
  <c r="O133" i="2"/>
  <c r="Q133" i="2" l="1"/>
  <c r="W133" i="2" l="1"/>
  <c r="U133" i="2"/>
  <c r="T133" i="2"/>
  <c r="R133" i="2"/>
  <c r="Y133" i="2"/>
  <c r="V133" i="2"/>
  <c r="Z133" i="2"/>
  <c r="S133" i="2"/>
  <c r="X133" i="2" l="1"/>
  <c r="I134" i="2"/>
  <c r="H134" i="2"/>
  <c r="G134" i="2"/>
  <c r="E134" i="2"/>
  <c r="F134" i="2"/>
  <c r="K134" i="2" l="1"/>
  <c r="M134" i="2" s="1"/>
  <c r="O134" i="2" l="1"/>
  <c r="L134" i="2"/>
  <c r="N134" i="2"/>
  <c r="P134" i="2"/>
  <c r="Q134" i="2" l="1"/>
  <c r="S134" i="2" l="1"/>
  <c r="T134" i="2"/>
  <c r="U134" i="2"/>
  <c r="Y134" i="2"/>
  <c r="W134" i="2"/>
  <c r="R134" i="2"/>
  <c r="V134" i="2"/>
  <c r="Z134" i="2"/>
  <c r="X134" i="2" l="1"/>
  <c r="F135" i="2"/>
  <c r="E135" i="2"/>
  <c r="G135" i="2"/>
  <c r="I135" i="2"/>
  <c r="H135" i="2"/>
  <c r="K135" i="2" l="1"/>
  <c r="M135" i="2" s="1"/>
  <c r="N135" i="2" l="1"/>
  <c r="L135" i="2"/>
  <c r="O135" i="2"/>
  <c r="P135" i="2"/>
  <c r="Q135" i="2" l="1"/>
  <c r="S135" i="2" s="1"/>
  <c r="Z135" i="2" l="1"/>
  <c r="Y135" i="2"/>
  <c r="V135" i="2"/>
  <c r="R135" i="2"/>
  <c r="W135" i="2"/>
  <c r="T135" i="2"/>
  <c r="U135" i="2"/>
  <c r="X135" i="2" l="1"/>
  <c r="E136" i="2"/>
  <c r="F136" i="2"/>
  <c r="G136" i="2"/>
  <c r="I136" i="2"/>
  <c r="H136" i="2"/>
  <c r="K136" i="2" l="1"/>
  <c r="M136" i="2" s="1"/>
  <c r="N136" i="2" l="1"/>
  <c r="O136" i="2"/>
  <c r="L136" i="2"/>
  <c r="P136" i="2"/>
  <c r="Q136" i="2" l="1"/>
  <c r="S136" i="2" s="1"/>
  <c r="Z136" i="2" l="1"/>
  <c r="R136" i="2"/>
  <c r="W136" i="2"/>
  <c r="U136" i="2"/>
  <c r="T136" i="2"/>
  <c r="V136" i="2"/>
  <c r="Y136" i="2"/>
  <c r="X136" i="2" l="1"/>
  <c r="G137" i="2"/>
  <c r="E137" i="2"/>
  <c r="F137" i="2"/>
  <c r="H137" i="2"/>
  <c r="I137" i="2"/>
  <c r="K137" i="2" l="1"/>
  <c r="P137" i="2" s="1"/>
  <c r="L137" i="2" l="1"/>
  <c r="M137" i="2"/>
  <c r="N137" i="2"/>
  <c r="O137" i="2"/>
  <c r="Q137" i="2" l="1"/>
  <c r="T137" i="2" s="1"/>
  <c r="R137" i="2" l="1"/>
  <c r="W137" i="2"/>
  <c r="S137" i="2"/>
  <c r="Z137" i="2"/>
  <c r="Y137" i="2"/>
  <c r="U137" i="2"/>
  <c r="V137" i="2"/>
  <c r="X137" i="2" l="1"/>
  <c r="H138" i="2"/>
  <c r="I138" i="2"/>
  <c r="G138" i="2"/>
  <c r="E138" i="2"/>
  <c r="F138" i="2"/>
  <c r="K138" i="2" l="1"/>
  <c r="P138" i="2" s="1"/>
  <c r="O138" i="2" l="1"/>
  <c r="N138" i="2"/>
  <c r="M138" i="2"/>
  <c r="L138" i="2"/>
  <c r="Q138" i="2"/>
  <c r="Y138" i="2" s="1"/>
  <c r="E139" i="2" l="1"/>
  <c r="F139" i="2"/>
  <c r="G139" i="2"/>
  <c r="V138" i="2"/>
  <c r="Z138" i="2"/>
  <c r="U138" i="2"/>
  <c r="T138" i="2"/>
  <c r="W138" i="2"/>
  <c r="S138" i="2"/>
  <c r="R138" i="2"/>
  <c r="X138" i="2" l="1"/>
  <c r="H139" i="2"/>
  <c r="I139" i="2"/>
  <c r="K139" i="2" l="1"/>
  <c r="L139" i="2" s="1"/>
  <c r="N139" i="2" l="1"/>
  <c r="P139" i="2"/>
  <c r="M139" i="2"/>
  <c r="O139" i="2"/>
  <c r="Q139" i="2"/>
  <c r="T139" i="2" s="1"/>
  <c r="S139" i="2" l="1"/>
  <c r="Y139" i="2"/>
  <c r="Z139" i="2"/>
  <c r="U139" i="2"/>
  <c r="R139" i="2"/>
  <c r="V139" i="2"/>
  <c r="W139" i="2"/>
  <c r="X139" i="2" l="1"/>
  <c r="I140" i="2"/>
  <c r="H140" i="2"/>
  <c r="G140" i="2"/>
  <c r="F140" i="2"/>
  <c r="E140" i="2"/>
  <c r="K140" i="2" l="1"/>
  <c r="M140" i="2" s="1"/>
  <c r="P140" i="2"/>
  <c r="O140" i="2" l="1"/>
  <c r="N140" i="2"/>
  <c r="L140" i="2"/>
  <c r="Q140" i="2" l="1"/>
  <c r="S140" i="2" l="1"/>
  <c r="T140" i="2"/>
  <c r="W140" i="2"/>
  <c r="U140" i="2"/>
  <c r="Z140" i="2"/>
  <c r="Y140" i="2"/>
  <c r="V140" i="2"/>
  <c r="R140" i="2"/>
  <c r="X140" i="2" l="1"/>
  <c r="H141" i="2"/>
  <c r="I141" i="2"/>
  <c r="F141" i="2"/>
  <c r="E141" i="2"/>
  <c r="G141" i="2"/>
  <c r="K141" i="2" l="1"/>
  <c r="L141" i="2" s="1"/>
  <c r="P141" i="2"/>
  <c r="N141" i="2"/>
  <c r="O141" i="2"/>
  <c r="M141" i="2" l="1"/>
  <c r="Q141" i="2"/>
  <c r="Z141" i="2" s="1"/>
  <c r="H142" i="2" l="1"/>
  <c r="I142" i="2"/>
  <c r="W141" i="2"/>
  <c r="R141" i="2"/>
  <c r="S141" i="2"/>
  <c r="T141" i="2"/>
  <c r="U141" i="2"/>
  <c r="Y141" i="2"/>
  <c r="V141" i="2"/>
  <c r="X141" i="2" l="1"/>
  <c r="E142" i="2"/>
  <c r="F142" i="2"/>
  <c r="G142" i="2"/>
  <c r="K142" i="2" l="1"/>
  <c r="M142" i="2" s="1"/>
  <c r="N142" i="2" l="1"/>
  <c r="L142" i="2"/>
  <c r="P142" i="2"/>
  <c r="O142" i="2"/>
  <c r="Q142" i="2" l="1"/>
  <c r="U142" i="2" l="1"/>
  <c r="T142" i="2"/>
  <c r="V142" i="2"/>
  <c r="Z142" i="2"/>
  <c r="S142" i="2"/>
  <c r="Y142" i="2"/>
  <c r="R142" i="2"/>
  <c r="W142" i="2"/>
  <c r="X142" i="2" l="1"/>
  <c r="G143" i="2"/>
  <c r="E143" i="2"/>
  <c r="F143" i="2"/>
  <c r="H143" i="2"/>
  <c r="I143" i="2"/>
  <c r="K143" i="2" l="1"/>
  <c r="M143" i="2" s="1"/>
  <c r="N143" i="2" l="1"/>
  <c r="P143" i="2"/>
  <c r="L143" i="2"/>
  <c r="O143" i="2"/>
  <c r="Q143" i="2" l="1"/>
  <c r="S143" i="2" s="1"/>
  <c r="R143" i="2" l="1"/>
  <c r="Z143" i="2"/>
  <c r="W143" i="2"/>
  <c r="V143" i="2"/>
  <c r="U143" i="2"/>
  <c r="T143" i="2"/>
  <c r="Y143" i="2"/>
  <c r="X143" i="2" l="1"/>
  <c r="G144" i="2"/>
  <c r="F144" i="2"/>
  <c r="E144" i="2"/>
  <c r="H144" i="2"/>
  <c r="I144" i="2"/>
  <c r="K144" i="2" l="1"/>
  <c r="L144" i="2" s="1"/>
  <c r="N144" i="2" l="1"/>
  <c r="M144" i="2"/>
  <c r="P144" i="2"/>
  <c r="O144" i="2"/>
  <c r="Q144" i="2" l="1"/>
  <c r="Z144" i="2" l="1"/>
  <c r="V144" i="2"/>
  <c r="T144" i="2"/>
  <c r="U144" i="2"/>
  <c r="R144" i="2"/>
  <c r="W144" i="2"/>
  <c r="Y144" i="2"/>
  <c r="S144" i="2"/>
  <c r="X144" i="2" l="1"/>
  <c r="F145" i="2"/>
  <c r="G145" i="2"/>
  <c r="E145" i="2"/>
  <c r="I145" i="2"/>
  <c r="H145" i="2"/>
  <c r="K145" i="2" l="1"/>
  <c r="P145" i="2" s="1"/>
  <c r="N145" i="2"/>
  <c r="O145" i="2"/>
  <c r="M145" i="2"/>
  <c r="L145" i="2" l="1"/>
  <c r="Q145" i="2" s="1"/>
  <c r="Z145" i="2" s="1"/>
  <c r="I146" i="2" l="1"/>
  <c r="H146" i="2"/>
  <c r="T145" i="2"/>
  <c r="Y145" i="2"/>
  <c r="R145" i="2"/>
  <c r="S145" i="2"/>
  <c r="V145" i="2"/>
  <c r="U145" i="2"/>
  <c r="W145" i="2"/>
  <c r="X145" i="2" l="1"/>
  <c r="G146" i="2"/>
  <c r="F146" i="2"/>
  <c r="E146" i="2"/>
  <c r="K146" i="2" l="1"/>
  <c r="L146" i="2" s="1"/>
  <c r="M146" i="2" l="1"/>
  <c r="N146" i="2"/>
  <c r="O146" i="2"/>
  <c r="P146" i="2"/>
  <c r="Q146" i="2" l="1"/>
  <c r="R146" i="2" l="1"/>
  <c r="T146" i="2"/>
  <c r="U146" i="2"/>
  <c r="Y146" i="2"/>
  <c r="Z146" i="2"/>
  <c r="W146" i="2"/>
  <c r="S146" i="2"/>
  <c r="V146" i="2"/>
  <c r="X146" i="2" l="1"/>
  <c r="H147" i="2"/>
  <c r="I147" i="2"/>
  <c r="F147" i="2"/>
  <c r="E147" i="2"/>
  <c r="G147" i="2"/>
  <c r="K147" i="2" l="1"/>
  <c r="M147" i="2" s="1"/>
  <c r="L147" i="2" l="1"/>
  <c r="P147" i="2"/>
  <c r="O147" i="2"/>
  <c r="N147" i="2"/>
  <c r="Q147" i="2" l="1"/>
  <c r="W147" i="2" s="1"/>
  <c r="Y147" i="2" l="1"/>
  <c r="U147" i="2"/>
  <c r="T147" i="2"/>
  <c r="V147" i="2"/>
  <c r="R147" i="2"/>
  <c r="S147" i="2"/>
  <c r="Z147" i="2"/>
  <c r="X147" i="2" l="1"/>
  <c r="H148" i="2"/>
  <c r="I148" i="2"/>
  <c r="E148" i="2"/>
  <c r="G148" i="2"/>
  <c r="F148" i="2"/>
  <c r="K148" i="2" l="1"/>
  <c r="O148" i="2" s="1"/>
  <c r="M148" i="2"/>
  <c r="P148" i="2" l="1"/>
  <c r="L148" i="2"/>
  <c r="N148" i="2"/>
  <c r="Q148" i="2" l="1"/>
  <c r="U148" i="2" l="1"/>
  <c r="T148" i="2"/>
  <c r="R148" i="2"/>
  <c r="Z148" i="2"/>
  <c r="S148" i="2"/>
  <c r="Y148" i="2"/>
  <c r="W148" i="2"/>
  <c r="V148" i="2"/>
  <c r="X148" i="2" l="1"/>
  <c r="F149" i="2"/>
  <c r="G149" i="2"/>
  <c r="E149" i="2"/>
  <c r="H149" i="2"/>
  <c r="I149" i="2"/>
  <c r="K149" i="2" l="1"/>
  <c r="N149" i="2" s="1"/>
  <c r="P149" i="2" l="1"/>
  <c r="L149" i="2"/>
  <c r="M149" i="2"/>
  <c r="O149" i="2"/>
  <c r="Q149" i="2" l="1"/>
  <c r="V149" i="2" l="1"/>
  <c r="W149" i="2"/>
  <c r="Z149" i="2"/>
  <c r="Y149" i="2"/>
  <c r="R149" i="2"/>
  <c r="U149" i="2"/>
  <c r="T149" i="2"/>
  <c r="S149" i="2"/>
  <c r="X149" i="2" l="1"/>
  <c r="H150" i="2"/>
  <c r="I150" i="2"/>
  <c r="F150" i="2"/>
  <c r="E150" i="2"/>
  <c r="G150" i="2"/>
  <c r="K150" i="2" l="1"/>
  <c r="N150" i="2" s="1"/>
  <c r="M150" i="2" l="1"/>
  <c r="L150" i="2"/>
  <c r="O150" i="2"/>
  <c r="P150" i="2"/>
  <c r="Q150" i="2" l="1"/>
  <c r="R150" i="2" s="1"/>
  <c r="T150" i="2" l="1"/>
  <c r="Y150" i="2"/>
  <c r="Z150" i="2"/>
  <c r="V150" i="2"/>
  <c r="S150" i="2"/>
  <c r="U150" i="2"/>
  <c r="W150" i="2"/>
  <c r="X150" i="2" l="1"/>
  <c r="I151" i="2"/>
  <c r="H151" i="2"/>
  <c r="E151" i="2"/>
  <c r="F151" i="2"/>
  <c r="G151" i="2"/>
  <c r="K151" i="2" l="1"/>
  <c r="N151" i="2" s="1"/>
  <c r="L151" i="2" l="1"/>
  <c r="O151" i="2"/>
  <c r="P151" i="2"/>
  <c r="M151" i="2"/>
  <c r="Q151" i="2" l="1"/>
  <c r="R151" i="2" s="1"/>
  <c r="W151" i="2" l="1"/>
  <c r="V151" i="2"/>
  <c r="S151" i="2"/>
  <c r="U151" i="2"/>
  <c r="T151" i="2"/>
  <c r="Y151" i="2"/>
  <c r="Z151" i="2"/>
  <c r="X151" i="2" l="1"/>
  <c r="H152" i="2"/>
  <c r="I152" i="2"/>
  <c r="F152" i="2"/>
  <c r="G152" i="2"/>
  <c r="E152" i="2"/>
  <c r="K152" i="2" l="1"/>
  <c r="O152" i="2" s="1"/>
  <c r="M152" i="2" l="1"/>
  <c r="P152" i="2"/>
  <c r="L152" i="2"/>
  <c r="N152" i="2"/>
  <c r="Q152" i="2" l="1"/>
  <c r="W152" i="2" s="1"/>
  <c r="R152" i="2" l="1"/>
  <c r="Y152" i="2"/>
  <c r="Z152" i="2"/>
  <c r="U152" i="2"/>
  <c r="S152" i="2"/>
  <c r="T152" i="2"/>
  <c r="V152" i="2"/>
  <c r="X152" i="2" l="1"/>
  <c r="I153" i="2"/>
  <c r="H153" i="2"/>
  <c r="F153" i="2"/>
  <c r="G153" i="2"/>
  <c r="E153" i="2"/>
  <c r="K153" i="2" l="1"/>
  <c r="M153" i="2" s="1"/>
  <c r="O153" i="2" l="1"/>
  <c r="N153" i="2"/>
  <c r="L153" i="2"/>
  <c r="P153" i="2"/>
  <c r="Q153" i="2" l="1"/>
  <c r="S153" i="2" s="1"/>
  <c r="V153" i="2" l="1"/>
  <c r="W153" i="2"/>
  <c r="T153" i="2"/>
  <c r="Z153" i="2"/>
  <c r="H154" i="2" s="1"/>
  <c r="R153" i="2"/>
  <c r="Y153" i="2"/>
  <c r="E154" i="2" s="1"/>
  <c r="U153" i="2"/>
  <c r="X153" i="2" l="1"/>
  <c r="F154" i="2"/>
  <c r="I154" i="2"/>
  <c r="G154" i="2"/>
  <c r="K154" i="2"/>
  <c r="N154" i="2" s="1"/>
  <c r="M154" i="2"/>
  <c r="O154" i="2" l="1"/>
  <c r="P154" i="2"/>
  <c r="L154" i="2"/>
  <c r="Q154" i="2" l="1"/>
  <c r="R154" i="2" s="1"/>
  <c r="Y154" i="2" l="1"/>
  <c r="W154" i="2"/>
  <c r="S154" i="2"/>
  <c r="T154" i="2"/>
  <c r="V154" i="2"/>
  <c r="Z154" i="2"/>
  <c r="U154" i="2"/>
  <c r="X154" i="2" l="1"/>
  <c r="H155" i="2"/>
  <c r="I155" i="2"/>
  <c r="E155" i="2"/>
  <c r="G155" i="2"/>
  <c r="F155" i="2"/>
  <c r="K155" i="2" l="1"/>
  <c r="M155" i="2" s="1"/>
  <c r="L155" i="2" l="1"/>
  <c r="O155" i="2"/>
  <c r="P155" i="2"/>
  <c r="N155" i="2"/>
  <c r="Q155" i="2" l="1"/>
  <c r="R155" i="2" l="1"/>
  <c r="T155" i="2"/>
  <c r="U155" i="2"/>
  <c r="W155" i="2"/>
  <c r="Y155" i="2"/>
  <c r="Z155" i="2"/>
  <c r="S155" i="2"/>
  <c r="V155" i="2"/>
  <c r="X155" i="2" l="1"/>
  <c r="G156" i="2"/>
  <c r="E156" i="2"/>
  <c r="F156" i="2"/>
  <c r="H156" i="2"/>
  <c r="I156" i="2"/>
  <c r="K156" i="2" l="1"/>
  <c r="N156" i="2" s="1"/>
  <c r="L156" i="2" l="1"/>
  <c r="O156" i="2"/>
  <c r="M156" i="2"/>
  <c r="P156" i="2"/>
  <c r="Q156" i="2" l="1"/>
  <c r="T156" i="2" s="1"/>
  <c r="Y156" i="2"/>
  <c r="Z156" i="2"/>
  <c r="R156" i="2"/>
  <c r="U156" i="2"/>
  <c r="V156" i="2"/>
  <c r="S156" i="2" l="1"/>
  <c r="W156" i="2"/>
  <c r="I157" i="2"/>
  <c r="H157" i="2"/>
  <c r="G157" i="2"/>
  <c r="F157" i="2"/>
  <c r="E157" i="2"/>
  <c r="X156" i="2" l="1"/>
  <c r="K157" i="2"/>
  <c r="O157" i="2" s="1"/>
  <c r="N157" i="2" l="1"/>
  <c r="M157" i="2"/>
  <c r="L157" i="2"/>
  <c r="P157" i="2"/>
  <c r="Q157" i="2" l="1"/>
  <c r="T157" i="2" s="1"/>
  <c r="S157" i="2"/>
  <c r="Z157" i="2"/>
  <c r="U157" i="2"/>
  <c r="R157" i="2"/>
  <c r="V157" i="2"/>
  <c r="W157" i="2"/>
  <c r="Y157" i="2" l="1"/>
  <c r="X157" i="2"/>
  <c r="H158" i="2"/>
  <c r="I158" i="2"/>
  <c r="G158" i="2"/>
  <c r="E158" i="2"/>
  <c r="F158" i="2"/>
  <c r="K158" i="2" l="1"/>
  <c r="L158" i="2" s="1"/>
  <c r="M158" i="2" l="1"/>
  <c r="N158" i="2"/>
  <c r="O158" i="2"/>
  <c r="P158" i="2"/>
  <c r="Q158" i="2" l="1"/>
  <c r="Z158" i="2" s="1"/>
  <c r="I159" i="2" l="1"/>
  <c r="H159" i="2"/>
  <c r="R158" i="2"/>
  <c r="S158" i="2"/>
  <c r="V158" i="2"/>
  <c r="Y158" i="2"/>
  <c r="T158" i="2"/>
  <c r="U158" i="2"/>
  <c r="W158" i="2"/>
  <c r="X158" i="2" l="1"/>
  <c r="F159" i="2"/>
  <c r="E159" i="2"/>
  <c r="G159" i="2"/>
  <c r="K159" i="2" l="1"/>
  <c r="L159" i="2" s="1"/>
  <c r="M159" i="2" l="1"/>
  <c r="P159" i="2"/>
  <c r="O159" i="2"/>
  <c r="N159" i="2"/>
  <c r="Q159" i="2" l="1"/>
  <c r="U159" i="2" s="1"/>
  <c r="Y159" i="2"/>
  <c r="G160" i="2" s="1"/>
  <c r="F160" i="2"/>
  <c r="E160" i="2"/>
  <c r="R159" i="2"/>
  <c r="Z159" i="2"/>
  <c r="T159" i="2"/>
  <c r="S159" i="2"/>
  <c r="V159" i="2"/>
  <c r="W159" i="2"/>
  <c r="X159" i="2" l="1"/>
  <c r="I160" i="2"/>
  <c r="H160" i="2"/>
  <c r="K160" i="2" l="1"/>
  <c r="L160" i="2"/>
  <c r="N160" i="2"/>
  <c r="M160" i="2"/>
  <c r="O160" i="2"/>
  <c r="P160" i="2"/>
  <c r="Q160" i="2" l="1"/>
  <c r="T160" i="2" s="1"/>
  <c r="Y160" i="2" l="1"/>
  <c r="R160" i="2"/>
  <c r="V160" i="2"/>
  <c r="U160" i="2"/>
  <c r="S160" i="2"/>
  <c r="Z160" i="2"/>
  <c r="W160" i="2"/>
  <c r="X160" i="2" l="1"/>
  <c r="I161" i="2"/>
  <c r="H161" i="2"/>
  <c r="E161" i="2"/>
  <c r="F161" i="2"/>
  <c r="G161" i="2"/>
  <c r="K161" i="2" l="1"/>
  <c r="N161" i="2" s="1"/>
  <c r="M161" i="2" l="1"/>
  <c r="O161" i="2"/>
  <c r="L161" i="2"/>
  <c r="P161" i="2"/>
  <c r="Q161" i="2" l="1"/>
  <c r="S161" i="2" l="1"/>
  <c r="R161" i="2"/>
  <c r="T161" i="2"/>
  <c r="Y161" i="2"/>
  <c r="V161" i="2"/>
  <c r="U161" i="2"/>
  <c r="Z161" i="2"/>
  <c r="W161" i="2"/>
  <c r="X161" i="2" l="1"/>
  <c r="G162" i="2"/>
  <c r="E162" i="2"/>
  <c r="F162" i="2"/>
  <c r="I162" i="2"/>
  <c r="H162" i="2"/>
  <c r="K162" i="2" l="1"/>
  <c r="O162" i="2" s="1"/>
  <c r="M162" i="2" l="1"/>
  <c r="L162" i="2"/>
  <c r="P162" i="2"/>
  <c r="N162" i="2"/>
  <c r="Q162" i="2" l="1"/>
  <c r="R162" i="2" s="1"/>
  <c r="Y162" i="2" l="1"/>
  <c r="W162" i="2"/>
  <c r="Z162" i="2"/>
  <c r="S162" i="2"/>
  <c r="U162" i="2"/>
  <c r="T162" i="2"/>
  <c r="V162" i="2"/>
  <c r="X162" i="2" l="1"/>
  <c r="H163" i="2"/>
  <c r="I163" i="2"/>
  <c r="F163" i="2"/>
  <c r="G163" i="2"/>
  <c r="E163" i="2"/>
  <c r="K163" i="2" l="1"/>
  <c r="P163" i="2" s="1"/>
  <c r="N163" i="2"/>
  <c r="O163" i="2"/>
  <c r="M163" i="2" l="1"/>
  <c r="L163" i="2"/>
  <c r="Q163" i="2" l="1"/>
  <c r="R163" i="2" s="1"/>
  <c r="Y163" i="2" l="1"/>
  <c r="U163" i="2"/>
  <c r="Z163" i="2"/>
  <c r="V163" i="2"/>
  <c r="T163" i="2"/>
  <c r="S163" i="2"/>
  <c r="W163" i="2"/>
  <c r="X163" i="2" l="1"/>
  <c r="I164" i="2"/>
  <c r="H164" i="2"/>
  <c r="G164" i="2"/>
  <c r="F164" i="2"/>
  <c r="E164" i="2"/>
  <c r="K164" i="2" l="1"/>
  <c r="L164" i="2" s="1"/>
  <c r="P164" i="2" l="1"/>
  <c r="O164" i="2"/>
  <c r="N164" i="2"/>
  <c r="M164" i="2"/>
  <c r="Q164" i="2" s="1"/>
  <c r="R164" i="2" s="1"/>
  <c r="Z164" i="2" l="1"/>
  <c r="H165" i="2" s="1"/>
  <c r="Y164" i="2"/>
  <c r="V164" i="2"/>
  <c r="S164" i="2"/>
  <c r="T164" i="2"/>
  <c r="W164" i="2"/>
  <c r="U164" i="2"/>
  <c r="I165" i="2"/>
  <c r="E165" i="2"/>
  <c r="F165" i="2"/>
  <c r="G165" i="2"/>
  <c r="X164" i="2" l="1"/>
  <c r="K165" i="2"/>
  <c r="M165" i="2" s="1"/>
  <c r="P165" i="2" l="1"/>
  <c r="N165" i="2"/>
  <c r="L165" i="2"/>
  <c r="O165" i="2"/>
  <c r="Q165" i="2" l="1"/>
  <c r="V165" i="2" l="1"/>
  <c r="W165" i="2"/>
  <c r="T165" i="2"/>
  <c r="U165" i="2"/>
  <c r="S165" i="2"/>
  <c r="R165" i="2"/>
  <c r="Y165" i="2"/>
  <c r="Z165" i="2"/>
  <c r="X165" i="2" l="1"/>
  <c r="F166" i="2"/>
  <c r="E166" i="2"/>
  <c r="G166" i="2"/>
  <c r="H166" i="2"/>
  <c r="I166" i="2"/>
  <c r="K166" i="2" l="1"/>
  <c r="O166" i="2" s="1"/>
  <c r="P166" i="2" l="1"/>
  <c r="N166" i="2"/>
  <c r="M166" i="2"/>
  <c r="L166" i="2"/>
  <c r="Q166" i="2" l="1"/>
  <c r="Y166" i="2" s="1"/>
  <c r="G167" i="2" l="1"/>
  <c r="F167" i="2"/>
  <c r="E167" i="2"/>
  <c r="S166" i="2"/>
  <c r="Z166" i="2"/>
  <c r="W166" i="2"/>
  <c r="V166" i="2"/>
  <c r="U166" i="2"/>
  <c r="R166" i="2"/>
  <c r="T166" i="2"/>
  <c r="X166" i="2" l="1"/>
  <c r="H167" i="2"/>
  <c r="I167" i="2"/>
  <c r="K167" i="2" l="1"/>
  <c r="L167" i="2" s="1"/>
  <c r="O167" i="2" l="1"/>
  <c r="P167" i="2"/>
  <c r="N167" i="2"/>
  <c r="M167" i="2"/>
  <c r="Q167" i="2"/>
  <c r="Y167" i="2" s="1"/>
  <c r="E168" i="2" l="1"/>
  <c r="G168" i="2"/>
  <c r="F168" i="2"/>
  <c r="S167" i="2"/>
  <c r="U167" i="2"/>
  <c r="T167" i="2"/>
  <c r="V167" i="2"/>
  <c r="Z167" i="2"/>
  <c r="R167" i="2"/>
  <c r="W167" i="2"/>
  <c r="X167" i="2" l="1"/>
  <c r="I168" i="2"/>
  <c r="H168" i="2"/>
  <c r="K168" i="2" s="1"/>
  <c r="P168" i="2" s="1"/>
  <c r="N168" i="2" l="1"/>
  <c r="L168" i="2"/>
  <c r="O168" i="2"/>
  <c r="M168" i="2"/>
  <c r="Q168" i="2" l="1"/>
  <c r="R168" i="2" s="1"/>
  <c r="Z168" i="2" l="1"/>
  <c r="S168" i="2"/>
  <c r="U168" i="2"/>
  <c r="Y168" i="2"/>
  <c r="V168" i="2"/>
  <c r="T168" i="2"/>
  <c r="W168" i="2"/>
  <c r="X168" i="2" l="1"/>
  <c r="E169" i="2"/>
  <c r="F169" i="2"/>
  <c r="G169" i="2"/>
  <c r="I169" i="2"/>
  <c r="H169" i="2"/>
  <c r="K169" i="2" l="1"/>
  <c r="M169" i="2" s="1"/>
  <c r="N169" i="2" l="1"/>
  <c r="P169" i="2"/>
  <c r="L169" i="2"/>
  <c r="O169" i="2"/>
  <c r="Q169" i="2" l="1"/>
  <c r="W169" i="2" s="1"/>
  <c r="V169" i="2" l="1"/>
  <c r="T169" i="2"/>
  <c r="U169" i="2"/>
  <c r="Y169" i="2"/>
  <c r="R169" i="2"/>
  <c r="Z169" i="2"/>
  <c r="S169" i="2"/>
  <c r="X169" i="2" l="1"/>
  <c r="H170" i="2"/>
  <c r="I170" i="2"/>
  <c r="E170" i="2"/>
  <c r="G170" i="2"/>
  <c r="F170" i="2"/>
  <c r="K170" i="2" l="1"/>
  <c r="M170" i="2" s="1"/>
  <c r="P170" i="2" l="1"/>
  <c r="L170" i="2"/>
  <c r="O170" i="2"/>
  <c r="N170" i="2"/>
  <c r="Q170" i="2" l="1"/>
  <c r="R170" i="2" s="1"/>
  <c r="Y170" i="2" l="1"/>
  <c r="U170" i="2"/>
  <c r="T170" i="2"/>
  <c r="W170" i="2"/>
  <c r="S170" i="2"/>
  <c r="V170" i="2"/>
  <c r="Z170" i="2"/>
  <c r="X170" i="2" l="1"/>
  <c r="H171" i="2"/>
  <c r="I171" i="2"/>
  <c r="G171" i="2"/>
  <c r="E171" i="2"/>
  <c r="F171" i="2"/>
  <c r="K171" i="2" l="1"/>
  <c r="M171" i="2" s="1"/>
  <c r="P171" i="2" l="1"/>
  <c r="L171" i="2"/>
  <c r="O171" i="2"/>
  <c r="N171" i="2"/>
  <c r="Q171" i="2" l="1"/>
  <c r="R171" i="2" s="1"/>
  <c r="U171" i="2" l="1"/>
  <c r="S171" i="2"/>
  <c r="Y171" i="2"/>
  <c r="G172" i="2" s="1"/>
  <c r="W171" i="2"/>
  <c r="T171" i="2"/>
  <c r="Z171" i="2"/>
  <c r="H172" i="2" s="1"/>
  <c r="V171" i="2"/>
  <c r="X171" i="2" l="1"/>
  <c r="F172" i="2"/>
  <c r="E172" i="2"/>
  <c r="I172" i="2"/>
  <c r="K172" i="2"/>
  <c r="O172" i="2" s="1"/>
  <c r="M172" i="2" l="1"/>
  <c r="P172" i="2"/>
  <c r="N172" i="2"/>
  <c r="L172" i="2"/>
  <c r="Q172" i="2" s="1"/>
  <c r="T172" i="2" l="1"/>
  <c r="Z172" i="2"/>
  <c r="R172" i="2"/>
  <c r="V172" i="2"/>
  <c r="Y172" i="2"/>
  <c r="U172" i="2"/>
  <c r="S172" i="2"/>
  <c r="W172" i="2"/>
  <c r="X172" i="2" l="1"/>
  <c r="F173" i="2"/>
  <c r="E173" i="2"/>
  <c r="G173" i="2"/>
  <c r="H173" i="2"/>
  <c r="I173" i="2"/>
  <c r="K173" i="2" l="1"/>
  <c r="N173" i="2" s="1"/>
  <c r="L173" i="2" l="1"/>
  <c r="P173" i="2"/>
  <c r="M173" i="2"/>
  <c r="O173" i="2"/>
  <c r="Q173" i="2" l="1"/>
  <c r="Z173" i="2" s="1"/>
  <c r="H174" i="2" l="1"/>
  <c r="I174" i="2"/>
  <c r="U173" i="2"/>
  <c r="W173" i="2"/>
  <c r="T173" i="2"/>
  <c r="R173" i="2"/>
  <c r="V173" i="2"/>
  <c r="Y173" i="2"/>
  <c r="S173" i="2"/>
  <c r="X173" i="2" l="1"/>
  <c r="F174" i="2"/>
  <c r="G174" i="2"/>
  <c r="E174" i="2"/>
  <c r="K174" i="2" l="1"/>
  <c r="L174" i="2" s="1"/>
  <c r="M174" i="2" l="1"/>
  <c r="N174" i="2"/>
  <c r="P174" i="2"/>
  <c r="O174" i="2"/>
  <c r="Q174" i="2" l="1"/>
  <c r="S174" i="2"/>
  <c r="U174" i="2"/>
  <c r="W174" i="2"/>
  <c r="Z174" i="2"/>
  <c r="T174" i="2"/>
  <c r="V174" i="2"/>
  <c r="R174" i="2"/>
  <c r="Y174" i="2"/>
  <c r="X174" i="2" l="1"/>
  <c r="H175" i="2"/>
  <c r="I175" i="2"/>
  <c r="E175" i="2"/>
  <c r="G175" i="2"/>
  <c r="F175" i="2"/>
  <c r="K175" i="2" l="1"/>
  <c r="L175" i="2" s="1"/>
  <c r="O175" i="2" l="1"/>
  <c r="P175" i="2"/>
  <c r="N175" i="2"/>
  <c r="M175" i="2"/>
  <c r="Q175" i="2" l="1"/>
  <c r="V175" i="2" s="1"/>
  <c r="Y175" i="2" l="1"/>
  <c r="T175" i="2"/>
  <c r="Z175" i="2"/>
  <c r="S175" i="2"/>
  <c r="R175" i="2"/>
  <c r="U175" i="2"/>
  <c r="W175" i="2"/>
  <c r="X175" i="2" l="1"/>
  <c r="H176" i="2"/>
  <c r="I176" i="2"/>
  <c r="G176" i="2"/>
  <c r="F176" i="2"/>
  <c r="E176" i="2"/>
  <c r="K176" i="2" l="1"/>
  <c r="M176" i="2" s="1"/>
  <c r="P176" i="2" l="1"/>
  <c r="N176" i="2"/>
  <c r="L176" i="2"/>
  <c r="O176" i="2"/>
  <c r="Q176" i="2" l="1"/>
  <c r="R176" i="2" s="1"/>
  <c r="Y176" i="2" l="1"/>
  <c r="T176" i="2"/>
  <c r="U176" i="2"/>
  <c r="V176" i="2"/>
  <c r="W176" i="2"/>
  <c r="S176" i="2"/>
  <c r="Z176" i="2"/>
  <c r="X176" i="2" l="1"/>
  <c r="I177" i="2"/>
  <c r="H177" i="2"/>
  <c r="E177" i="2"/>
  <c r="F177" i="2"/>
  <c r="G177" i="2"/>
  <c r="K177" i="2" l="1"/>
  <c r="P177" i="2" s="1"/>
  <c r="N177" i="2" l="1"/>
  <c r="O177" i="2"/>
  <c r="L177" i="2"/>
  <c r="M177" i="2"/>
  <c r="Q177" i="2" s="1"/>
  <c r="V177" i="2" l="1"/>
  <c r="S177" i="2"/>
  <c r="W177" i="2"/>
  <c r="R177" i="2"/>
  <c r="Z177" i="2"/>
  <c r="Y177" i="2"/>
  <c r="T177" i="2"/>
  <c r="U177" i="2"/>
  <c r="X177" i="2" l="1"/>
  <c r="H178" i="2"/>
  <c r="I178" i="2"/>
  <c r="G178" i="2"/>
  <c r="F178" i="2"/>
  <c r="E178" i="2"/>
  <c r="K178" i="2" l="1"/>
  <c r="L178" i="2" s="1"/>
  <c r="P178" i="2" l="1"/>
  <c r="N178" i="2"/>
  <c r="O178" i="2"/>
  <c r="M178" i="2"/>
  <c r="Q178" i="2" l="1"/>
  <c r="Y178" i="2" s="1"/>
  <c r="F179" i="2" l="1"/>
  <c r="G179" i="2"/>
  <c r="E179" i="2"/>
  <c r="U178" i="2"/>
  <c r="V178" i="2"/>
  <c r="R178" i="2"/>
  <c r="W178" i="2"/>
  <c r="Z178" i="2"/>
  <c r="T178" i="2"/>
  <c r="S178" i="2"/>
  <c r="X178" i="2" l="1"/>
  <c r="I179" i="2"/>
  <c r="H179" i="2"/>
  <c r="K179" i="2" l="1"/>
  <c r="O179" i="2" l="1"/>
  <c r="L179" i="2"/>
  <c r="N179" i="2"/>
  <c r="M179" i="2"/>
  <c r="P179" i="2"/>
  <c r="Q179" i="2" l="1"/>
  <c r="T179" i="2" s="1"/>
  <c r="Z179" i="2" l="1"/>
  <c r="U179" i="2"/>
  <c r="R179" i="2"/>
  <c r="W179" i="2"/>
  <c r="V179" i="2"/>
  <c r="S179" i="2"/>
  <c r="Y179" i="2"/>
  <c r="X179" i="2" l="1"/>
  <c r="F180" i="2"/>
  <c r="G180" i="2"/>
  <c r="E180" i="2"/>
  <c r="H180" i="2"/>
  <c r="I180" i="2"/>
  <c r="K180" i="2" l="1"/>
  <c r="O180" i="2" s="1"/>
  <c r="P180" i="2" l="1"/>
  <c r="L180" i="2"/>
  <c r="N180" i="2"/>
  <c r="M180" i="2"/>
  <c r="Q180" i="2" l="1"/>
  <c r="Z180" i="2" s="1"/>
  <c r="H181" i="2" l="1"/>
  <c r="I181" i="2"/>
  <c r="U180" i="2"/>
  <c r="V180" i="2"/>
  <c r="W180" i="2"/>
  <c r="S180" i="2"/>
  <c r="R180" i="2"/>
  <c r="T180" i="2"/>
  <c r="Y180" i="2"/>
  <c r="X180" i="2" l="1"/>
  <c r="F181" i="2"/>
  <c r="E181" i="2"/>
  <c r="G181" i="2"/>
  <c r="K181" i="2" l="1"/>
  <c r="M181" i="2" s="1"/>
  <c r="L181" i="2" l="1"/>
  <c r="P181" i="2"/>
  <c r="O181" i="2"/>
  <c r="N181" i="2"/>
  <c r="Q181" i="2" l="1"/>
  <c r="Y181" i="2" s="1"/>
  <c r="G182" i="2" l="1"/>
  <c r="E182" i="2"/>
  <c r="F182" i="2"/>
  <c r="T181" i="2"/>
  <c r="U181" i="2"/>
  <c r="Z181" i="2"/>
  <c r="R181" i="2"/>
  <c r="S181" i="2"/>
  <c r="W181" i="2"/>
  <c r="V181" i="2"/>
  <c r="X181" i="2" l="1"/>
  <c r="I182" i="2"/>
  <c r="H182" i="2"/>
  <c r="K182" i="2" s="1"/>
  <c r="O182" i="2" l="1"/>
  <c r="M182" i="2"/>
  <c r="L182" i="2"/>
  <c r="N182" i="2"/>
  <c r="P182" i="2"/>
  <c r="Q182" i="2" l="1"/>
  <c r="R182" i="2" s="1"/>
  <c r="S182" i="2" l="1"/>
  <c r="T182" i="2"/>
  <c r="Y182" i="2"/>
  <c r="Z182" i="2"/>
  <c r="U182" i="2"/>
  <c r="V182" i="2"/>
  <c r="W182" i="2"/>
  <c r="X182" i="2" l="1"/>
  <c r="I183" i="2"/>
  <c r="H183" i="2"/>
  <c r="G183" i="2"/>
  <c r="E183" i="2"/>
  <c r="F183" i="2"/>
  <c r="K183" i="2" l="1"/>
  <c r="P183" i="2" s="1"/>
  <c r="L183" i="2" l="1"/>
  <c r="M183" i="2"/>
  <c r="O183" i="2"/>
  <c r="N183" i="2"/>
  <c r="Q183" i="2" l="1"/>
  <c r="Z183" i="2" s="1"/>
  <c r="I184" i="2" l="1"/>
  <c r="H184" i="2"/>
  <c r="R183" i="2"/>
  <c r="T183" i="2"/>
  <c r="U183" i="2"/>
  <c r="W183" i="2"/>
  <c r="S183" i="2"/>
  <c r="Y183" i="2"/>
  <c r="V183" i="2"/>
  <c r="X183" i="2" l="1"/>
  <c r="F184" i="2"/>
  <c r="G184" i="2"/>
  <c r="E184" i="2"/>
  <c r="K184" i="2" l="1"/>
  <c r="L184" i="2" s="1"/>
  <c r="M184" i="2" l="1"/>
  <c r="P184" i="2"/>
  <c r="O184" i="2"/>
  <c r="N184" i="2"/>
  <c r="Q184" i="2" l="1"/>
  <c r="T184" i="2" s="1"/>
  <c r="Z184" i="2"/>
  <c r="Y184" i="2"/>
  <c r="U184" i="2"/>
  <c r="S184" i="2"/>
  <c r="V184" i="2"/>
  <c r="W184" i="2"/>
  <c r="R184" i="2" l="1"/>
  <c r="X184" i="2" s="1"/>
  <c r="I185" i="2"/>
  <c r="H185" i="2"/>
  <c r="E185" i="2"/>
  <c r="G185" i="2"/>
  <c r="F185" i="2"/>
  <c r="K185" i="2" l="1"/>
  <c r="N185" i="2" s="1"/>
  <c r="O185" i="2" l="1"/>
  <c r="L185" i="2"/>
  <c r="M185" i="2"/>
  <c r="P185" i="2"/>
  <c r="Q185" i="2" l="1"/>
  <c r="Y185" i="2" s="1"/>
  <c r="G186" i="2" l="1"/>
  <c r="F186" i="2"/>
  <c r="E186" i="2"/>
  <c r="T185" i="2"/>
  <c r="R185" i="2"/>
  <c r="S185" i="2"/>
  <c r="V185" i="2"/>
  <c r="U185" i="2"/>
  <c r="Z185" i="2"/>
  <c r="W185" i="2"/>
  <c r="X185" i="2" l="1"/>
  <c r="I186" i="2"/>
  <c r="H186" i="2"/>
  <c r="K186" i="2" l="1"/>
  <c r="P186" i="2" l="1"/>
  <c r="N186" i="2"/>
  <c r="L186" i="2"/>
  <c r="M186" i="2"/>
  <c r="O186" i="2"/>
  <c r="Q186" i="2" l="1"/>
  <c r="W186" i="2" s="1"/>
  <c r="T186" i="2" l="1"/>
  <c r="U186" i="2"/>
  <c r="Y186" i="2"/>
  <c r="Z186" i="2"/>
  <c r="V186" i="2"/>
  <c r="R186" i="2"/>
  <c r="S186" i="2"/>
  <c r="X186" i="2" l="1"/>
  <c r="H187" i="2"/>
  <c r="I187" i="2"/>
  <c r="G187" i="2"/>
  <c r="E187" i="2"/>
  <c r="F187" i="2"/>
  <c r="K187" i="2" l="1"/>
  <c r="N187" i="2" s="1"/>
  <c r="L187" i="2" l="1"/>
  <c r="O187" i="2"/>
  <c r="P187" i="2"/>
  <c r="M187" i="2"/>
  <c r="Q187" i="2"/>
  <c r="T187" i="2" s="1"/>
  <c r="S187" i="2" l="1"/>
  <c r="Z187" i="2"/>
  <c r="R187" i="2"/>
  <c r="Y187" i="2"/>
  <c r="U187" i="2"/>
  <c r="V187" i="2"/>
  <c r="W187" i="2"/>
  <c r="X187" i="2" l="1"/>
  <c r="E188" i="2"/>
  <c r="F188" i="2"/>
  <c r="G188" i="2"/>
  <c r="I188" i="2"/>
  <c r="H188" i="2"/>
  <c r="K188" i="2" l="1"/>
  <c r="M188" i="2" s="1"/>
  <c r="N188" i="2" l="1"/>
  <c r="L188" i="2"/>
  <c r="O188" i="2"/>
  <c r="P188" i="2"/>
  <c r="Q188" i="2" l="1"/>
  <c r="V188" i="2" s="1"/>
  <c r="S188" i="2" l="1"/>
  <c r="U188" i="2"/>
  <c r="T188" i="2"/>
  <c r="W188" i="2"/>
  <c r="R188" i="2"/>
  <c r="Y188" i="2"/>
  <c r="Z188" i="2"/>
  <c r="X188" i="2" l="1"/>
  <c r="H189" i="2"/>
  <c r="I189" i="2"/>
  <c r="E189" i="2"/>
  <c r="G189" i="2"/>
  <c r="F189" i="2"/>
  <c r="K189" i="2" l="1"/>
  <c r="L189" i="2" s="1"/>
  <c r="P189" i="2" l="1"/>
  <c r="M189" i="2"/>
  <c r="O189" i="2"/>
  <c r="N189" i="2"/>
  <c r="Q189" i="2" l="1"/>
  <c r="R189" i="2" l="1"/>
  <c r="T189" i="2"/>
  <c r="U189" i="2"/>
  <c r="W189" i="2"/>
  <c r="Y189" i="2"/>
  <c r="V189" i="2"/>
  <c r="S189" i="2"/>
  <c r="Z189" i="2"/>
  <c r="X189" i="2" l="1"/>
  <c r="G190" i="2"/>
  <c r="E190" i="2"/>
  <c r="F190" i="2"/>
  <c r="H190" i="2"/>
  <c r="I190" i="2"/>
  <c r="K190" i="2" l="1"/>
  <c r="M190" i="2" s="1"/>
  <c r="L190" i="2" l="1"/>
  <c r="O190" i="2"/>
  <c r="N190" i="2"/>
  <c r="P190" i="2"/>
  <c r="Q190" i="2" l="1"/>
  <c r="T190" i="2" l="1"/>
  <c r="U190" i="2"/>
  <c r="V190" i="2"/>
  <c r="S190" i="2"/>
  <c r="W190" i="2"/>
  <c r="Z190" i="2"/>
  <c r="R190" i="2"/>
  <c r="Y190" i="2"/>
  <c r="X190" i="2" l="1"/>
  <c r="I191" i="2"/>
  <c r="H191" i="2"/>
  <c r="G191" i="2"/>
  <c r="F191" i="2"/>
  <c r="E191" i="2"/>
  <c r="K191" i="2" l="1"/>
  <c r="P191" i="2" s="1"/>
  <c r="M191" i="2" l="1"/>
  <c r="O191" i="2"/>
  <c r="L191" i="2"/>
  <c r="N191" i="2"/>
  <c r="Q191" i="2" l="1"/>
  <c r="R191" i="2" s="1"/>
  <c r="Y191" i="2" l="1"/>
  <c r="S191" i="2"/>
  <c r="W191" i="2"/>
  <c r="T191" i="2"/>
  <c r="Z191" i="2"/>
  <c r="U191" i="2"/>
  <c r="V191" i="2"/>
  <c r="X191" i="2" l="1"/>
  <c r="I192" i="2"/>
  <c r="H192" i="2"/>
  <c r="F192" i="2"/>
  <c r="G192" i="2"/>
  <c r="E192" i="2"/>
  <c r="K192" i="2" l="1"/>
  <c r="N192" i="2" s="1"/>
  <c r="O192" i="2" l="1"/>
  <c r="L192" i="2"/>
  <c r="M192" i="2"/>
  <c r="P192" i="2"/>
  <c r="Q192" i="2" l="1"/>
  <c r="S192" i="2" l="1"/>
  <c r="V192" i="2"/>
  <c r="W192" i="2"/>
  <c r="Y192" i="2"/>
  <c r="T192" i="2"/>
  <c r="R192" i="2"/>
  <c r="U192" i="2"/>
  <c r="Z192" i="2"/>
  <c r="X192" i="2" l="1"/>
  <c r="G193" i="2"/>
  <c r="E193" i="2"/>
  <c r="F193" i="2"/>
  <c r="I193" i="2"/>
  <c r="H193" i="2"/>
  <c r="K193" i="2" l="1"/>
  <c r="O193" i="2" s="1"/>
  <c r="L193" i="2" l="1"/>
  <c r="M193" i="2"/>
  <c r="N193" i="2"/>
  <c r="P193" i="2"/>
  <c r="Q193" i="2" l="1"/>
  <c r="Y193" i="2" s="1"/>
  <c r="Z193" i="2"/>
  <c r="G194" i="2" l="1"/>
  <c r="F194" i="2"/>
  <c r="E194" i="2"/>
  <c r="S193" i="2"/>
  <c r="T193" i="2"/>
  <c r="W193" i="2"/>
  <c r="I194" i="2"/>
  <c r="H194" i="2"/>
  <c r="U193" i="2"/>
  <c r="R193" i="2"/>
  <c r="V193" i="2"/>
  <c r="X193" i="2" l="1"/>
  <c r="K194" i="2"/>
  <c r="N194" i="2" s="1"/>
  <c r="O194" i="2"/>
  <c r="M194" i="2" l="1"/>
  <c r="L194" i="2"/>
  <c r="P194" i="2"/>
  <c r="Q194" i="2" l="1"/>
  <c r="R194" i="2" s="1"/>
  <c r="Z194" i="2" l="1"/>
  <c r="S194" i="2"/>
  <c r="V194" i="2"/>
  <c r="T194" i="2"/>
  <c r="Y194" i="2"/>
  <c r="U194" i="2"/>
  <c r="W194" i="2"/>
  <c r="X194" i="2" l="1"/>
  <c r="G195" i="2"/>
  <c r="F195" i="2"/>
  <c r="E195" i="2"/>
  <c r="H195" i="2"/>
  <c r="I195" i="2"/>
  <c r="K195" i="2" l="1"/>
  <c r="N195" i="2" s="1"/>
  <c r="P195" i="2" l="1"/>
  <c r="M195" i="2"/>
  <c r="L195" i="2"/>
  <c r="O195" i="2"/>
  <c r="Q195" i="2" l="1"/>
  <c r="W195" i="2" l="1"/>
  <c r="V195" i="2"/>
  <c r="U195" i="2"/>
  <c r="T195" i="2"/>
  <c r="Y195" i="2"/>
  <c r="S195" i="2"/>
  <c r="R195" i="2"/>
  <c r="Z195" i="2"/>
  <c r="X195" i="2" l="1"/>
  <c r="F196" i="2"/>
  <c r="G196" i="2"/>
  <c r="E196" i="2"/>
  <c r="H196" i="2"/>
  <c r="I196" i="2"/>
  <c r="K196" i="2" l="1"/>
  <c r="N196" i="2" s="1"/>
  <c r="L196" i="2" l="1"/>
  <c r="P196" i="2"/>
  <c r="M196" i="2"/>
  <c r="O196" i="2"/>
  <c r="Q196" i="2" l="1"/>
  <c r="V196" i="2" l="1"/>
  <c r="W196" i="2"/>
  <c r="Y196" i="2"/>
  <c r="T196" i="2"/>
  <c r="R196" i="2"/>
  <c r="S196" i="2"/>
  <c r="Z196" i="2"/>
  <c r="U196" i="2"/>
  <c r="X196" i="2" l="1"/>
  <c r="F197" i="2"/>
  <c r="E197" i="2"/>
  <c r="G197" i="2"/>
  <c r="H197" i="2"/>
  <c r="I197" i="2"/>
  <c r="K197" i="2" l="1"/>
  <c r="N197" i="2" s="1"/>
  <c r="M197" i="2" l="1"/>
  <c r="L197" i="2"/>
  <c r="O197" i="2"/>
  <c r="P197" i="2"/>
  <c r="Q197" i="2" l="1"/>
  <c r="R197" i="2" s="1"/>
  <c r="Z197" i="2" l="1"/>
  <c r="V197" i="2"/>
  <c r="U197" i="2"/>
  <c r="T197" i="2"/>
  <c r="Y197" i="2"/>
  <c r="W197" i="2"/>
  <c r="S197" i="2"/>
  <c r="X197" i="2" l="1"/>
  <c r="G198" i="2"/>
  <c r="E198" i="2"/>
  <c r="F198" i="2"/>
  <c r="I198" i="2"/>
  <c r="H198" i="2"/>
  <c r="K198" i="2" l="1"/>
  <c r="P198" i="2" s="1"/>
  <c r="N198" i="2" l="1"/>
  <c r="O198" i="2"/>
  <c r="L198" i="2"/>
  <c r="M198" i="2"/>
  <c r="Q198" i="2" l="1"/>
  <c r="Y198" i="2" s="1"/>
  <c r="W198" i="2"/>
  <c r="V198" i="2"/>
  <c r="R198" i="2" l="1"/>
  <c r="Z198" i="2"/>
  <c r="I199" i="2" s="1"/>
  <c r="S198" i="2"/>
  <c r="U198" i="2"/>
  <c r="T198" i="2"/>
  <c r="X198" i="2" s="1"/>
  <c r="E199" i="2"/>
  <c r="F199" i="2"/>
  <c r="G199" i="2"/>
  <c r="H199" i="2" l="1"/>
  <c r="I2" i="2"/>
  <c r="AC9" i="1" s="1"/>
  <c r="H2" i="2"/>
  <c r="F2" i="2"/>
  <c r="G2" i="2"/>
  <c r="AC7" i="1" s="1"/>
  <c r="E2" i="2"/>
  <c r="AC5" i="1" s="1"/>
  <c r="K199" i="2"/>
  <c r="P199" i="2" s="1"/>
  <c r="N199" i="2" l="1"/>
  <c r="AD5" i="1"/>
  <c r="AF5" i="1"/>
  <c r="M199" i="2"/>
  <c r="O199" i="2"/>
  <c r="AC6" i="1"/>
  <c r="F3" i="2"/>
  <c r="L199" i="2"/>
  <c r="K2" i="2"/>
  <c r="AC8" i="1"/>
  <c r="H3" i="2"/>
  <c r="Q199" i="2" l="1"/>
  <c r="R199" i="2" s="1"/>
  <c r="AE81" i="1"/>
  <c r="AF8" i="1"/>
  <c r="AF81" i="1" s="1"/>
  <c r="AD8" i="1"/>
  <c r="AD6" i="1"/>
  <c r="AC11" i="1"/>
  <c r="AE6" i="1" s="1"/>
  <c r="AC13" i="1"/>
  <c r="Y199" i="2"/>
  <c r="U199" i="2"/>
  <c r="S199" i="2" l="1"/>
  <c r="Z199" i="2"/>
  <c r="T199" i="2"/>
  <c r="AG81" i="1"/>
  <c r="AF11" i="1"/>
  <c r="AE4" i="1"/>
  <c r="AE10" i="1"/>
  <c r="AE3" i="1"/>
  <c r="AE5" i="1"/>
  <c r="AE7" i="1"/>
  <c r="W199" i="2"/>
  <c r="V199" i="2"/>
  <c r="X199" i="2" l="1"/>
  <c r="AE11" i="1"/>
</calcChain>
</file>

<file path=xl/sharedStrings.xml><?xml version="1.0" encoding="utf-8"?>
<sst xmlns="http://schemas.openxmlformats.org/spreadsheetml/2006/main" count="491" uniqueCount="216">
  <si>
    <t>propane</t>
  </si>
  <si>
    <t>C3H8</t>
  </si>
  <si>
    <t>n-butane</t>
  </si>
  <si>
    <t>C4H10</t>
  </si>
  <si>
    <t>Component Name</t>
  </si>
  <si>
    <t>Formula</t>
  </si>
  <si>
    <t xml:space="preserve">      bp (C)</t>
  </si>
  <si>
    <t>MW (g/mol)</t>
  </si>
  <si>
    <t>Total</t>
  </si>
  <si>
    <t>AMW</t>
  </si>
  <si>
    <t>hydrogen</t>
  </si>
  <si>
    <t>Inlet</t>
  </si>
  <si>
    <t>feed</t>
  </si>
  <si>
    <t>mol%</t>
  </si>
  <si>
    <t>R1</t>
  </si>
  <si>
    <t>R2</t>
  </si>
  <si>
    <t>R3</t>
  </si>
  <si>
    <t>R4</t>
  </si>
  <si>
    <t>total Vol</t>
  </si>
  <si>
    <t>incr. Vol</t>
  </si>
  <si>
    <t>outlet</t>
  </si>
  <si>
    <t>Outlet</t>
  </si>
  <si>
    <t xml:space="preserve"> mol/hr</t>
  </si>
  <si>
    <t>mol/hr</t>
  </si>
  <si>
    <t>Product</t>
  </si>
  <si>
    <t>Scale</t>
  </si>
  <si>
    <t>mol/hr per L</t>
  </si>
  <si>
    <t>CO</t>
  </si>
  <si>
    <t>%</t>
  </si>
  <si>
    <t>nitrogen</t>
  </si>
  <si>
    <t>carbon monoxide</t>
  </si>
  <si>
    <t>N2</t>
  </si>
  <si>
    <t>H2</t>
  </si>
  <si>
    <t>carbon dioxide</t>
  </si>
  <si>
    <t>CO2</t>
  </si>
  <si>
    <t>O2</t>
  </si>
  <si>
    <t>oxygen</t>
  </si>
  <si>
    <t>−191.5</t>
  </si>
  <si>
    <t>methane</t>
  </si>
  <si>
    <t>ethane</t>
  </si>
  <si>
    <t>water</t>
  </si>
  <si>
    <t>CH4</t>
  </si>
  <si>
    <t>C2H6</t>
  </si>
  <si>
    <t>H2O</t>
  </si>
  <si>
    <t>Cp</t>
  </si>
  <si>
    <t>A</t>
  </si>
  <si>
    <t>B</t>
  </si>
  <si>
    <t>C</t>
  </si>
  <si>
    <t>D</t>
  </si>
  <si>
    <t>E</t>
  </si>
  <si>
    <t>F</t>
  </si>
  <si>
    <t>G</t>
  </si>
  <si>
    <t>Gas Phase Heat Capacity (Shomate Equation)</t>
  </si>
  <si>
    <t>    H° = standard enthalpy (kJ/mol)</t>
  </si>
  <si>
    <t>    S° = standard entropy (J/mol*K)</t>
  </si>
  <si>
    <t>    t = temperature (K) / 1000.</t>
  </si>
  <si>
    <t>Cp° = A + B*t + C*t2 + D*t3 + E/t2</t>
  </si>
  <si>
    <t>H° − H°298.15= A*t + B*t2/2 + C*t3/3 + D*t4/4 − E/t + F − H</t>
  </si>
  <si>
    <t>S° = A*ln(t) + B*t + C*t2/2 + D*t3/3 − E/(2*t2) + G</t>
  </si>
  <si>
    <t>    Cp = heat capacity (J/mol*K)</t>
  </si>
  <si>
    <t>from webbook.nist.gov (Dec 2016) unless otherwiase stated</t>
  </si>
  <si>
    <t>H = ΔHf, 298</t>
  </si>
  <si>
    <t>X</t>
  </si>
  <si>
    <t>a</t>
  </si>
  <si>
    <t>J</t>
  </si>
  <si>
    <t>cal</t>
  </si>
  <si>
    <t>Temparature (degC)</t>
  </si>
  <si>
    <t>Cp (J/mol/K)</t>
  </si>
  <si>
    <t>J/mol/K</t>
  </si>
  <si>
    <t>from Reid et al</t>
  </si>
  <si>
    <t>butane</t>
  </si>
  <si>
    <t>CpA</t>
  </si>
  <si>
    <t>CpB</t>
  </si>
  <si>
    <t>CpC</t>
  </si>
  <si>
    <t>CpD</t>
  </si>
  <si>
    <t>delHG</t>
  </si>
  <si>
    <t>delFG</t>
  </si>
  <si>
    <t>H abs</t>
  </si>
  <si>
    <t>kJ/mol</t>
  </si>
  <si>
    <t>Bed 1 - Model (same input)</t>
  </si>
  <si>
    <t xml:space="preserve">Bed 1 - Manual </t>
  </si>
  <si>
    <t>methanol</t>
  </si>
  <si>
    <t>CH4O</t>
  </si>
  <si>
    <t>MW</t>
  </si>
  <si>
    <t>water (g)</t>
  </si>
  <si>
    <t>nitric oxide</t>
  </si>
  <si>
    <t>NO</t>
  </si>
  <si>
    <t>nitrogen dioxide</t>
  </si>
  <si>
    <t>NO2</t>
  </si>
  <si>
    <t>from CATOX e</t>
  </si>
  <si>
    <t>delete beds 2 &amp; 3</t>
  </si>
  <si>
    <t>Feed Rate (NL/hr)</t>
  </si>
  <si>
    <t>Catalyst volume (L)</t>
  </si>
  <si>
    <t>Enthalpy (J/hr)</t>
  </si>
  <si>
    <t>Mass rate (g/hr)</t>
  </si>
  <si>
    <t>NO + 0.5 O2 -&gt; NO2</t>
  </si>
  <si>
    <t>CO + H2O - CO2 + H2</t>
  </si>
  <si>
    <t>H2 + 0.5 O2 -&gt; H2O</t>
  </si>
  <si>
    <t>R5</t>
  </si>
  <si>
    <t>CO + NO2 -&gt; CO2 + NO</t>
  </si>
  <si>
    <t>ToL</t>
  </si>
  <si>
    <t>Cat Temp</t>
  </si>
  <si>
    <t>Oxygen</t>
  </si>
  <si>
    <t>Water</t>
  </si>
  <si>
    <t>Carbon monoxide</t>
  </si>
  <si>
    <t>Nitric oxide</t>
  </si>
  <si>
    <t>R1: X_CO</t>
  </si>
  <si>
    <t>R2:X_NO</t>
  </si>
  <si>
    <t>Run</t>
  </si>
  <si>
    <t>Catalyst</t>
  </si>
  <si>
    <t>PtCu</t>
  </si>
  <si>
    <t>Index</t>
  </si>
  <si>
    <t>error</t>
  </si>
  <si>
    <t>remove HC's</t>
  </si>
  <si>
    <t xml:space="preserve">CO + 0.5 O2 -&gt; CO2 </t>
  </si>
  <si>
    <t>error^2</t>
  </si>
  <si>
    <t>b</t>
  </si>
  <si>
    <t>going to elementry reactions and surface species</t>
  </si>
  <si>
    <t>P_T =</t>
  </si>
  <si>
    <t>ATM</t>
  </si>
  <si>
    <t>P_CO</t>
  </si>
  <si>
    <t>P_O2</t>
  </si>
  <si>
    <t>P_CO2</t>
  </si>
  <si>
    <t>partial pressures</t>
  </si>
  <si>
    <t>CO*</t>
  </si>
  <si>
    <t>O*</t>
  </si>
  <si>
    <t>CO2*</t>
  </si>
  <si>
    <t>*</t>
  </si>
  <si>
    <t>surface coverage</t>
  </si>
  <si>
    <t>O2*</t>
  </si>
  <si>
    <t>r1</t>
  </si>
  <si>
    <t>r2</t>
  </si>
  <si>
    <t>r3</t>
  </si>
  <si>
    <t>r4</t>
  </si>
  <si>
    <t>r5</t>
  </si>
  <si>
    <t>r6</t>
  </si>
  <si>
    <t>K1 =</t>
  </si>
  <si>
    <t>K2 =</t>
  </si>
  <si>
    <t>K3 =</t>
  </si>
  <si>
    <t>K4 =</t>
  </si>
  <si>
    <t>K5 =</t>
  </si>
  <si>
    <t>K6 =</t>
  </si>
  <si>
    <t>k1f =</t>
  </si>
  <si>
    <t>k2f =</t>
  </si>
  <si>
    <t>k3f =</t>
  </si>
  <si>
    <t>k4f =</t>
  </si>
  <si>
    <t>k5f =</t>
  </si>
  <si>
    <t>k6f =</t>
  </si>
  <si>
    <t>k1r =</t>
  </si>
  <si>
    <t>k2r =</t>
  </si>
  <si>
    <t>k3r =</t>
  </si>
  <si>
    <t>k4r =</t>
  </si>
  <si>
    <t>k5r =</t>
  </si>
  <si>
    <t>k6r =</t>
  </si>
  <si>
    <t>Rx1</t>
  </si>
  <si>
    <t>GHSV</t>
  </si>
  <si>
    <t>b2</t>
  </si>
  <si>
    <t>changed rate to GHSV in database</t>
  </si>
  <si>
    <t>k7f =</t>
  </si>
  <si>
    <t>k8f=</t>
  </si>
  <si>
    <t>k9f=</t>
  </si>
  <si>
    <t>k10f=</t>
  </si>
  <si>
    <t>K7 =</t>
  </si>
  <si>
    <t>K8 =</t>
  </si>
  <si>
    <t>K9 =</t>
  </si>
  <si>
    <t>K10 =</t>
  </si>
  <si>
    <t>k7r =</t>
  </si>
  <si>
    <t>k8r=</t>
  </si>
  <si>
    <t>k9r=</t>
  </si>
  <si>
    <t>k10r=</t>
  </si>
  <si>
    <t>c</t>
  </si>
  <si>
    <t>added Rx2</t>
  </si>
  <si>
    <t>P_NO</t>
  </si>
  <si>
    <t>P_NO2</t>
  </si>
  <si>
    <t>sum</t>
  </si>
  <si>
    <t>NO*</t>
  </si>
  <si>
    <t>NO2*</t>
  </si>
  <si>
    <t>Rx2</t>
  </si>
  <si>
    <t>corrected Rx1</t>
  </si>
  <si>
    <t>both</t>
  </si>
  <si>
    <t>d</t>
  </si>
  <si>
    <t>adding full results from MONO</t>
  </si>
  <si>
    <t>Carbon Dioxide</t>
  </si>
  <si>
    <t>Nitrogen Dioxide</t>
  </si>
  <si>
    <t>PtPd</t>
  </si>
  <si>
    <t>PdCu</t>
  </si>
  <si>
    <t>Cu</t>
  </si>
  <si>
    <t>Ea_4f/R =</t>
  </si>
  <si>
    <t>Ea_5f/R =</t>
  </si>
  <si>
    <t>Ea_1e/R =</t>
  </si>
  <si>
    <t>Ea_2e/R =</t>
  </si>
  <si>
    <t>Ea_3e/R =</t>
  </si>
  <si>
    <t>Ea_6e/R =</t>
  </si>
  <si>
    <t>Ea_7e/R =</t>
  </si>
  <si>
    <t>Ea_10e/R =</t>
  </si>
  <si>
    <t>k1f_o =</t>
  </si>
  <si>
    <t>k2f_o =</t>
  </si>
  <si>
    <t>k3f_o =</t>
  </si>
  <si>
    <t>k4f_o =</t>
  </si>
  <si>
    <t>k5f_o =</t>
  </si>
  <si>
    <t>k6f_o =</t>
  </si>
  <si>
    <t>k7f_o =</t>
  </si>
  <si>
    <t>k8f_o =</t>
  </si>
  <si>
    <t>k9f_o =</t>
  </si>
  <si>
    <t>k10f_o =</t>
  </si>
  <si>
    <t>add temperature dependance</t>
  </si>
  <si>
    <t>K1 _o =</t>
  </si>
  <si>
    <t>K2 _o =</t>
  </si>
  <si>
    <t>K3 _o =</t>
  </si>
  <si>
    <t>K4 _o =</t>
  </si>
  <si>
    <t>K5 _o =</t>
  </si>
  <si>
    <t>K6 _o =</t>
  </si>
  <si>
    <t>K7 _o =</t>
  </si>
  <si>
    <t>K8 _o =</t>
  </si>
  <si>
    <t>K9 _o =</t>
  </si>
  <si>
    <t>K10 _o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</si>
</sst>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0.0000"/>
    <numFmt numFmtId="166" formatCode="0.000"/>
    <numFmt numFmtId="167" formatCode="0.0%"/>
    <numFmt numFmtId="168" formatCode="#,##0.0"/>
    <numFmt numFmtId="169" formatCode="#,##0.0000"/>
    <numFmt numFmtId="170" formatCode="0.0000%"/>
    <numFmt numFmtId="171" formatCode="0.0E+00"/>
    <numFmt numFmtId="172" formatCode="0.000%"/>
    <numFmt numFmtId="173" formatCode="#,##0.0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 Narrow"/>
      <family val="2"/>
    </font>
    <font>
      <sz val="10"/>
      <name val="Arial Narrow"/>
      <family val="2"/>
    </font>
    <font>
      <b/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6"/>
      <color indexed="8"/>
      <name val="Calibri"/>
      <family val="2"/>
    </font>
    <font>
      <i/>
      <sz val="9"/>
      <color theme="1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0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ck">
        <color theme="9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12" fillId="0" borderId="0"/>
  </cellStyleXfs>
  <cellXfs count="165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164" fontId="1" fillId="0" borderId="0" xfId="0" applyNumberFormat="1" applyFont="1" applyAlignment="1">
      <alignment wrapText="1"/>
    </xf>
    <xf numFmtId="0" fontId="3" fillId="0" borderId="0" xfId="0" applyFont="1"/>
    <xf numFmtId="0" fontId="4" fillId="0" borderId="0" xfId="0" applyFont="1"/>
    <xf numFmtId="10" fontId="0" fillId="0" borderId="0" xfId="1" applyNumberFormat="1" applyFont="1"/>
    <xf numFmtId="2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4" fillId="0" borderId="0" xfId="0" applyFont="1" applyAlignment="1">
      <alignment horizontal="center"/>
    </xf>
    <xf numFmtId="168" fontId="3" fillId="0" borderId="0" xfId="0" applyNumberFormat="1" applyFont="1"/>
    <xf numFmtId="164" fontId="3" fillId="0" borderId="0" xfId="0" applyNumberFormat="1" applyFont="1"/>
    <xf numFmtId="3" fontId="0" fillId="0" borderId="0" xfId="0" applyNumberFormat="1"/>
    <xf numFmtId="3" fontId="1" fillId="0" borderId="0" xfId="0" applyNumberFormat="1" applyFont="1"/>
    <xf numFmtId="3" fontId="7" fillId="0" borderId="0" xfId="0" applyNumberFormat="1" applyFont="1"/>
    <xf numFmtId="10" fontId="7" fillId="0" borderId="0" xfId="1" applyNumberFormat="1" applyFont="1"/>
    <xf numFmtId="10" fontId="0" fillId="0" borderId="0" xfId="0" applyNumberFormat="1"/>
    <xf numFmtId="2" fontId="6" fillId="0" borderId="0" xfId="0" applyNumberFormat="1" applyFont="1"/>
    <xf numFmtId="2" fontId="3" fillId="0" borderId="0" xfId="0" applyNumberFormat="1" applyFont="1"/>
    <xf numFmtId="2" fontId="3" fillId="2" borderId="0" xfId="0" applyNumberFormat="1" applyFont="1" applyFill="1"/>
    <xf numFmtId="0" fontId="6" fillId="0" borderId="0" xfId="0" applyFont="1"/>
    <xf numFmtId="166" fontId="3" fillId="0" borderId="0" xfId="0" applyNumberFormat="1" applyFont="1"/>
    <xf numFmtId="166" fontId="4" fillId="0" borderId="0" xfId="0" applyNumberFormat="1" applyFont="1"/>
    <xf numFmtId="166" fontId="6" fillId="0" borderId="0" xfId="0" applyNumberFormat="1" applyFont="1"/>
    <xf numFmtId="10" fontId="1" fillId="0" borderId="0" xfId="0" applyNumberFormat="1" applyFont="1"/>
    <xf numFmtId="0" fontId="10" fillId="0" borderId="1" xfId="0" applyFont="1" applyBorder="1"/>
    <xf numFmtId="0" fontId="9" fillId="0" borderId="1" xfId="0" applyFont="1" applyBorder="1"/>
    <xf numFmtId="164" fontId="9" fillId="0" borderId="1" xfId="0" applyNumberFormat="1" applyFont="1" applyBorder="1"/>
    <xf numFmtId="169" fontId="0" fillId="0" borderId="0" xfId="0" applyNumberFormat="1"/>
    <xf numFmtId="0" fontId="0" fillId="0" borderId="0" xfId="0" applyAlignment="1">
      <alignment horizontal="right"/>
    </xf>
    <xf numFmtId="164" fontId="14" fillId="0" borderId="0" xfId="0" applyNumberFormat="1" applyFont="1"/>
    <xf numFmtId="0" fontId="0" fillId="0" borderId="0" xfId="0" applyAlignment="1">
      <alignment wrapText="1"/>
    </xf>
    <xf numFmtId="164" fontId="0" fillId="0" borderId="0" xfId="0" applyNumberFormat="1" applyAlignment="1">
      <alignment horizontal="right"/>
    </xf>
    <xf numFmtId="0" fontId="16" fillId="0" borderId="0" xfId="0" applyFont="1"/>
    <xf numFmtId="10" fontId="1" fillId="2" borderId="0" xfId="1" applyNumberFormat="1" applyFont="1" applyFill="1"/>
    <xf numFmtId="0" fontId="1" fillId="0" borderId="0" xfId="0" applyFont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wrapText="1"/>
    </xf>
    <xf numFmtId="3" fontId="0" fillId="0" borderId="0" xfId="0" applyNumberFormat="1" applyAlignment="1">
      <alignment horizontal="center"/>
    </xf>
    <xf numFmtId="3" fontId="1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7" fontId="3" fillId="0" borderId="0" xfId="1" applyNumberFormat="1" applyFont="1" applyAlignment="1">
      <alignment horizontal="center"/>
    </xf>
    <xf numFmtId="3" fontId="1" fillId="2" borderId="0" xfId="0" applyNumberFormat="1" applyFont="1" applyFill="1"/>
    <xf numFmtId="164" fontId="7" fillId="0" borderId="0" xfId="1" applyNumberFormat="1" applyFont="1"/>
    <xf numFmtId="171" fontId="0" fillId="0" borderId="0" xfId="0" applyNumberFormat="1"/>
    <xf numFmtId="0" fontId="18" fillId="0" borderId="0" xfId="0" applyFont="1"/>
    <xf numFmtId="170" fontId="0" fillId="0" borderId="0" xfId="1" applyNumberFormat="1" applyFont="1"/>
    <xf numFmtId="0" fontId="0" fillId="0" borderId="3" xfId="0" applyBorder="1"/>
    <xf numFmtId="0" fontId="3" fillId="0" borderId="3" xfId="0" applyFont="1" applyBorder="1"/>
    <xf numFmtId="165" fontId="3" fillId="0" borderId="3" xfId="0" applyNumberFormat="1" applyFont="1" applyBorder="1"/>
    <xf numFmtId="0" fontId="0" fillId="4" borderId="0" xfId="0" applyFill="1" applyAlignment="1">
      <alignment horizontal="right"/>
    </xf>
    <xf numFmtId="0" fontId="0" fillId="4" borderId="0" xfId="0" applyFill="1"/>
    <xf numFmtId="164" fontId="0" fillId="4" borderId="0" xfId="0" applyNumberFormat="1" applyFill="1"/>
    <xf numFmtId="0" fontId="0" fillId="4" borderId="0" xfId="0" applyFill="1" applyAlignment="1">
      <alignment horizontal="center"/>
    </xf>
    <xf numFmtId="0" fontId="1" fillId="0" borderId="1" xfId="0" applyFont="1" applyBorder="1"/>
    <xf numFmtId="0" fontId="0" fillId="0" borderId="1" xfId="0" applyBorder="1"/>
    <xf numFmtId="164" fontId="0" fillId="0" borderId="1" xfId="0" applyNumberFormat="1" applyBorder="1"/>
    <xf numFmtId="10" fontId="7" fillId="0" borderId="1" xfId="1" applyNumberFormat="1" applyFont="1" applyBorder="1"/>
    <xf numFmtId="169" fontId="0" fillId="0" borderId="1" xfId="0" applyNumberFormat="1" applyBorder="1"/>
    <xf numFmtId="169" fontId="0" fillId="0" borderId="1" xfId="0" applyNumberFormat="1" applyBorder="1" applyAlignment="1">
      <alignment horizontal="center"/>
    </xf>
    <xf numFmtId="10" fontId="0" fillId="0" borderId="1" xfId="1" applyNumberFormat="1" applyFont="1" applyBorder="1"/>
    <xf numFmtId="3" fontId="0" fillId="0" borderId="1" xfId="0" applyNumberFormat="1" applyBorder="1"/>
    <xf numFmtId="172" fontId="0" fillId="0" borderId="0" xfId="1" applyNumberFormat="1" applyFont="1"/>
    <xf numFmtId="4" fontId="0" fillId="0" borderId="1" xfId="0" applyNumberFormat="1" applyBorder="1"/>
    <xf numFmtId="2" fontId="6" fillId="2" borderId="0" xfId="0" applyNumberFormat="1" applyFont="1" applyFill="1"/>
    <xf numFmtId="164" fontId="17" fillId="0" borderId="4" xfId="0" applyNumberFormat="1" applyFont="1" applyBorder="1" applyAlignment="1">
      <alignment horizontal="center"/>
    </xf>
    <xf numFmtId="3" fontId="17" fillId="0" borderId="5" xfId="0" applyNumberFormat="1" applyFont="1" applyBorder="1" applyAlignment="1">
      <alignment horizontal="center"/>
    </xf>
    <xf numFmtId="170" fontId="1" fillId="2" borderId="0" xfId="1" applyNumberFormat="1" applyFont="1" applyFill="1"/>
    <xf numFmtId="4" fontId="0" fillId="0" borderId="0" xfId="0" applyNumberFormat="1"/>
    <xf numFmtId="0" fontId="9" fillId="0" borderId="0" xfId="0" applyFont="1"/>
    <xf numFmtId="3" fontId="1" fillId="0" borderId="0" xfId="0" applyNumberFormat="1" applyFont="1" applyAlignment="1">
      <alignment horizontal="right"/>
    </xf>
    <xf numFmtId="0" fontId="20" fillId="0" borderId="2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" fillId="0" borderId="0" xfId="1" applyNumberFormat="1" applyFont="1" applyFill="1"/>
    <xf numFmtId="2" fontId="13" fillId="2" borderId="0" xfId="0" applyNumberFormat="1" applyFont="1" applyFill="1"/>
    <xf numFmtId="164" fontId="8" fillId="2" borderId="0" xfId="0" applyNumberFormat="1" applyFont="1" applyFill="1"/>
    <xf numFmtId="167" fontId="8" fillId="2" borderId="0" xfId="1" applyNumberFormat="1" applyFont="1" applyFill="1" applyAlignment="1">
      <alignment horizontal="center" vertical="center"/>
    </xf>
    <xf numFmtId="2" fontId="1" fillId="0" borderId="0" xfId="0" applyNumberFormat="1" applyFont="1" applyAlignment="1">
      <alignment horizontal="right"/>
    </xf>
    <xf numFmtId="2" fontId="0" fillId="4" borderId="0" xfId="0" applyNumberFormat="1" applyFill="1"/>
    <xf numFmtId="2" fontId="0" fillId="0" borderId="0" xfId="0" applyNumberFormat="1" applyAlignment="1">
      <alignment wrapText="1"/>
    </xf>
    <xf numFmtId="4" fontId="6" fillId="0" borderId="0" xfId="0" applyNumberFormat="1" applyFont="1"/>
    <xf numFmtId="0" fontId="5" fillId="0" borderId="0" xfId="0" applyFont="1" applyAlignment="1">
      <alignment horizont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6" fontId="4" fillId="0" borderId="0" xfId="0" applyNumberFormat="1" applyFont="1" applyAlignment="1">
      <alignment horizontal="center"/>
    </xf>
    <xf numFmtId="9" fontId="3" fillId="0" borderId="0" xfId="1" applyFont="1" applyAlignment="1">
      <alignment horizontal="center"/>
    </xf>
    <xf numFmtId="173" fontId="6" fillId="0" borderId="0" xfId="0" applyNumberFormat="1" applyFont="1"/>
    <xf numFmtId="173" fontId="3" fillId="0" borderId="0" xfId="1" applyNumberFormat="1" applyFont="1" applyAlignment="1">
      <alignment horizontal="center"/>
    </xf>
    <xf numFmtId="173" fontId="4" fillId="0" borderId="0" xfId="0" applyNumberFormat="1" applyFont="1" applyAlignment="1">
      <alignment horizontal="center"/>
    </xf>
    <xf numFmtId="173" fontId="3" fillId="0" borderId="0" xfId="0" applyNumberFormat="1" applyFont="1"/>
    <xf numFmtId="10" fontId="1" fillId="0" borderId="0" xfId="0" applyNumberFormat="1" applyFont="1" applyAlignment="1">
      <alignment horizontal="center"/>
    </xf>
    <xf numFmtId="0" fontId="0" fillId="0" borderId="0" xfId="1" applyNumberFormat="1" applyFont="1"/>
    <xf numFmtId="0" fontId="0" fillId="0" borderId="0" xfId="1" applyNumberFormat="1" applyFont="1" applyBorder="1"/>
    <xf numFmtId="0" fontId="0" fillId="0" borderId="0" xfId="0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13" fillId="2" borderId="0" xfId="0" applyFont="1" applyFill="1"/>
    <xf numFmtId="0" fontId="4" fillId="0" borderId="0" xfId="0" quotePrefix="1" applyFont="1" applyAlignment="1">
      <alignment horizontal="center"/>
    </xf>
    <xf numFmtId="2" fontId="14" fillId="0" borderId="0" xfId="0" applyNumberFormat="1" applyFont="1"/>
    <xf numFmtId="0" fontId="0" fillId="0" borderId="3" xfId="0" applyBorder="1" applyAlignment="1">
      <alignment horizontal="center"/>
    </xf>
    <xf numFmtId="2" fontId="14" fillId="0" borderId="3" xfId="0" applyNumberFormat="1" applyFont="1" applyBorder="1"/>
    <xf numFmtId="0" fontId="4" fillId="0" borderId="3" xfId="0" quotePrefix="1" applyFont="1" applyBorder="1" applyAlignment="1">
      <alignment horizontal="center"/>
    </xf>
    <xf numFmtId="2" fontId="14" fillId="4" borderId="0" xfId="0" applyNumberFormat="1" applyFont="1" applyFill="1"/>
    <xf numFmtId="0" fontId="3" fillId="4" borderId="0" xfId="0" applyFont="1" applyFill="1"/>
    <xf numFmtId="0" fontId="4" fillId="4" borderId="0" xfId="0" quotePrefix="1" applyFont="1" applyFill="1" applyAlignment="1">
      <alignment horizontal="center"/>
    </xf>
    <xf numFmtId="165" fontId="3" fillId="4" borderId="3" xfId="0" applyNumberFormat="1" applyFont="1" applyFill="1" applyBorder="1"/>
    <xf numFmtId="165" fontId="3" fillId="4" borderId="0" xfId="0" applyNumberFormat="1" applyFont="1" applyFill="1"/>
    <xf numFmtId="2" fontId="19" fillId="0" borderId="0" xfId="0" applyNumberFormat="1" applyFont="1"/>
    <xf numFmtId="9" fontId="0" fillId="0" borderId="0" xfId="0" applyNumberFormat="1"/>
    <xf numFmtId="0" fontId="13" fillId="0" borderId="0" xfId="0" applyFont="1"/>
    <xf numFmtId="3" fontId="22" fillId="0" borderId="0" xfId="0" applyNumberFormat="1" applyFont="1"/>
    <xf numFmtId="0" fontId="0" fillId="0" borderId="0" xfId="0" applyAlignment="1">
      <alignment horizontal="center" wrapText="1"/>
    </xf>
    <xf numFmtId="3" fontId="0" fillId="0" borderId="0" xfId="0" applyNumberFormat="1" applyAlignment="1">
      <alignment horizontal="center" wrapText="1"/>
    </xf>
    <xf numFmtId="164" fontId="0" fillId="0" borderId="7" xfId="0" applyNumberFormat="1" applyBorder="1" applyAlignment="1">
      <alignment horizontal="center" wrapText="1"/>
    </xf>
    <xf numFmtId="9" fontId="0" fillId="0" borderId="0" xfId="1" applyFont="1" applyAlignment="1">
      <alignment horizontal="center" wrapText="1"/>
    </xf>
    <xf numFmtId="167" fontId="0" fillId="0" borderId="0" xfId="1" applyNumberFormat="1" applyFont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1" applyNumberFormat="1" applyFont="1" applyBorder="1" applyAlignment="1">
      <alignment horizontal="center"/>
    </xf>
    <xf numFmtId="9" fontId="0" fillId="0" borderId="0" xfId="1" applyFont="1" applyBorder="1" applyAlignment="1">
      <alignment horizontal="center"/>
    </xf>
    <xf numFmtId="167" fontId="0" fillId="0" borderId="0" xfId="1" applyNumberFormat="1" applyFont="1" applyAlignment="1">
      <alignment horizontal="center"/>
    </xf>
    <xf numFmtId="3" fontId="0" fillId="0" borderId="0" xfId="1" applyNumberFormat="1" applyFont="1" applyAlignment="1">
      <alignment horizontal="center"/>
    </xf>
    <xf numFmtId="0" fontId="23" fillId="0" borderId="7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3" xfId="0" applyBorder="1"/>
    <xf numFmtId="3" fontId="13" fillId="2" borderId="0" xfId="0" applyNumberFormat="1" applyFont="1" applyFill="1"/>
    <xf numFmtId="3" fontId="0" fillId="0" borderId="13" xfId="0" applyNumberFormat="1" applyBorder="1"/>
    <xf numFmtId="3" fontId="15" fillId="2" borderId="0" xfId="0" applyNumberFormat="1" applyFont="1" applyFill="1"/>
    <xf numFmtId="168" fontId="13" fillId="2" borderId="0" xfId="0" applyNumberFormat="1" applyFont="1" applyFill="1"/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13" fillId="2" borderId="7" xfId="0" applyNumberFormat="1" applyFont="1" applyFill="1" applyBorder="1"/>
    <xf numFmtId="3" fontId="13" fillId="2" borderId="7" xfId="0" applyNumberFormat="1" applyFont="1" applyFill="1" applyBorder="1"/>
    <xf numFmtId="3" fontId="0" fillId="0" borderId="8" xfId="0" applyNumberFormat="1" applyBorder="1"/>
    <xf numFmtId="164" fontId="13" fillId="2" borderId="0" xfId="0" applyNumberFormat="1" applyFont="1" applyFill="1"/>
    <xf numFmtId="0" fontId="15" fillId="2" borderId="0" xfId="0" applyFont="1" applyFill="1"/>
    <xf numFmtId="0" fontId="13" fillId="2" borderId="15" xfId="0" applyFont="1" applyFill="1" applyBorder="1"/>
    <xf numFmtId="3" fontId="13" fillId="2" borderId="15" xfId="0" applyNumberFormat="1" applyFont="1" applyFill="1" applyBorder="1"/>
    <xf numFmtId="3" fontId="0" fillId="0" borderId="16" xfId="0" applyNumberFormat="1" applyBorder="1"/>
    <xf numFmtId="166" fontId="0" fillId="0" borderId="1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13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3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1" applyNumberFormat="1" applyFont="1" applyFill="1" applyBorder="1" applyAlignment="1">
      <alignment horizontal="center"/>
    </xf>
    <xf numFmtId="9" fontId="0" fillId="2" borderId="0" xfId="1" applyFont="1" applyFill="1" applyBorder="1" applyAlignment="1">
      <alignment horizontal="center"/>
    </xf>
    <xf numFmtId="165" fontId="3" fillId="0" borderId="3" xfId="0" applyNumberFormat="1" applyFont="1" applyBorder="1" applyAlignment="1">
      <alignment horizontal="center" vertical="center"/>
    </xf>
    <xf numFmtId="0" fontId="0" fillId="3" borderId="0" xfId="0" applyFill="1" applyAlignment="1">
      <alignment textRotation="90"/>
    </xf>
  </cellXfs>
  <cellStyles count="3">
    <cellStyle name="Normal" xfId="0" builtinId="0"/>
    <cellStyle name="Normal 2" xfId="2" xr:uid="{00000000-0005-0000-0000-000001000000}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styles" Target="styles.xml"/><Relationship Id="rId5" Type="http://schemas.openxmlformats.org/officeDocument/2006/relationships/chartsheet" Target="chartsheets/sheet2.xml"/><Relationship Id="rId10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5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Model!$R$4</c:f>
              <c:strCache>
                <c:ptCount val="1"/>
                <c:pt idx="0">
                  <c:v>CO*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Model!$R$5:$R$199</c:f>
              <c:numCache>
                <c:formatCode>0.0000</c:formatCode>
                <c:ptCount val="195"/>
                <c:pt idx="0">
                  <c:v>1.1925185501505738E-3</c:v>
                </c:pt>
                <c:pt idx="1">
                  <c:v>1.1671182520984079E-3</c:v>
                </c:pt>
                <c:pt idx="2">
                  <c:v>1.1422548435824605E-3</c:v>
                </c:pt>
                <c:pt idx="3">
                  <c:v>1.1179175915618097E-3</c:v>
                </c:pt>
                <c:pt idx="4">
                  <c:v>1.0940955091495316E-3</c:v>
                </c:pt>
                <c:pt idx="5">
                  <c:v>1.0707778326836358E-3</c:v>
                </c:pt>
                <c:pt idx="6">
                  <c:v>1.0479540174526609E-3</c:v>
                </c:pt>
                <c:pt idx="7">
                  <c:v>1.0256137334919905E-3</c:v>
                </c:pt>
                <c:pt idx="8">
                  <c:v>1.0037468614502356E-3</c:v>
                </c:pt>
                <c:pt idx="9">
                  <c:v>9.8234348852496321E-4</c:v>
                </c:pt>
                <c:pt idx="10">
                  <c:v>9.6139390446707378E-4</c:v>
                </c:pt>
                <c:pt idx="11">
                  <c:v>9.4088859765309137E-4</c:v>
                </c:pt>
                <c:pt idx="12">
                  <c:v>9.2081825122462357E-4</c:v>
                </c:pt>
                <c:pt idx="13">
                  <c:v>9.0117373929424639E-4</c:v>
                </c:pt>
                <c:pt idx="14">
                  <c:v>8.8194612321703845E-4</c:v>
                </c:pt>
                <c:pt idx="15">
                  <c:v>8.6312664792699914E-4</c:v>
                </c:pt>
                <c:pt idx="16">
                  <c:v>8.44706738337565E-4</c:v>
                </c:pt>
                <c:pt idx="17">
                  <c:v>8.2667799580543318E-4</c:v>
                </c:pt>
                <c:pt idx="18">
                  <c:v>8.0903219465690106E-4</c:v>
                </c:pt>
                <c:pt idx="19">
                  <c:v>7.9176127877591813E-4</c:v>
                </c:pt>
                <c:pt idx="20">
                  <c:v>7.7485735825304409E-4</c:v>
                </c:pt>
                <c:pt idx="21">
                  <c:v>7.5831270609451069E-4</c:v>
                </c:pt>
                <c:pt idx="22">
                  <c:v>7.4211975499056785E-4</c:v>
                </c:pt>
                <c:pt idx="23">
                  <c:v>7.2627109414231136E-4</c:v>
                </c:pt>
                <c:pt idx="24">
                  <c:v>7.107594661461726E-4</c:v>
                </c:pt>
                <c:pt idx="25">
                  <c:v>6.9557776393525789E-4</c:v>
                </c:pt>
                <c:pt idx="26">
                  <c:v>6.8071902777672839E-4</c:v>
                </c:pt>
                <c:pt idx="27">
                  <c:v>6.661764423244042E-4</c:v>
                </c:pt>
                <c:pt idx="28">
                  <c:v>6.5194333372578777E-4</c:v>
                </c:pt>
                <c:pt idx="29">
                  <c:v>6.3801316678269333E-4</c:v>
                </c:pt>
                <c:pt idx="30">
                  <c:v>6.2437954216468597E-4</c:v>
                </c:pt>
                <c:pt idx="31">
                  <c:v>6.1103619367451904E-4</c:v>
                </c:pt>
                <c:pt idx="32">
                  <c:v>5.9797698556478382E-4</c:v>
                </c:pt>
                <c:pt idx="33">
                  <c:v>5.8519590990496772E-4</c:v>
                </c:pt>
                <c:pt idx="34">
                  <c:v>5.7268708399814188E-4</c:v>
                </c:pt>
                <c:pt idx="35">
                  <c:v>5.6044474784648841E-4</c:v>
                </c:pt>
                <c:pt idx="36">
                  <c:v>5.4846326166489289E-4</c:v>
                </c:pt>
                <c:pt idx="37">
                  <c:v>5.3673710344182902E-4</c:v>
                </c:pt>
                <c:pt idx="38">
                  <c:v>5.2526086654677145E-4</c:v>
                </c:pt>
                <c:pt idx="39">
                  <c:v>5.1402925738337269E-4</c:v>
                </c:pt>
                <c:pt idx="40">
                  <c:v>5.0303709308765544E-4</c:v>
                </c:pt>
                <c:pt idx="41">
                  <c:v>4.9227929927047459E-4</c:v>
                </c:pt>
                <c:pt idx="42">
                  <c:v>4.8175090780350525E-4</c:v>
                </c:pt>
                <c:pt idx="43">
                  <c:v>4.7144705464802965E-4</c:v>
                </c:pt>
                <c:pt idx="44">
                  <c:v>4.6136297772579734E-4</c:v>
                </c:pt>
                <c:pt idx="45">
                  <c:v>4.5149401483124055E-4</c:v>
                </c:pt>
                <c:pt idx="46">
                  <c:v>4.4183560158433862E-4</c:v>
                </c:pt>
                <c:pt idx="47">
                  <c:v>4.3238326942342828E-4</c:v>
                </c:pt>
                <c:pt idx="48">
                  <c:v>4.2313264363726762E-4</c:v>
                </c:pt>
                <c:pt idx="49">
                  <c:v>4.1407944143567076E-4</c:v>
                </c:pt>
                <c:pt idx="50">
                  <c:v>4.0521947005803331E-4</c:v>
                </c:pt>
                <c:pt idx="51">
                  <c:v>3.9654862491908375E-4</c:v>
                </c:pt>
                <c:pt idx="52">
                  <c:v>3.880628877912002E-4</c:v>
                </c:pt>
                <c:pt idx="53">
                  <c:v>3.7975832502263912E-4</c:v>
                </c:pt>
                <c:pt idx="54">
                  <c:v>3.7163108579103739E-4</c:v>
                </c:pt>
                <c:pt idx="55">
                  <c:v>3.6367740039154898E-4</c:v>
                </c:pt>
                <c:pt idx="56">
                  <c:v>3.5589357855899442E-4</c:v>
                </c:pt>
                <c:pt idx="57">
                  <c:v>3.4827600782340377E-4</c:v>
                </c:pt>
                <c:pt idx="58">
                  <c:v>3.4082115189834519E-4</c:v>
                </c:pt>
                <c:pt idx="59">
                  <c:v>3.3352554910143982E-4</c:v>
                </c:pt>
                <c:pt idx="60">
                  <c:v>3.2638581080647095E-4</c:v>
                </c:pt>
                <c:pt idx="61">
                  <c:v>3.1939861992650605E-4</c:v>
                </c:pt>
                <c:pt idx="62">
                  <c:v>3.125607294274557E-4</c:v>
                </c:pt>
                <c:pt idx="63">
                  <c:v>3.0586896087150638E-4</c:v>
                </c:pt>
                <c:pt idx="64">
                  <c:v>2.9932020298986754E-4</c:v>
                </c:pt>
                <c:pt idx="65">
                  <c:v>2.9291141028428639E-4</c:v>
                </c:pt>
                <c:pt idx="66">
                  <c:v>2.8663960165679073E-4</c:v>
                </c:pt>
                <c:pt idx="67">
                  <c:v>2.8050185906712462E-4</c:v>
                </c:pt>
                <c:pt idx="68">
                  <c:v>2.7449532621735915E-4</c:v>
                </c:pt>
                <c:pt idx="69">
                  <c:v>2.6861720726315761E-4</c:v>
                </c:pt>
                <c:pt idx="70">
                  <c:v>2.6286476555119277E-4</c:v>
                </c:pt>
                <c:pt idx="71">
                  <c:v>2.572353223822153E-4</c:v>
                </c:pt>
                <c:pt idx="72">
                  <c:v>2.5172625579928287E-4</c:v>
                </c:pt>
                <c:pt idx="73">
                  <c:v>2.4633499940066912E-4</c:v>
                </c:pt>
                <c:pt idx="74">
                  <c:v>2.4105904117697569E-4</c:v>
                </c:pt>
                <c:pt idx="75">
                  <c:v>2.3589592237198331E-4</c:v>
                </c:pt>
                <c:pt idx="76">
                  <c:v>2.3084323636678004E-4</c:v>
                </c:pt>
                <c:pt idx="77">
                  <c:v>2.2589862758671975E-4</c:v>
                </c:pt>
                <c:pt idx="78">
                  <c:v>2.2105979043076336E-4</c:v>
                </c:pt>
                <c:pt idx="79">
                  <c:v>2.1632446822276936E-4</c:v>
                </c:pt>
                <c:pt idx="80">
                  <c:v>2.1169045218430592E-4</c:v>
                </c:pt>
                <c:pt idx="81">
                  <c:v>2.0715558042856122E-4</c:v>
                </c:pt>
                <c:pt idx="82">
                  <c:v>2.0271773697494097E-4</c:v>
                </c:pt>
                <c:pt idx="83">
                  <c:v>1.9837485078394587E-4</c:v>
                </c:pt>
                <c:pt idx="84">
                  <c:v>1.941248948119292E-4</c:v>
                </c:pt>
                <c:pt idx="85">
                  <c:v>1.8996588508534424E-4</c:v>
                </c:pt>
                <c:pt idx="86">
                  <c:v>1.8589587979409421E-4</c:v>
                </c:pt>
                <c:pt idx="87">
                  <c:v>1.8191297840360876E-4</c:v>
                </c:pt>
                <c:pt idx="88">
                  <c:v>1.7801532078527349E-4</c:v>
                </c:pt>
                <c:pt idx="89">
                  <c:v>1.7420108636485041E-4</c:v>
                </c:pt>
                <c:pt idx="90">
                  <c:v>1.7046849328852755E-4</c:v>
                </c:pt>
                <c:pt idx="91">
                  <c:v>1.6681579760625048E-4</c:v>
                </c:pt>
                <c:pt idx="92">
                  <c:v>1.6324129247198706E-4</c:v>
                </c:pt>
                <c:pt idx="93">
                  <c:v>1.5974330736058856E-4</c:v>
                </c:pt>
                <c:pt idx="94">
                  <c:v>1.5632020730091381E-4</c:v>
                </c:pt>
                <c:pt idx="95">
                  <c:v>1.5297039212489017E-4</c:v>
                </c:pt>
                <c:pt idx="96">
                  <c:v>1.4969229573219171E-4</c:v>
                </c:pt>
                <c:pt idx="97">
                  <c:v>1.4648438537021808E-4</c:v>
                </c:pt>
                <c:pt idx="98">
                  <c:v>1.4334516092906875E-4</c:v>
                </c:pt>
                <c:pt idx="99">
                  <c:v>1.4027315425120727E-4</c:v>
                </c:pt>
                <c:pt idx="100">
                  <c:v>1.3726692845551924E-4</c:v>
                </c:pt>
                <c:pt idx="101">
                  <c:v>1.3432507727547391E-4</c:v>
                </c:pt>
                <c:pt idx="102">
                  <c:v>1.3432507727547391E-4</c:v>
                </c:pt>
                <c:pt idx="103">
                  <c:v>1.3432507727547391E-4</c:v>
                </c:pt>
                <c:pt idx="104">
                  <c:v>1.3432507727547391E-4</c:v>
                </c:pt>
                <c:pt idx="105">
                  <c:v>1.3432507727547391E-4</c:v>
                </c:pt>
                <c:pt idx="106">
                  <c:v>1.3432507727547391E-4</c:v>
                </c:pt>
                <c:pt idx="107">
                  <c:v>1.3432507727547391E-4</c:v>
                </c:pt>
                <c:pt idx="108">
                  <c:v>1.3432507727547391E-4</c:v>
                </c:pt>
                <c:pt idx="109">
                  <c:v>1.3432507727547391E-4</c:v>
                </c:pt>
                <c:pt idx="110">
                  <c:v>1.3432507727547391E-4</c:v>
                </c:pt>
                <c:pt idx="111">
                  <c:v>1.3432507727547391E-4</c:v>
                </c:pt>
                <c:pt idx="112">
                  <c:v>1.3432507727547391E-4</c:v>
                </c:pt>
                <c:pt idx="113">
                  <c:v>1.3432507727547391E-4</c:v>
                </c:pt>
                <c:pt idx="114">
                  <c:v>1.3432507727547391E-4</c:v>
                </c:pt>
                <c:pt idx="115">
                  <c:v>1.3432507727547391E-4</c:v>
                </c:pt>
                <c:pt idx="116">
                  <c:v>1.3432507727547391E-4</c:v>
                </c:pt>
                <c:pt idx="117">
                  <c:v>1.3432507727547391E-4</c:v>
                </c:pt>
                <c:pt idx="118">
                  <c:v>1.3432507727547391E-4</c:v>
                </c:pt>
                <c:pt idx="119">
                  <c:v>1.3432507727547391E-4</c:v>
                </c:pt>
                <c:pt idx="120">
                  <c:v>1.3432507727547391E-4</c:v>
                </c:pt>
                <c:pt idx="121">
                  <c:v>1.3432507727547391E-4</c:v>
                </c:pt>
                <c:pt idx="122">
                  <c:v>1.3432507727547391E-4</c:v>
                </c:pt>
                <c:pt idx="123">
                  <c:v>1.3432507727547391E-4</c:v>
                </c:pt>
                <c:pt idx="124">
                  <c:v>1.3432507727547391E-4</c:v>
                </c:pt>
                <c:pt idx="125">
                  <c:v>1.3432507727547391E-4</c:v>
                </c:pt>
                <c:pt idx="126">
                  <c:v>1.3432507727547391E-4</c:v>
                </c:pt>
                <c:pt idx="127">
                  <c:v>1.3432507727547391E-4</c:v>
                </c:pt>
                <c:pt idx="128">
                  <c:v>1.3432507727547391E-4</c:v>
                </c:pt>
                <c:pt idx="129">
                  <c:v>1.3432507727547391E-4</c:v>
                </c:pt>
                <c:pt idx="130">
                  <c:v>1.3432507727547391E-4</c:v>
                </c:pt>
                <c:pt idx="131">
                  <c:v>1.3432507727547391E-4</c:v>
                </c:pt>
                <c:pt idx="132">
                  <c:v>1.3432507727547391E-4</c:v>
                </c:pt>
                <c:pt idx="133">
                  <c:v>1.3432507727547391E-4</c:v>
                </c:pt>
                <c:pt idx="134">
                  <c:v>1.3432507727547391E-4</c:v>
                </c:pt>
                <c:pt idx="135">
                  <c:v>1.3432507727547391E-4</c:v>
                </c:pt>
                <c:pt idx="136">
                  <c:v>1.3432507727547391E-4</c:v>
                </c:pt>
                <c:pt idx="137">
                  <c:v>1.3432507727547391E-4</c:v>
                </c:pt>
                <c:pt idx="138">
                  <c:v>1.3432507727547391E-4</c:v>
                </c:pt>
                <c:pt idx="139">
                  <c:v>1.3432507727547391E-4</c:v>
                </c:pt>
                <c:pt idx="140">
                  <c:v>1.3432507727547391E-4</c:v>
                </c:pt>
                <c:pt idx="141">
                  <c:v>1.3432507727547391E-4</c:v>
                </c:pt>
                <c:pt idx="142">
                  <c:v>1.3432507727547391E-4</c:v>
                </c:pt>
                <c:pt idx="143">
                  <c:v>1.3432507727547391E-4</c:v>
                </c:pt>
                <c:pt idx="144">
                  <c:v>1.3432507727547391E-4</c:v>
                </c:pt>
                <c:pt idx="145">
                  <c:v>1.3432507727547391E-4</c:v>
                </c:pt>
                <c:pt idx="146">
                  <c:v>1.3432507727547391E-4</c:v>
                </c:pt>
                <c:pt idx="147">
                  <c:v>1.3432507727547391E-4</c:v>
                </c:pt>
                <c:pt idx="148">
                  <c:v>1.3432507727547391E-4</c:v>
                </c:pt>
                <c:pt idx="149">
                  <c:v>1.3432507727547391E-4</c:v>
                </c:pt>
                <c:pt idx="150">
                  <c:v>1.3432507727547391E-4</c:v>
                </c:pt>
                <c:pt idx="151">
                  <c:v>1.3432507727547391E-4</c:v>
                </c:pt>
                <c:pt idx="152">
                  <c:v>1.3432507727547391E-4</c:v>
                </c:pt>
                <c:pt idx="153">
                  <c:v>1.3432507727547391E-4</c:v>
                </c:pt>
                <c:pt idx="154">
                  <c:v>1.3432507727547391E-4</c:v>
                </c:pt>
                <c:pt idx="155">
                  <c:v>1.3432507727547391E-4</c:v>
                </c:pt>
                <c:pt idx="156">
                  <c:v>1.3432507727547391E-4</c:v>
                </c:pt>
                <c:pt idx="157">
                  <c:v>1.3432507727547391E-4</c:v>
                </c:pt>
                <c:pt idx="158">
                  <c:v>1.3432507727547391E-4</c:v>
                </c:pt>
                <c:pt idx="159">
                  <c:v>1.3432507727547391E-4</c:v>
                </c:pt>
                <c:pt idx="160">
                  <c:v>1.3432507727547391E-4</c:v>
                </c:pt>
                <c:pt idx="161">
                  <c:v>1.3432507727547391E-4</c:v>
                </c:pt>
                <c:pt idx="162">
                  <c:v>1.3432507727547391E-4</c:v>
                </c:pt>
                <c:pt idx="163">
                  <c:v>1.3432507727547391E-4</c:v>
                </c:pt>
                <c:pt idx="164">
                  <c:v>1.3432507727547391E-4</c:v>
                </c:pt>
                <c:pt idx="165">
                  <c:v>1.3432507727547391E-4</c:v>
                </c:pt>
                <c:pt idx="166">
                  <c:v>1.3432507727547391E-4</c:v>
                </c:pt>
                <c:pt idx="167">
                  <c:v>1.3432507727547391E-4</c:v>
                </c:pt>
                <c:pt idx="168">
                  <c:v>1.3432507727547391E-4</c:v>
                </c:pt>
                <c:pt idx="169">
                  <c:v>1.3432507727547391E-4</c:v>
                </c:pt>
                <c:pt idx="170">
                  <c:v>1.3432507727547391E-4</c:v>
                </c:pt>
                <c:pt idx="171">
                  <c:v>1.3432507727547391E-4</c:v>
                </c:pt>
                <c:pt idx="172">
                  <c:v>1.3432507727547391E-4</c:v>
                </c:pt>
                <c:pt idx="173">
                  <c:v>1.3432507727547391E-4</c:v>
                </c:pt>
                <c:pt idx="174">
                  <c:v>1.3432507727547391E-4</c:v>
                </c:pt>
                <c:pt idx="175">
                  <c:v>1.3432507727547391E-4</c:v>
                </c:pt>
                <c:pt idx="176">
                  <c:v>1.3432507727547391E-4</c:v>
                </c:pt>
                <c:pt idx="177">
                  <c:v>1.3432507727547391E-4</c:v>
                </c:pt>
                <c:pt idx="178">
                  <c:v>1.3432507727547391E-4</c:v>
                </c:pt>
                <c:pt idx="179">
                  <c:v>1.3432507727547391E-4</c:v>
                </c:pt>
                <c:pt idx="180">
                  <c:v>1.3432507727547391E-4</c:v>
                </c:pt>
                <c:pt idx="181">
                  <c:v>1.3432507727547391E-4</c:v>
                </c:pt>
                <c:pt idx="182">
                  <c:v>1.3432507727547391E-4</c:v>
                </c:pt>
                <c:pt idx="183">
                  <c:v>1.3432507727547391E-4</c:v>
                </c:pt>
                <c:pt idx="184">
                  <c:v>1.3432507727547391E-4</c:v>
                </c:pt>
                <c:pt idx="185">
                  <c:v>1.3432507727547391E-4</c:v>
                </c:pt>
                <c:pt idx="186">
                  <c:v>1.3432507727547391E-4</c:v>
                </c:pt>
                <c:pt idx="187">
                  <c:v>1.3432507727547391E-4</c:v>
                </c:pt>
                <c:pt idx="188">
                  <c:v>1.3432507727547391E-4</c:v>
                </c:pt>
                <c:pt idx="189">
                  <c:v>1.3432507727547391E-4</c:v>
                </c:pt>
                <c:pt idx="190">
                  <c:v>1.3432507727547391E-4</c:v>
                </c:pt>
                <c:pt idx="191">
                  <c:v>1.3432507727547391E-4</c:v>
                </c:pt>
                <c:pt idx="192">
                  <c:v>1.3432507727547391E-4</c:v>
                </c:pt>
                <c:pt idx="193">
                  <c:v>1.3432507727547391E-4</c:v>
                </c:pt>
                <c:pt idx="194">
                  <c:v>1.3432507727547391E-4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5B-4739-8F00-53C8F9840F93}"/>
            </c:ext>
          </c:extLst>
        </c:ser>
        <c:ser>
          <c:idx val="1"/>
          <c:order val="1"/>
          <c:tx>
            <c:strRef>
              <c:f>Model!$S$4</c:f>
              <c:strCache>
                <c:ptCount val="1"/>
                <c:pt idx="0">
                  <c:v>NO*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Model!$S$5:$S$199</c:f>
              <c:numCache>
                <c:formatCode>0.0000</c:formatCode>
                <c:ptCount val="195"/>
                <c:pt idx="0">
                  <c:v>5.2048285713885724E-4</c:v>
                </c:pt>
                <c:pt idx="1">
                  <c:v>5.2020449722647876E-4</c:v>
                </c:pt>
                <c:pt idx="2">
                  <c:v>5.1992537308830067E-4</c:v>
                </c:pt>
                <c:pt idx="3">
                  <c:v>5.1964570643710478E-4</c:v>
                </c:pt>
                <c:pt idx="4">
                  <c:v>5.193655128275191E-4</c:v>
                </c:pt>
                <c:pt idx="5">
                  <c:v>5.1908480748636809E-4</c:v>
                </c:pt>
                <c:pt idx="6">
                  <c:v>5.1880360531917182E-4</c:v>
                </c:pt>
                <c:pt idx="7">
                  <c:v>5.1852192091652921E-4</c:v>
                </c:pt>
                <c:pt idx="8">
                  <c:v>5.1823976856039359E-4</c:v>
                </c:pt>
                <c:pt idx="9">
                  <c:v>5.1795716223023357E-4</c:v>
                </c:pt>
                <c:pt idx="10">
                  <c:v>5.1767411560908804E-4</c:v>
                </c:pt>
                <c:pt idx="11">
                  <c:v>5.1739064208951118E-4</c:v>
                </c:pt>
                <c:pt idx="12">
                  <c:v>5.1710675477941077E-4</c:v>
                </c:pt>
                <c:pt idx="13">
                  <c:v>5.1682246650778358E-4</c:v>
                </c:pt>
                <c:pt idx="14">
                  <c:v>5.1653778983034324E-4</c:v>
                </c:pt>
                <c:pt idx="15">
                  <c:v>5.1625273703504956E-4</c:v>
                </c:pt>
                <c:pt idx="16">
                  <c:v>5.1596732014753336E-4</c:v>
                </c:pt>
                <c:pt idx="17">
                  <c:v>5.1568155093642358E-4</c:v>
                </c:pt>
                <c:pt idx="18">
                  <c:v>5.1539544091857464E-4</c:v>
                </c:pt>
                <c:pt idx="19">
                  <c:v>5.1510900136419904E-4</c:v>
                </c:pt>
                <c:pt idx="20">
                  <c:v>5.1482224330190083E-4</c:v>
                </c:pt>
                <c:pt idx="21">
                  <c:v>5.1453517752361884E-4</c:v>
                </c:pt>
                <c:pt idx="22">
                  <c:v>5.1424781458947336E-4</c:v>
                </c:pt>
                <c:pt idx="23">
                  <c:v>5.1396016483252495E-4</c:v>
                </c:pt>
                <c:pt idx="24">
                  <c:v>5.1367223836343984E-4</c:v>
                </c:pt>
                <c:pt idx="25">
                  <c:v>5.1338404507506909E-4</c:v>
                </c:pt>
                <c:pt idx="26">
                  <c:v>5.1309559464693942E-4</c:v>
                </c:pt>
                <c:pt idx="27">
                  <c:v>5.1280689654965796E-4</c:v>
                </c:pt>
                <c:pt idx="28">
                  <c:v>5.125179600492327E-4</c:v>
                </c:pt>
                <c:pt idx="29">
                  <c:v>5.1222879421130923E-4</c:v>
                </c:pt>
                <c:pt idx="30">
                  <c:v>5.1193940790532724E-4</c:v>
                </c:pt>
                <c:pt idx="31">
                  <c:v>5.1164980980859353E-4</c:v>
                </c:pt>
                <c:pt idx="32">
                  <c:v>5.1136000841027853E-4</c:v>
                </c:pt>
                <c:pt idx="33">
                  <c:v>5.1107001201533282E-4</c:v>
                </c:pt>
                <c:pt idx="34">
                  <c:v>5.1077982874832869E-4</c:v>
                </c:pt>
                <c:pt idx="35">
                  <c:v>5.1048946655722529E-4</c:v>
                </c:pt>
                <c:pt idx="36">
                  <c:v>5.101989332170593E-4</c:v>
                </c:pt>
                <c:pt idx="37">
                  <c:v>5.0990823633356339E-4</c:v>
                </c:pt>
                <c:pt idx="38">
                  <c:v>5.0961738334671458E-4</c:v>
                </c:pt>
                <c:pt idx="39">
                  <c:v>5.0932638153420879E-4</c:v>
                </c:pt>
                <c:pt idx="40">
                  <c:v>5.090352380148689E-4</c:v>
                </c:pt>
                <c:pt idx="41">
                  <c:v>5.0874395975198468E-4</c:v>
                </c:pt>
                <c:pt idx="42">
                  <c:v>5.0845255355658539E-4</c:v>
                </c:pt>
                <c:pt idx="43">
                  <c:v>5.0816102609064595E-4</c:v>
                </c:pt>
                <c:pt idx="44">
                  <c:v>5.0786938387023138E-4</c:v>
                </c:pt>
                <c:pt idx="45">
                  <c:v>5.0757763326857478E-4</c:v>
                </c:pt>
                <c:pt idx="46">
                  <c:v>5.072857805190963E-4</c:v>
                </c:pt>
                <c:pt idx="47">
                  <c:v>5.0699383171835919E-4</c:v>
                </c:pt>
                <c:pt idx="48">
                  <c:v>5.067017928289657E-4</c:v>
                </c:pt>
                <c:pt idx="49">
                  <c:v>5.0640966968239687E-4</c:v>
                </c:pt>
                <c:pt idx="50">
                  <c:v>5.0611746798179128E-4</c:v>
                </c:pt>
                <c:pt idx="51">
                  <c:v>5.0582519330466937E-4</c:v>
                </c:pt>
                <c:pt idx="52">
                  <c:v>5.0553285110560239E-4</c:v>
                </c:pt>
                <c:pt idx="53">
                  <c:v>5.0524044671882448E-4</c:v>
                </c:pt>
                <c:pt idx="54">
                  <c:v>5.0494798536079475E-4</c:v>
                </c:pt>
                <c:pt idx="55">
                  <c:v>5.0465547213270339E-4</c:v>
                </c:pt>
                <c:pt idx="56">
                  <c:v>5.0436291202292881E-4</c:v>
                </c:pt>
                <c:pt idx="57">
                  <c:v>5.0407030990944339E-4</c:v>
                </c:pt>
                <c:pt idx="58">
                  <c:v>5.0377767056216912E-4</c:v>
                </c:pt>
                <c:pt idx="59">
                  <c:v>5.0348499864528561E-4</c:v>
                </c:pt>
                <c:pt idx="60">
                  <c:v>5.0319229871948932E-4</c:v>
                </c:pt>
                <c:pt idx="61">
                  <c:v>5.0289957524420807E-4</c:v>
                </c:pt>
                <c:pt idx="62">
                  <c:v>5.0260683257976647E-4</c:v>
                </c:pt>
                <c:pt idx="63">
                  <c:v>5.0231407498950995E-4</c:v>
                </c:pt>
                <c:pt idx="64">
                  <c:v>5.0202130664188144E-4</c:v>
                </c:pt>
                <c:pt idx="65">
                  <c:v>5.0172853161245697E-4</c:v>
                </c:pt>
                <c:pt idx="66">
                  <c:v>5.0143575388593919E-4</c:v>
                </c:pt>
                <c:pt idx="67">
                  <c:v>5.0114297735810622E-4</c:v>
                </c:pt>
                <c:pt idx="68">
                  <c:v>5.0085020583772399E-4</c:v>
                </c:pt>
                <c:pt idx="69">
                  <c:v>5.0055744304841501E-4</c:v>
                </c:pt>
                <c:pt idx="70">
                  <c:v>5.0026469263049077E-4</c:v>
                </c:pt>
                <c:pt idx="71">
                  <c:v>4.9997195814274363E-4</c:v>
                </c:pt>
                <c:pt idx="72">
                  <c:v>4.9967924306420196E-4</c:v>
                </c:pt>
                <c:pt idx="73">
                  <c:v>4.9938655079584892E-4</c:v>
                </c:pt>
                <c:pt idx="74">
                  <c:v>4.9909388466230461E-4</c:v>
                </c:pt>
                <c:pt idx="75">
                  <c:v>4.9880124791347252E-4</c:v>
                </c:pt>
                <c:pt idx="76">
                  <c:v>4.9850864372615099E-4</c:v>
                </c:pt>
                <c:pt idx="77">
                  <c:v>4.9821607520561246E-4</c:v>
                </c:pt>
                <c:pt idx="78">
                  <c:v>4.9792354538714815E-4</c:v>
                </c:pt>
                <c:pt idx="79">
                  <c:v>4.9763105723757829E-4</c:v>
                </c:pt>
                <c:pt idx="80">
                  <c:v>4.9733861365673464E-4</c:v>
                </c:pt>
                <c:pt idx="81">
                  <c:v>4.9704621747890772E-4</c:v>
                </c:pt>
                <c:pt idx="82">
                  <c:v>4.967538714742651E-4</c:v>
                </c:pt>
                <c:pt idx="83">
                  <c:v>4.9646157835023979E-4</c:v>
                </c:pt>
                <c:pt idx="84">
                  <c:v>4.9616934075288877E-4</c:v>
                </c:pt>
                <c:pt idx="85">
                  <c:v>4.9587716126822158E-4</c:v>
                </c:pt>
                <c:pt idx="86">
                  <c:v>4.9558504242350307E-4</c:v>
                </c:pt>
                <c:pt idx="87">
                  <c:v>4.9529298668852693E-4</c:v>
                </c:pt>
                <c:pt idx="88">
                  <c:v>4.9500099647686066E-4</c:v>
                </c:pt>
                <c:pt idx="89">
                  <c:v>4.9470907414706812E-4</c:v>
                </c:pt>
                <c:pt idx="90">
                  <c:v>4.9441722200390076E-4</c:v>
                </c:pt>
                <c:pt idx="91">
                  <c:v>4.9412544229946896E-4</c:v>
                </c:pt>
                <c:pt idx="92">
                  <c:v>4.9383373723438275E-4</c:v>
                </c:pt>
                <c:pt idx="93">
                  <c:v>4.935421089588732E-4</c:v>
                </c:pt>
                <c:pt idx="94">
                  <c:v>4.9325055957388645E-4</c:v>
                </c:pt>
                <c:pt idx="95">
                  <c:v>4.9295909113215527E-4</c:v>
                </c:pt>
                <c:pt idx="96">
                  <c:v>4.9266770563924898E-4</c:v>
                </c:pt>
                <c:pt idx="97">
                  <c:v>4.9237640505459771E-4</c:v>
                </c:pt>
                <c:pt idx="98">
                  <c:v>4.9208519129249906E-4</c:v>
                </c:pt>
                <c:pt idx="99">
                  <c:v>4.9179406622309975E-4</c:v>
                </c:pt>
                <c:pt idx="100">
                  <c:v>4.9150303167335688E-4</c:v>
                </c:pt>
                <c:pt idx="101">
                  <c:v>4.9121208942797955E-4</c:v>
                </c:pt>
                <c:pt idx="102">
                  <c:v>4.9121208942797955E-4</c:v>
                </c:pt>
                <c:pt idx="103">
                  <c:v>4.9121208942797955E-4</c:v>
                </c:pt>
                <c:pt idx="104">
                  <c:v>4.9121208942797955E-4</c:v>
                </c:pt>
                <c:pt idx="105">
                  <c:v>4.9121208942797955E-4</c:v>
                </c:pt>
                <c:pt idx="106">
                  <c:v>4.9121208942797955E-4</c:v>
                </c:pt>
                <c:pt idx="107">
                  <c:v>4.9121208942797955E-4</c:v>
                </c:pt>
                <c:pt idx="108">
                  <c:v>4.9121208942797955E-4</c:v>
                </c:pt>
                <c:pt idx="109">
                  <c:v>4.9121208942797955E-4</c:v>
                </c:pt>
                <c:pt idx="110">
                  <c:v>4.9121208942797955E-4</c:v>
                </c:pt>
                <c:pt idx="111">
                  <c:v>4.9121208942797955E-4</c:v>
                </c:pt>
                <c:pt idx="112">
                  <c:v>4.9121208942797955E-4</c:v>
                </c:pt>
                <c:pt idx="113">
                  <c:v>4.9121208942797955E-4</c:v>
                </c:pt>
                <c:pt idx="114">
                  <c:v>4.9121208942797955E-4</c:v>
                </c:pt>
                <c:pt idx="115">
                  <c:v>4.9121208942797955E-4</c:v>
                </c:pt>
                <c:pt idx="116">
                  <c:v>4.9121208942797955E-4</c:v>
                </c:pt>
                <c:pt idx="117">
                  <c:v>4.9121208942797955E-4</c:v>
                </c:pt>
                <c:pt idx="118">
                  <c:v>4.9121208942797955E-4</c:v>
                </c:pt>
                <c:pt idx="119">
                  <c:v>4.9121208942797955E-4</c:v>
                </c:pt>
                <c:pt idx="120">
                  <c:v>4.9121208942797955E-4</c:v>
                </c:pt>
                <c:pt idx="121">
                  <c:v>4.9121208942797955E-4</c:v>
                </c:pt>
                <c:pt idx="122">
                  <c:v>4.9121208942797955E-4</c:v>
                </c:pt>
                <c:pt idx="123">
                  <c:v>4.9121208942797955E-4</c:v>
                </c:pt>
                <c:pt idx="124">
                  <c:v>4.9121208942797955E-4</c:v>
                </c:pt>
                <c:pt idx="125">
                  <c:v>4.9121208942797955E-4</c:v>
                </c:pt>
                <c:pt idx="126">
                  <c:v>4.9121208942797955E-4</c:v>
                </c:pt>
                <c:pt idx="127">
                  <c:v>4.9121208942797955E-4</c:v>
                </c:pt>
                <c:pt idx="128">
                  <c:v>4.9121208942797955E-4</c:v>
                </c:pt>
                <c:pt idx="129">
                  <c:v>4.9121208942797955E-4</c:v>
                </c:pt>
                <c:pt idx="130">
                  <c:v>4.9121208942797955E-4</c:v>
                </c:pt>
                <c:pt idx="131">
                  <c:v>4.9121208942797955E-4</c:v>
                </c:pt>
                <c:pt idx="132">
                  <c:v>4.9121208942797955E-4</c:v>
                </c:pt>
                <c:pt idx="133">
                  <c:v>4.9121208942797955E-4</c:v>
                </c:pt>
                <c:pt idx="134">
                  <c:v>4.9121208942797955E-4</c:v>
                </c:pt>
                <c:pt idx="135">
                  <c:v>4.9121208942797955E-4</c:v>
                </c:pt>
                <c:pt idx="136">
                  <c:v>4.9121208942797955E-4</c:v>
                </c:pt>
                <c:pt idx="137">
                  <c:v>4.9121208942797955E-4</c:v>
                </c:pt>
                <c:pt idx="138">
                  <c:v>4.9121208942797955E-4</c:v>
                </c:pt>
                <c:pt idx="139">
                  <c:v>4.9121208942797955E-4</c:v>
                </c:pt>
                <c:pt idx="140">
                  <c:v>4.9121208942797955E-4</c:v>
                </c:pt>
                <c:pt idx="141">
                  <c:v>4.9121208942797955E-4</c:v>
                </c:pt>
                <c:pt idx="142">
                  <c:v>4.9121208942797955E-4</c:v>
                </c:pt>
                <c:pt idx="143">
                  <c:v>4.9121208942797955E-4</c:v>
                </c:pt>
                <c:pt idx="144">
                  <c:v>4.9121208942797955E-4</c:v>
                </c:pt>
                <c:pt idx="145">
                  <c:v>4.9121208942797955E-4</c:v>
                </c:pt>
                <c:pt idx="146">
                  <c:v>4.9121208942797955E-4</c:v>
                </c:pt>
                <c:pt idx="147">
                  <c:v>4.9121208942797955E-4</c:v>
                </c:pt>
                <c:pt idx="148">
                  <c:v>4.9121208942797955E-4</c:v>
                </c:pt>
                <c:pt idx="149">
                  <c:v>4.9121208942797955E-4</c:v>
                </c:pt>
                <c:pt idx="150">
                  <c:v>4.9121208942797955E-4</c:v>
                </c:pt>
                <c:pt idx="151">
                  <c:v>4.9121208942797955E-4</c:v>
                </c:pt>
                <c:pt idx="152">
                  <c:v>4.9121208942797955E-4</c:v>
                </c:pt>
                <c:pt idx="153">
                  <c:v>4.9121208942797955E-4</c:v>
                </c:pt>
                <c:pt idx="154">
                  <c:v>4.9121208942797955E-4</c:v>
                </c:pt>
                <c:pt idx="155">
                  <c:v>4.9121208942797955E-4</c:v>
                </c:pt>
                <c:pt idx="156">
                  <c:v>4.9121208942797955E-4</c:v>
                </c:pt>
                <c:pt idx="157">
                  <c:v>4.9121208942797955E-4</c:v>
                </c:pt>
                <c:pt idx="158">
                  <c:v>4.9121208942797955E-4</c:v>
                </c:pt>
                <c:pt idx="159">
                  <c:v>4.9121208942797955E-4</c:v>
                </c:pt>
                <c:pt idx="160">
                  <c:v>4.9121208942797955E-4</c:v>
                </c:pt>
                <c:pt idx="161">
                  <c:v>4.9121208942797955E-4</c:v>
                </c:pt>
                <c:pt idx="162">
                  <c:v>4.9121208942797955E-4</c:v>
                </c:pt>
                <c:pt idx="163">
                  <c:v>4.9121208942797955E-4</c:v>
                </c:pt>
                <c:pt idx="164">
                  <c:v>4.9121208942797955E-4</c:v>
                </c:pt>
                <c:pt idx="165">
                  <c:v>4.9121208942797955E-4</c:v>
                </c:pt>
                <c:pt idx="166">
                  <c:v>4.9121208942797955E-4</c:v>
                </c:pt>
                <c:pt idx="167">
                  <c:v>4.9121208942797955E-4</c:v>
                </c:pt>
                <c:pt idx="168">
                  <c:v>4.9121208942797955E-4</c:v>
                </c:pt>
                <c:pt idx="169">
                  <c:v>4.9121208942797955E-4</c:v>
                </c:pt>
                <c:pt idx="170">
                  <c:v>4.9121208942797955E-4</c:v>
                </c:pt>
                <c:pt idx="171">
                  <c:v>4.9121208942797955E-4</c:v>
                </c:pt>
                <c:pt idx="172">
                  <c:v>4.9121208942797955E-4</c:v>
                </c:pt>
                <c:pt idx="173">
                  <c:v>4.9121208942797955E-4</c:v>
                </c:pt>
                <c:pt idx="174">
                  <c:v>4.9121208942797955E-4</c:v>
                </c:pt>
                <c:pt idx="175">
                  <c:v>4.9121208942797955E-4</c:v>
                </c:pt>
                <c:pt idx="176">
                  <c:v>4.9121208942797955E-4</c:v>
                </c:pt>
                <c:pt idx="177">
                  <c:v>4.9121208942797955E-4</c:v>
                </c:pt>
                <c:pt idx="178">
                  <c:v>4.9121208942797955E-4</c:v>
                </c:pt>
                <c:pt idx="179">
                  <c:v>4.9121208942797955E-4</c:v>
                </c:pt>
                <c:pt idx="180">
                  <c:v>4.9121208942797955E-4</c:v>
                </c:pt>
                <c:pt idx="181">
                  <c:v>4.9121208942797955E-4</c:v>
                </c:pt>
                <c:pt idx="182">
                  <c:v>4.9121208942797955E-4</c:v>
                </c:pt>
                <c:pt idx="183">
                  <c:v>4.9121208942797955E-4</c:v>
                </c:pt>
                <c:pt idx="184">
                  <c:v>4.9121208942797955E-4</c:v>
                </c:pt>
                <c:pt idx="185">
                  <c:v>4.9121208942797955E-4</c:v>
                </c:pt>
                <c:pt idx="186">
                  <c:v>4.9121208942797955E-4</c:v>
                </c:pt>
                <c:pt idx="187">
                  <c:v>4.9121208942797955E-4</c:v>
                </c:pt>
                <c:pt idx="188">
                  <c:v>4.9121208942797955E-4</c:v>
                </c:pt>
                <c:pt idx="189">
                  <c:v>4.9121208942797955E-4</c:v>
                </c:pt>
                <c:pt idx="190">
                  <c:v>4.9121208942797955E-4</c:v>
                </c:pt>
                <c:pt idx="191">
                  <c:v>4.9121208942797955E-4</c:v>
                </c:pt>
                <c:pt idx="192">
                  <c:v>4.9121208942797955E-4</c:v>
                </c:pt>
                <c:pt idx="193">
                  <c:v>4.9121208942797955E-4</c:v>
                </c:pt>
                <c:pt idx="194">
                  <c:v>4.9121208942797955E-4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09-49A0-BE36-AFAB4ACCFDCA}"/>
            </c:ext>
          </c:extLst>
        </c:ser>
        <c:ser>
          <c:idx val="2"/>
          <c:order val="2"/>
          <c:tx>
            <c:strRef>
              <c:f>Model!$T$4</c:f>
              <c:strCache>
                <c:ptCount val="1"/>
                <c:pt idx="0">
                  <c:v>O2*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Model!$T$5:$T$199</c:f>
              <c:numCache>
                <c:formatCode>0.0000</c:formatCode>
                <c:ptCount val="195"/>
                <c:pt idx="0">
                  <c:v>0.29727199151301559</c:v>
                </c:pt>
                <c:pt idx="1">
                  <c:v>0.29727443201555975</c:v>
                </c:pt>
                <c:pt idx="2">
                  <c:v>0.29727687811464598</c:v>
                </c:pt>
                <c:pt idx="3">
                  <c:v>0.29727927447784919</c:v>
                </c:pt>
                <c:pt idx="4">
                  <c:v>0.29728162213784459</c:v>
                </c:pt>
                <c:pt idx="5">
                  <c:v>0.29728392210652538</c:v>
                </c:pt>
                <c:pt idx="6">
                  <c:v>0.29728617537539342</c:v>
                </c:pt>
                <c:pt idx="7">
                  <c:v>0.2972883829159414</c:v>
                </c:pt>
                <c:pt idx="8">
                  <c:v>0.29729054568003066</c:v>
                </c:pt>
                <c:pt idx="9">
                  <c:v>0.29729266460026271</c:v>
                </c:pt>
                <c:pt idx="10">
                  <c:v>0.29729474059034411</c:v>
                </c:pt>
                <c:pt idx="11">
                  <c:v>0.29729677454544656</c:v>
                </c:pt>
                <c:pt idx="12">
                  <c:v>0.29729876734256011</c:v>
                </c:pt>
                <c:pt idx="13">
                  <c:v>0.29730071984084128</c:v>
                </c:pt>
                <c:pt idx="14">
                  <c:v>0.29730263288195508</c:v>
                </c:pt>
                <c:pt idx="15">
                  <c:v>0.29730450729041141</c:v>
                </c:pt>
                <c:pt idx="16">
                  <c:v>0.29730634387389621</c:v>
                </c:pt>
                <c:pt idx="17">
                  <c:v>0.29730814342359629</c:v>
                </c:pt>
                <c:pt idx="18">
                  <c:v>0.29730990671451923</c:v>
                </c:pt>
                <c:pt idx="19">
                  <c:v>0.29731163450580794</c:v>
                </c:pt>
                <c:pt idx="20">
                  <c:v>0.29731332754104861</c:v>
                </c:pt>
                <c:pt idx="21">
                  <c:v>0.29731498654857552</c:v>
                </c:pt>
                <c:pt idx="22">
                  <c:v>0.29731661224176836</c:v>
                </c:pt>
                <c:pt idx="23">
                  <c:v>0.29731820531934577</c:v>
                </c:pt>
                <c:pt idx="24">
                  <c:v>0.297319766465653</c:v>
                </c:pt>
                <c:pt idx="25">
                  <c:v>0.29732129635094484</c:v>
                </c:pt>
                <c:pt idx="26">
                  <c:v>0.29732279563166347</c:v>
                </c:pt>
                <c:pt idx="27">
                  <c:v>0.29732426495071124</c:v>
                </c:pt>
                <c:pt idx="28">
                  <c:v>0.29732570493771887</c:v>
                </c:pt>
                <c:pt idx="29">
                  <c:v>0.29732711620930818</c:v>
                </c:pt>
                <c:pt idx="30">
                  <c:v>0.29732849936935096</c:v>
                </c:pt>
                <c:pt idx="31">
                  <c:v>0.29732985500922221</c:v>
                </c:pt>
                <c:pt idx="32">
                  <c:v>0.29733118370804978</c:v>
                </c:pt>
                <c:pt idx="33">
                  <c:v>0.29733248603295848</c:v>
                </c:pt>
                <c:pt idx="34">
                  <c:v>0.29733376253930993</c:v>
                </c:pt>
                <c:pt idx="35">
                  <c:v>0.29733501377093902</c:v>
                </c:pt>
                <c:pt idx="36">
                  <c:v>0.29733624026038435</c:v>
                </c:pt>
                <c:pt idx="37">
                  <c:v>0.29733744252911498</c:v>
                </c:pt>
                <c:pt idx="38">
                  <c:v>0.29733862108775433</c:v>
                </c:pt>
                <c:pt idx="39">
                  <c:v>0.29733977643629766</c:v>
                </c:pt>
                <c:pt idx="40">
                  <c:v>0.2973409090643267</c:v>
                </c:pt>
                <c:pt idx="41">
                  <c:v>0.2973420194512203</c:v>
                </c:pt>
                <c:pt idx="42">
                  <c:v>0.29734310806636094</c:v>
                </c:pt>
                <c:pt idx="43">
                  <c:v>0.29734417536933688</c:v>
                </c:pt>
                <c:pt idx="44">
                  <c:v>0.29734522181014111</c:v>
                </c:pt>
                <c:pt idx="45">
                  <c:v>0.29734624782936614</c:v>
                </c:pt>
                <c:pt idx="46">
                  <c:v>0.29734725385839511</c:v>
                </c:pt>
                <c:pt idx="47">
                  <c:v>0.29734824031958951</c:v>
                </c:pt>
                <c:pt idx="48">
                  <c:v>0.2973492076264726</c:v>
                </c:pt>
                <c:pt idx="49">
                  <c:v>0.29735015618391031</c:v>
                </c:pt>
                <c:pt idx="50">
                  <c:v>0.29735108638828778</c:v>
                </c:pt>
                <c:pt idx="51">
                  <c:v>0.2973519986276828</c:v>
                </c:pt>
                <c:pt idx="52">
                  <c:v>0.29735289328203607</c:v>
                </c:pt>
                <c:pt idx="53">
                  <c:v>0.29735377072331759</c:v>
                </c:pt>
                <c:pt idx="54">
                  <c:v>0.29735463131569068</c:v>
                </c:pt>
                <c:pt idx="55">
                  <c:v>0.29735547541567187</c:v>
                </c:pt>
                <c:pt idx="56">
                  <c:v>0.29735630337228824</c:v>
                </c:pt>
                <c:pt idx="57">
                  <c:v>0.29735711552723132</c:v>
                </c:pt>
                <c:pt idx="58">
                  <c:v>0.29735791221500874</c:v>
                </c:pt>
                <c:pt idx="59">
                  <c:v>0.29735869376309126</c:v>
                </c:pt>
                <c:pt idx="60">
                  <c:v>0.29735946049205891</c:v>
                </c:pt>
                <c:pt idx="61">
                  <c:v>0.29736021271574298</c:v>
                </c:pt>
                <c:pt idx="62">
                  <c:v>0.29736095074136493</c:v>
                </c:pt>
                <c:pt idx="63">
                  <c:v>0.29736167486967419</c:v>
                </c:pt>
                <c:pt idx="64">
                  <c:v>0.2973623853950807</c:v>
                </c:pt>
                <c:pt idx="65">
                  <c:v>0.29736308260578737</c:v>
                </c:pt>
                <c:pt idx="66">
                  <c:v>0.29736376678391857</c:v>
                </c:pt>
                <c:pt idx="67">
                  <c:v>0.29736443820564562</c:v>
                </c:pt>
                <c:pt idx="68">
                  <c:v>0.29736509714131099</c:v>
                </c:pt>
                <c:pt idx="69">
                  <c:v>0.29736574385554904</c:v>
                </c:pt>
                <c:pt idx="70">
                  <c:v>0.29736637860740489</c:v>
                </c:pt>
                <c:pt idx="71">
                  <c:v>0.29736700165045077</c:v>
                </c:pt>
                <c:pt idx="72">
                  <c:v>0.29736761323289929</c:v>
                </c:pt>
                <c:pt idx="73">
                  <c:v>0.29736821359771642</c:v>
                </c:pt>
                <c:pt idx="74">
                  <c:v>0.29736880298272933</c:v>
                </c:pt>
                <c:pt idx="75">
                  <c:v>0.29736938162073479</c:v>
                </c:pt>
                <c:pt idx="76">
                  <c:v>0.29736994973960301</c:v>
                </c:pt>
                <c:pt idx="77">
                  <c:v>0.29737050756238176</c:v>
                </c:pt>
                <c:pt idx="78">
                  <c:v>0.29737105530739638</c:v>
                </c:pt>
                <c:pt idx="79">
                  <c:v>0.29737159318834827</c:v>
                </c:pt>
                <c:pt idx="80">
                  <c:v>0.29737212141441249</c:v>
                </c:pt>
                <c:pt idx="81">
                  <c:v>0.29737264019033172</c:v>
                </c:pt>
                <c:pt idx="82">
                  <c:v>0.29737314971650941</c:v>
                </c:pt>
                <c:pt idx="83">
                  <c:v>0.29737365018910061</c:v>
                </c:pt>
                <c:pt idx="84">
                  <c:v>0.29737414180010113</c:v>
                </c:pt>
                <c:pt idx="85">
                  <c:v>0.29737462473743459</c:v>
                </c:pt>
                <c:pt idx="86">
                  <c:v>0.29737509918503796</c:v>
                </c:pt>
                <c:pt idx="87">
                  <c:v>0.2973755653229454</c:v>
                </c:pt>
                <c:pt idx="88">
                  <c:v>0.29737602332736979</c:v>
                </c:pt>
                <c:pt idx="89">
                  <c:v>0.29737647337078382</c:v>
                </c:pt>
                <c:pt idx="90">
                  <c:v>0.29737691562199742</c:v>
                </c:pt>
                <c:pt idx="91">
                  <c:v>0.29737735024623607</c:v>
                </c:pt>
                <c:pt idx="92">
                  <c:v>0.29737777740521526</c:v>
                </c:pt>
                <c:pt idx="93">
                  <c:v>0.29737819725721493</c:v>
                </c:pt>
                <c:pt idx="94">
                  <c:v>0.29737860995715154</c:v>
                </c:pt>
                <c:pt idx="95">
                  <c:v>0.29737901565664876</c:v>
                </c:pt>
                <c:pt idx="96">
                  <c:v>0.29737941450410771</c:v>
                </c:pt>
                <c:pt idx="97">
                  <c:v>0.29737980664477348</c:v>
                </c:pt>
                <c:pt idx="98">
                  <c:v>0.29738019222080297</c:v>
                </c:pt>
                <c:pt idx="99">
                  <c:v>0.29738057137132945</c:v>
                </c:pt>
                <c:pt idx="100">
                  <c:v>0.29738094423252659</c:v>
                </c:pt>
                <c:pt idx="101">
                  <c:v>0.29738131093767056</c:v>
                </c:pt>
                <c:pt idx="102">
                  <c:v>0.29738131093767056</c:v>
                </c:pt>
                <c:pt idx="103">
                  <c:v>0.29738131093767056</c:v>
                </c:pt>
                <c:pt idx="104">
                  <c:v>0.29738131093767056</c:v>
                </c:pt>
                <c:pt idx="105">
                  <c:v>0.29738131093767056</c:v>
                </c:pt>
                <c:pt idx="106">
                  <c:v>0.29738131093767056</c:v>
                </c:pt>
                <c:pt idx="107">
                  <c:v>0.29738131093767056</c:v>
                </c:pt>
                <c:pt idx="108">
                  <c:v>0.29738131093767056</c:v>
                </c:pt>
                <c:pt idx="109">
                  <c:v>0.29738131093767056</c:v>
                </c:pt>
                <c:pt idx="110">
                  <c:v>0.29738131093767056</c:v>
                </c:pt>
                <c:pt idx="111">
                  <c:v>0.29738131093767056</c:v>
                </c:pt>
                <c:pt idx="112">
                  <c:v>0.29738131093767056</c:v>
                </c:pt>
                <c:pt idx="113">
                  <c:v>0.29738131093767056</c:v>
                </c:pt>
                <c:pt idx="114">
                  <c:v>0.29738131093767056</c:v>
                </c:pt>
                <c:pt idx="115">
                  <c:v>0.29738131093767056</c:v>
                </c:pt>
                <c:pt idx="116">
                  <c:v>0.29738131093767056</c:v>
                </c:pt>
                <c:pt idx="117">
                  <c:v>0.29738131093767056</c:v>
                </c:pt>
                <c:pt idx="118">
                  <c:v>0.29738131093767056</c:v>
                </c:pt>
                <c:pt idx="119">
                  <c:v>0.29738131093767056</c:v>
                </c:pt>
                <c:pt idx="120">
                  <c:v>0.29738131093767056</c:v>
                </c:pt>
                <c:pt idx="121">
                  <c:v>0.29738131093767056</c:v>
                </c:pt>
                <c:pt idx="122">
                  <c:v>0.29738131093767056</c:v>
                </c:pt>
                <c:pt idx="123">
                  <c:v>0.29738131093767056</c:v>
                </c:pt>
                <c:pt idx="124">
                  <c:v>0.29738131093767056</c:v>
                </c:pt>
                <c:pt idx="125">
                  <c:v>0.29738131093767056</c:v>
                </c:pt>
                <c:pt idx="126">
                  <c:v>0.29738131093767056</c:v>
                </c:pt>
                <c:pt idx="127">
                  <c:v>0.29738131093767056</c:v>
                </c:pt>
                <c:pt idx="128">
                  <c:v>0.29738131093767056</c:v>
                </c:pt>
                <c:pt idx="129">
                  <c:v>0.29738131093767056</c:v>
                </c:pt>
                <c:pt idx="130">
                  <c:v>0.29738131093767056</c:v>
                </c:pt>
                <c:pt idx="131">
                  <c:v>0.29738131093767056</c:v>
                </c:pt>
                <c:pt idx="132">
                  <c:v>0.29738131093767056</c:v>
                </c:pt>
                <c:pt idx="133">
                  <c:v>0.29738131093767056</c:v>
                </c:pt>
                <c:pt idx="134">
                  <c:v>0.29738131093767056</c:v>
                </c:pt>
                <c:pt idx="135">
                  <c:v>0.29738131093767056</c:v>
                </c:pt>
                <c:pt idx="136">
                  <c:v>0.29738131093767056</c:v>
                </c:pt>
                <c:pt idx="137">
                  <c:v>0.29738131093767056</c:v>
                </c:pt>
                <c:pt idx="138">
                  <c:v>0.29738131093767056</c:v>
                </c:pt>
                <c:pt idx="139">
                  <c:v>0.29738131093767056</c:v>
                </c:pt>
                <c:pt idx="140">
                  <c:v>0.29738131093767056</c:v>
                </c:pt>
                <c:pt idx="141">
                  <c:v>0.29738131093767056</c:v>
                </c:pt>
                <c:pt idx="142">
                  <c:v>0.29738131093767056</c:v>
                </c:pt>
                <c:pt idx="143">
                  <c:v>0.29738131093767056</c:v>
                </c:pt>
                <c:pt idx="144">
                  <c:v>0.29738131093767056</c:v>
                </c:pt>
                <c:pt idx="145">
                  <c:v>0.29738131093767056</c:v>
                </c:pt>
                <c:pt idx="146">
                  <c:v>0.29738131093767056</c:v>
                </c:pt>
                <c:pt idx="147">
                  <c:v>0.29738131093767056</c:v>
                </c:pt>
                <c:pt idx="148">
                  <c:v>0.29738131093767056</c:v>
                </c:pt>
                <c:pt idx="149">
                  <c:v>0.29738131093767056</c:v>
                </c:pt>
                <c:pt idx="150">
                  <c:v>0.29738131093767056</c:v>
                </c:pt>
                <c:pt idx="151">
                  <c:v>0.29738131093767056</c:v>
                </c:pt>
                <c:pt idx="152">
                  <c:v>0.29738131093767056</c:v>
                </c:pt>
                <c:pt idx="153">
                  <c:v>0.29738131093767056</c:v>
                </c:pt>
                <c:pt idx="154">
                  <c:v>0.29738131093767056</c:v>
                </c:pt>
                <c:pt idx="155">
                  <c:v>0.29738131093767056</c:v>
                </c:pt>
                <c:pt idx="156">
                  <c:v>0.29738131093767056</c:v>
                </c:pt>
                <c:pt idx="157">
                  <c:v>0.29738131093767056</c:v>
                </c:pt>
                <c:pt idx="158">
                  <c:v>0.29738131093767056</c:v>
                </c:pt>
                <c:pt idx="159">
                  <c:v>0.29738131093767056</c:v>
                </c:pt>
                <c:pt idx="160">
                  <c:v>0.29738131093767056</c:v>
                </c:pt>
                <c:pt idx="161">
                  <c:v>0.29738131093767056</c:v>
                </c:pt>
                <c:pt idx="162">
                  <c:v>0.29738131093767056</c:v>
                </c:pt>
                <c:pt idx="163">
                  <c:v>0.29738131093767056</c:v>
                </c:pt>
                <c:pt idx="164">
                  <c:v>0.29738131093767056</c:v>
                </c:pt>
                <c:pt idx="165">
                  <c:v>0.29738131093767056</c:v>
                </c:pt>
                <c:pt idx="166">
                  <c:v>0.29738131093767056</c:v>
                </c:pt>
                <c:pt idx="167">
                  <c:v>0.29738131093767056</c:v>
                </c:pt>
                <c:pt idx="168">
                  <c:v>0.29738131093767056</c:v>
                </c:pt>
                <c:pt idx="169">
                  <c:v>0.29738131093767056</c:v>
                </c:pt>
                <c:pt idx="170">
                  <c:v>0.29738131093767056</c:v>
                </c:pt>
                <c:pt idx="171">
                  <c:v>0.29738131093767056</c:v>
                </c:pt>
                <c:pt idx="172">
                  <c:v>0.29738131093767056</c:v>
                </c:pt>
                <c:pt idx="173">
                  <c:v>0.29738131093767056</c:v>
                </c:pt>
                <c:pt idx="174">
                  <c:v>0.29738131093767056</c:v>
                </c:pt>
                <c:pt idx="175">
                  <c:v>0.29738131093767056</c:v>
                </c:pt>
                <c:pt idx="176">
                  <c:v>0.29738131093767056</c:v>
                </c:pt>
                <c:pt idx="177">
                  <c:v>0.29738131093767056</c:v>
                </c:pt>
                <c:pt idx="178">
                  <c:v>0.29738131093767056</c:v>
                </c:pt>
                <c:pt idx="179">
                  <c:v>0.29738131093767056</c:v>
                </c:pt>
                <c:pt idx="180">
                  <c:v>0.29738131093767056</c:v>
                </c:pt>
                <c:pt idx="181">
                  <c:v>0.29738131093767056</c:v>
                </c:pt>
                <c:pt idx="182">
                  <c:v>0.29738131093767056</c:v>
                </c:pt>
                <c:pt idx="183">
                  <c:v>0.29738131093767056</c:v>
                </c:pt>
                <c:pt idx="184">
                  <c:v>0.29738131093767056</c:v>
                </c:pt>
                <c:pt idx="185">
                  <c:v>0.29738131093767056</c:v>
                </c:pt>
                <c:pt idx="186">
                  <c:v>0.29738131093767056</c:v>
                </c:pt>
                <c:pt idx="187">
                  <c:v>0.29738131093767056</c:v>
                </c:pt>
                <c:pt idx="188">
                  <c:v>0.29738131093767056</c:v>
                </c:pt>
                <c:pt idx="189">
                  <c:v>0.29738131093767056</c:v>
                </c:pt>
                <c:pt idx="190">
                  <c:v>0.29738131093767056</c:v>
                </c:pt>
                <c:pt idx="191">
                  <c:v>0.29738131093767056</c:v>
                </c:pt>
                <c:pt idx="192">
                  <c:v>0.29738131093767056</c:v>
                </c:pt>
                <c:pt idx="193">
                  <c:v>0.29738131093767056</c:v>
                </c:pt>
                <c:pt idx="194">
                  <c:v>0.29738131093767056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09-49A0-BE36-AFAB4ACCFDCA}"/>
            </c:ext>
          </c:extLst>
        </c:ser>
        <c:ser>
          <c:idx val="3"/>
          <c:order val="3"/>
          <c:tx>
            <c:strRef>
              <c:f>Model!$U$4</c:f>
              <c:strCache>
                <c:ptCount val="1"/>
                <c:pt idx="0">
                  <c:v>O*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Model!$U$5:$U$199</c:f>
              <c:numCache>
                <c:formatCode>0.0000</c:formatCode>
                <c:ptCount val="195"/>
                <c:pt idx="0">
                  <c:v>0.6837300890296133</c:v>
                </c:pt>
                <c:pt idx="1">
                  <c:v>0.68375234186288403</c:v>
                </c:pt>
                <c:pt idx="2">
                  <c:v>0.68377407937919255</c:v>
                </c:pt>
                <c:pt idx="3">
                  <c:v>0.68379536119122908</c:v>
                </c:pt>
                <c:pt idx="4">
                  <c:v>0.68381619681673622</c:v>
                </c:pt>
                <c:pt idx="5">
                  <c:v>0.68383659557988052</c:v>
                </c:pt>
                <c:pt idx="6">
                  <c:v>0.68385656661496952</c:v>
                </c:pt>
                <c:pt idx="7">
                  <c:v>0.68387611887010347</c:v>
                </c:pt>
                <c:pt idx="8">
                  <c:v>0.68389526111076915</c:v>
                </c:pt>
                <c:pt idx="9">
                  <c:v>0.68391400192337071</c:v>
                </c:pt>
                <c:pt idx="10">
                  <c:v>0.68393234971870154</c:v>
                </c:pt>
                <c:pt idx="11">
                  <c:v>0.68395031273535745</c:v>
                </c:pt>
                <c:pt idx="12">
                  <c:v>0.68396789904308841</c:v>
                </c:pt>
                <c:pt idx="13">
                  <c:v>0.68398511654609639</c:v>
                </c:pt>
                <c:pt idx="14">
                  <c:v>0.6840019729862723</c:v>
                </c:pt>
                <c:pt idx="15">
                  <c:v>0.68401847594637788</c:v>
                </c:pt>
                <c:pt idx="16">
                  <c:v>0.68403463285317223</c:v>
                </c:pt>
                <c:pt idx="17">
                  <c:v>0.68405045098048134</c:v>
                </c:pt>
                <c:pt idx="18">
                  <c:v>0.68406593745221522</c:v>
                </c:pt>
                <c:pt idx="19">
                  <c:v>0.68408109924532901</c:v>
                </c:pt>
                <c:pt idx="20">
                  <c:v>0.68409594319273237</c:v>
                </c:pt>
                <c:pt idx="21">
                  <c:v>0.68411047598614705</c:v>
                </c:pt>
                <c:pt idx="22">
                  <c:v>0.68412470417891069</c:v>
                </c:pt>
                <c:pt idx="23">
                  <c:v>0.68413863418873189</c:v>
                </c:pt>
                <c:pt idx="24">
                  <c:v>0.68415227230039377</c:v>
                </c:pt>
                <c:pt idx="25">
                  <c:v>0.68416562466840758</c:v>
                </c:pt>
                <c:pt idx="26">
                  <c:v>0.68417869731961944</c:v>
                </c:pt>
                <c:pt idx="27">
                  <c:v>0.68419149615576702</c:v>
                </c:pt>
                <c:pt idx="28">
                  <c:v>0.68420402695599036</c:v>
                </c:pt>
                <c:pt idx="29">
                  <c:v>0.6842162953792934</c:v>
                </c:pt>
                <c:pt idx="30">
                  <c:v>0.68422830696696457</c:v>
                </c:pt>
                <c:pt idx="31">
                  <c:v>0.68424006714494567</c:v>
                </c:pt>
                <c:pt idx="32">
                  <c:v>0.68425158122616203</c:v>
                </c:pt>
                <c:pt idx="33">
                  <c:v>0.68426285441280499</c:v>
                </c:pt>
                <c:pt idx="34">
                  <c:v>0.68427389179857279</c:v>
                </c:pt>
                <c:pt idx="35">
                  <c:v>0.68428469837086925</c:v>
                </c:pt>
                <c:pt idx="36">
                  <c:v>0.68429527901295939</c:v>
                </c:pt>
                <c:pt idx="37">
                  <c:v>0.68430563850608472</c:v>
                </c:pt>
                <c:pt idx="38">
                  <c:v>0.68431578153153894</c:v>
                </c:pt>
                <c:pt idx="39">
                  <c:v>0.68432571267270192</c:v>
                </c:pt>
                <c:pt idx="40">
                  <c:v>0.68433543641703587</c:v>
                </c:pt>
                <c:pt idx="41">
                  <c:v>0.68434495715804322</c:v>
                </c:pt>
                <c:pt idx="42">
                  <c:v>0.68435427919718539</c:v>
                </c:pt>
                <c:pt idx="43">
                  <c:v>0.68436340674576579</c:v>
                </c:pt>
                <c:pt idx="44">
                  <c:v>0.68437234392677571</c:v>
                </c:pt>
                <c:pt idx="45">
                  <c:v>0.68438109477670395</c:v>
                </c:pt>
                <c:pt idx="46">
                  <c:v>0.68438966324731099</c:v>
                </c:pt>
                <c:pt idx="47">
                  <c:v>0.68439805320737046</c:v>
                </c:pt>
                <c:pt idx="48">
                  <c:v>0.68440626844437247</c:v>
                </c:pt>
                <c:pt idx="49">
                  <c:v>0.68441431266619868</c:v>
                </c:pt>
                <c:pt idx="50">
                  <c:v>0.68442218950276001</c:v>
                </c:pt>
                <c:pt idx="51">
                  <c:v>0.68442990250760349</c:v>
                </c:pt>
                <c:pt idx="52">
                  <c:v>0.68443745515948939</c:v>
                </c:pt>
                <c:pt idx="53">
                  <c:v>0.68444485086393336</c:v>
                </c:pt>
                <c:pt idx="54">
                  <c:v>0.68445209295472154</c:v>
                </c:pt>
                <c:pt idx="55">
                  <c:v>0.68445918469539302</c:v>
                </c:pt>
                <c:pt idx="56">
                  <c:v>0.68446612928069428</c:v>
                </c:pt>
                <c:pt idx="57">
                  <c:v>0.68447292983800445</c:v>
                </c:pt>
                <c:pt idx="58">
                  <c:v>0.68447958942873133</c:v>
                </c:pt>
                <c:pt idx="59">
                  <c:v>0.68448611104968016</c:v>
                </c:pt>
                <c:pt idx="60">
                  <c:v>0.68449249763439446</c:v>
                </c:pt>
                <c:pt idx="61">
                  <c:v>0.68449875205447186</c:v>
                </c:pt>
                <c:pt idx="62">
                  <c:v>0.68450487712084962</c:v>
                </c:pt>
                <c:pt idx="63">
                  <c:v>0.68451087558506896</c:v>
                </c:pt>
                <c:pt idx="64">
                  <c:v>0.6845167501405095</c:v>
                </c:pt>
                <c:pt idx="65">
                  <c:v>0.68452250342360232</c:v>
                </c:pt>
                <c:pt idx="66">
                  <c:v>0.68452813801501666</c:v>
                </c:pt>
                <c:pt idx="67">
                  <c:v>0.68453365644082242</c:v>
                </c:pt>
                <c:pt idx="68">
                  <c:v>0.68453906117363061</c:v>
                </c:pt>
                <c:pt idx="69">
                  <c:v>0.68454435463370922</c:v>
                </c:pt>
                <c:pt idx="70">
                  <c:v>0.68454953919007677</c:v>
                </c:pt>
                <c:pt idx="71">
                  <c:v>0.68455461716157417</c:v>
                </c:pt>
                <c:pt idx="72">
                  <c:v>0.6845595908179144</c:v>
                </c:pt>
                <c:pt idx="73">
                  <c:v>0.68456446238071011</c:v>
                </c:pt>
                <c:pt idx="74">
                  <c:v>0.68456923402448178</c:v>
                </c:pt>
                <c:pt idx="75">
                  <c:v>0.68457390787764427</c:v>
                </c:pt>
                <c:pt idx="76">
                  <c:v>0.68457848602347204</c:v>
                </c:pt>
                <c:pt idx="77">
                  <c:v>0.68458297050104799</c:v>
                </c:pt>
                <c:pt idx="78">
                  <c:v>0.68458736330618919</c:v>
                </c:pt>
                <c:pt idx="79">
                  <c:v>0.68459166639235536</c:v>
                </c:pt>
                <c:pt idx="80">
                  <c:v>0.6845958816715394</c:v>
                </c:pt>
                <c:pt idx="81">
                  <c:v>0.68460001101513768</c:v>
                </c:pt>
                <c:pt idx="82">
                  <c:v>0.68460405625480403</c:v>
                </c:pt>
                <c:pt idx="83">
                  <c:v>0.68460801918328551</c:v>
                </c:pt>
                <c:pt idx="84">
                  <c:v>0.68461190155524065</c:v>
                </c:pt>
                <c:pt idx="85">
                  <c:v>0.68461570508804181</c:v>
                </c:pt>
                <c:pt idx="86">
                  <c:v>0.68461943146255977</c:v>
                </c:pt>
                <c:pt idx="87">
                  <c:v>0.68462308232393321</c:v>
                </c:pt>
                <c:pt idx="88">
                  <c:v>0.68462665928232058</c:v>
                </c:pt>
                <c:pt idx="89">
                  <c:v>0.68463016391363951</c:v>
                </c:pt>
                <c:pt idx="90">
                  <c:v>0.68463359776028665</c:v>
                </c:pt>
                <c:pt idx="91">
                  <c:v>0.6846369623318469</c:v>
                </c:pt>
                <c:pt idx="92">
                  <c:v>0.68464025910578452</c:v>
                </c:pt>
                <c:pt idx="93">
                  <c:v>0.68464348952812182</c:v>
                </c:pt>
                <c:pt idx="94">
                  <c:v>0.6846466550141036</c:v>
                </c:pt>
                <c:pt idx="95">
                  <c:v>0.68464975694884633</c:v>
                </c:pt>
                <c:pt idx="96">
                  <c:v>0.68465279668797629</c:v>
                </c:pt>
                <c:pt idx="97">
                  <c:v>0.68465577555825086</c:v>
                </c:pt>
                <c:pt idx="98">
                  <c:v>0.68465869485817132</c:v>
                </c:pt>
                <c:pt idx="99">
                  <c:v>0.6846615558585798</c:v>
                </c:pt>
                <c:pt idx="100">
                  <c:v>0.68466435980324336</c:v>
                </c:pt>
                <c:pt idx="101">
                  <c:v>0.68466710790942875</c:v>
                </c:pt>
                <c:pt idx="102">
                  <c:v>0.68466710790942875</c:v>
                </c:pt>
                <c:pt idx="103">
                  <c:v>0.68466710790942875</c:v>
                </c:pt>
                <c:pt idx="104">
                  <c:v>0.68466710790942875</c:v>
                </c:pt>
                <c:pt idx="105">
                  <c:v>0.68466710790942875</c:v>
                </c:pt>
                <c:pt idx="106">
                  <c:v>0.68466710790942875</c:v>
                </c:pt>
                <c:pt idx="107">
                  <c:v>0.68466710790942875</c:v>
                </c:pt>
                <c:pt idx="108">
                  <c:v>0.68466710790942875</c:v>
                </c:pt>
                <c:pt idx="109">
                  <c:v>0.68466710790942875</c:v>
                </c:pt>
                <c:pt idx="110">
                  <c:v>0.68466710790942875</c:v>
                </c:pt>
                <c:pt idx="111">
                  <c:v>0.68466710790942875</c:v>
                </c:pt>
                <c:pt idx="112">
                  <c:v>0.68466710790942875</c:v>
                </c:pt>
                <c:pt idx="113">
                  <c:v>0.68466710790942875</c:v>
                </c:pt>
                <c:pt idx="114">
                  <c:v>0.68466710790942875</c:v>
                </c:pt>
                <c:pt idx="115">
                  <c:v>0.68466710790942875</c:v>
                </c:pt>
                <c:pt idx="116">
                  <c:v>0.68466710790942875</c:v>
                </c:pt>
                <c:pt idx="117">
                  <c:v>0.68466710790942875</c:v>
                </c:pt>
                <c:pt idx="118">
                  <c:v>0.68466710790942875</c:v>
                </c:pt>
                <c:pt idx="119">
                  <c:v>0.68466710790942875</c:v>
                </c:pt>
                <c:pt idx="120">
                  <c:v>0.68466710790942875</c:v>
                </c:pt>
                <c:pt idx="121">
                  <c:v>0.68466710790942875</c:v>
                </c:pt>
                <c:pt idx="122">
                  <c:v>0.68466710790942875</c:v>
                </c:pt>
                <c:pt idx="123">
                  <c:v>0.68466710790942875</c:v>
                </c:pt>
                <c:pt idx="124">
                  <c:v>0.68466710790942875</c:v>
                </c:pt>
                <c:pt idx="125">
                  <c:v>0.68466710790942875</c:v>
                </c:pt>
                <c:pt idx="126">
                  <c:v>0.68466710790942875</c:v>
                </c:pt>
                <c:pt idx="127">
                  <c:v>0.68466710790942875</c:v>
                </c:pt>
                <c:pt idx="128">
                  <c:v>0.68466710790942875</c:v>
                </c:pt>
                <c:pt idx="129">
                  <c:v>0.68466710790942875</c:v>
                </c:pt>
                <c:pt idx="130">
                  <c:v>0.68466710790942875</c:v>
                </c:pt>
                <c:pt idx="131">
                  <c:v>0.68466710790942875</c:v>
                </c:pt>
                <c:pt idx="132">
                  <c:v>0.68466710790942875</c:v>
                </c:pt>
                <c:pt idx="133">
                  <c:v>0.68466710790942875</c:v>
                </c:pt>
                <c:pt idx="134">
                  <c:v>0.68466710790942875</c:v>
                </c:pt>
                <c:pt idx="135">
                  <c:v>0.68466710790942875</c:v>
                </c:pt>
                <c:pt idx="136">
                  <c:v>0.68466710790942875</c:v>
                </c:pt>
                <c:pt idx="137">
                  <c:v>0.68466710790942875</c:v>
                </c:pt>
                <c:pt idx="138">
                  <c:v>0.68466710790942875</c:v>
                </c:pt>
                <c:pt idx="139">
                  <c:v>0.68466710790942875</c:v>
                </c:pt>
                <c:pt idx="140">
                  <c:v>0.68466710790942875</c:v>
                </c:pt>
                <c:pt idx="141">
                  <c:v>0.68466710790942875</c:v>
                </c:pt>
                <c:pt idx="142">
                  <c:v>0.68466710790942875</c:v>
                </c:pt>
                <c:pt idx="143">
                  <c:v>0.68466710790942875</c:v>
                </c:pt>
                <c:pt idx="144">
                  <c:v>0.68466710790942875</c:v>
                </c:pt>
                <c:pt idx="145">
                  <c:v>0.68466710790942875</c:v>
                </c:pt>
                <c:pt idx="146">
                  <c:v>0.68466710790942875</c:v>
                </c:pt>
                <c:pt idx="147">
                  <c:v>0.68466710790942875</c:v>
                </c:pt>
                <c:pt idx="148">
                  <c:v>0.68466710790942875</c:v>
                </c:pt>
                <c:pt idx="149">
                  <c:v>0.68466710790942875</c:v>
                </c:pt>
                <c:pt idx="150">
                  <c:v>0.68466710790942875</c:v>
                </c:pt>
                <c:pt idx="151">
                  <c:v>0.68466710790942875</c:v>
                </c:pt>
                <c:pt idx="152">
                  <c:v>0.68466710790942875</c:v>
                </c:pt>
                <c:pt idx="153">
                  <c:v>0.68466710790942875</c:v>
                </c:pt>
                <c:pt idx="154">
                  <c:v>0.68466710790942875</c:v>
                </c:pt>
                <c:pt idx="155">
                  <c:v>0.68466710790942875</c:v>
                </c:pt>
                <c:pt idx="156">
                  <c:v>0.68466710790942875</c:v>
                </c:pt>
                <c:pt idx="157">
                  <c:v>0.68466710790942875</c:v>
                </c:pt>
                <c:pt idx="158">
                  <c:v>0.68466710790942875</c:v>
                </c:pt>
                <c:pt idx="159">
                  <c:v>0.68466710790942875</c:v>
                </c:pt>
                <c:pt idx="160">
                  <c:v>0.68466710790942875</c:v>
                </c:pt>
                <c:pt idx="161">
                  <c:v>0.68466710790942875</c:v>
                </c:pt>
                <c:pt idx="162">
                  <c:v>0.68466710790942875</c:v>
                </c:pt>
                <c:pt idx="163">
                  <c:v>0.68466710790942875</c:v>
                </c:pt>
                <c:pt idx="164">
                  <c:v>0.68466710790942875</c:v>
                </c:pt>
                <c:pt idx="165">
                  <c:v>0.68466710790942875</c:v>
                </c:pt>
                <c:pt idx="166">
                  <c:v>0.68466710790942875</c:v>
                </c:pt>
                <c:pt idx="167">
                  <c:v>0.68466710790942875</c:v>
                </c:pt>
                <c:pt idx="168">
                  <c:v>0.68466710790942875</c:v>
                </c:pt>
                <c:pt idx="169">
                  <c:v>0.68466710790942875</c:v>
                </c:pt>
                <c:pt idx="170">
                  <c:v>0.68466710790942875</c:v>
                </c:pt>
                <c:pt idx="171">
                  <c:v>0.68466710790942875</c:v>
                </c:pt>
                <c:pt idx="172">
                  <c:v>0.68466710790942875</c:v>
                </c:pt>
                <c:pt idx="173">
                  <c:v>0.68466710790942875</c:v>
                </c:pt>
                <c:pt idx="174">
                  <c:v>0.68466710790942875</c:v>
                </c:pt>
                <c:pt idx="175">
                  <c:v>0.68466710790942875</c:v>
                </c:pt>
                <c:pt idx="176">
                  <c:v>0.68466710790942875</c:v>
                </c:pt>
                <c:pt idx="177">
                  <c:v>0.68466710790942875</c:v>
                </c:pt>
                <c:pt idx="178">
                  <c:v>0.68466710790942875</c:v>
                </c:pt>
                <c:pt idx="179">
                  <c:v>0.68466710790942875</c:v>
                </c:pt>
                <c:pt idx="180">
                  <c:v>0.68466710790942875</c:v>
                </c:pt>
                <c:pt idx="181">
                  <c:v>0.68466710790942875</c:v>
                </c:pt>
                <c:pt idx="182">
                  <c:v>0.68466710790942875</c:v>
                </c:pt>
                <c:pt idx="183">
                  <c:v>0.68466710790942875</c:v>
                </c:pt>
                <c:pt idx="184">
                  <c:v>0.68466710790942875</c:v>
                </c:pt>
                <c:pt idx="185">
                  <c:v>0.68466710790942875</c:v>
                </c:pt>
                <c:pt idx="186">
                  <c:v>0.68466710790942875</c:v>
                </c:pt>
                <c:pt idx="187">
                  <c:v>0.68466710790942875</c:v>
                </c:pt>
                <c:pt idx="188">
                  <c:v>0.68466710790942875</c:v>
                </c:pt>
                <c:pt idx="189">
                  <c:v>0.68466710790942875</c:v>
                </c:pt>
                <c:pt idx="190">
                  <c:v>0.68466710790942875</c:v>
                </c:pt>
                <c:pt idx="191">
                  <c:v>0.68466710790942875</c:v>
                </c:pt>
                <c:pt idx="192">
                  <c:v>0.68466710790942875</c:v>
                </c:pt>
                <c:pt idx="193">
                  <c:v>0.68466710790942875</c:v>
                </c:pt>
                <c:pt idx="194">
                  <c:v>0.68466710790942875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09-49A0-BE36-AFAB4ACCFDCA}"/>
            </c:ext>
          </c:extLst>
        </c:ser>
        <c:ser>
          <c:idx val="4"/>
          <c:order val="4"/>
          <c:tx>
            <c:strRef>
              <c:f>Model!$V$4</c:f>
              <c:strCache>
                <c:ptCount val="1"/>
                <c:pt idx="0">
                  <c:v>CO2*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Model!$V$5:$V$199</c:f>
              <c:numCache>
                <c:formatCode>0.0000</c:formatCode>
                <c:ptCount val="195"/>
                <c:pt idx="0">
                  <c:v>0</c:v>
                </c:pt>
                <c:pt idx="1">
                  <c:v>2.0749437419169877E-9</c:v>
                </c:pt>
                <c:pt idx="2">
                  <c:v>4.1059920950341217E-9</c:v>
                </c:pt>
                <c:pt idx="3">
                  <c:v>6.0940603087125156E-9</c:v>
                </c:pt>
                <c:pt idx="4">
                  <c:v>8.0400458667288859E-9</c:v>
                </c:pt>
                <c:pt idx="5">
                  <c:v>9.9448280183918882E-9</c:v>
                </c:pt>
                <c:pt idx="6">
                  <c:v>1.1809268127700988E-8</c:v>
                </c:pt>
                <c:pt idx="7">
                  <c:v>1.3634210016727548E-8</c:v>
                </c:pt>
                <c:pt idx="8">
                  <c:v>1.542048030327372E-8</c:v>
                </c:pt>
                <c:pt idx="9">
                  <c:v>1.7168888732865966E-8</c:v>
                </c:pt>
                <c:pt idx="10">
                  <c:v>1.8880228505141622E-8</c:v>
                </c:pt>
                <c:pt idx="11">
                  <c:v>2.055527659468781E-8</c:v>
                </c:pt>
                <c:pt idx="12">
                  <c:v>2.2194794066393462E-8</c:v>
                </c:pt>
                <c:pt idx="13">
                  <c:v>2.3799526385375873E-8</c:v>
                </c:pt>
                <c:pt idx="14">
                  <c:v>2.5370203721544275E-8</c:v>
                </c:pt>
                <c:pt idx="15">
                  <c:v>2.6907541248863671E-8</c:v>
                </c:pt>
                <c:pt idx="16">
                  <c:v>2.8412239439382777E-8</c:v>
                </c:pt>
                <c:pt idx="17">
                  <c:v>2.988498435209052E-8</c:v>
                </c:pt>
                <c:pt idx="18">
                  <c:v>3.1326447916666162E-8</c:v>
                </c:pt>
                <c:pt idx="19">
                  <c:v>3.273728821218842E-8</c:v>
                </c:pt>
                <c:pt idx="20">
                  <c:v>3.4118149740869232E-8</c:v>
                </c:pt>
                <c:pt idx="21">
                  <c:v>3.5469663696878346E-8</c:v>
                </c:pt>
                <c:pt idx="22">
                  <c:v>3.6792448230324782E-8</c:v>
                </c:pt>
                <c:pt idx="23">
                  <c:v>3.8087108706461633E-8</c:v>
                </c:pt>
                <c:pt idx="24">
                  <c:v>3.9354237960180577E-8</c:v>
                </c:pt>
                <c:pt idx="25">
                  <c:v>4.0594416545862448E-8</c:v>
                </c:pt>
                <c:pt idx="26">
                  <c:v>4.1808212982650381E-8</c:v>
                </c:pt>
                <c:pt idx="27">
                  <c:v>4.2996183995211765E-8</c:v>
                </c:pt>
                <c:pt idx="28">
                  <c:v>4.4158874750055045E-8</c:v>
                </c:pt>
                <c:pt idx="29">
                  <c:v>4.5296819087467491E-8</c:v>
                </c:pt>
                <c:pt idx="30">
                  <c:v>4.6410539749139622E-8</c:v>
                </c:pt>
                <c:pt idx="31">
                  <c:v>4.7500548601541436E-8</c:v>
                </c:pt>
                <c:pt idx="32">
                  <c:v>4.8567346855116095E-8</c:v>
                </c:pt>
                <c:pt idx="33">
                  <c:v>4.9611425279355284E-8</c:v>
                </c:pt>
                <c:pt idx="34">
                  <c:v>5.0633264413821069E-8</c:v>
                </c:pt>
                <c:pt idx="35">
                  <c:v>5.1633334775177928E-8</c:v>
                </c:pt>
                <c:pt idx="36">
                  <c:v>5.261209706029873E-8</c:v>
                </c:pt>
                <c:pt idx="37">
                  <c:v>5.357000234550735E-8</c:v>
                </c:pt>
                <c:pt idx="38">
                  <c:v>5.4507492282021106E-8</c:v>
                </c:pt>
                <c:pt idx="39">
                  <c:v>5.5424999287654326E-8</c:v>
                </c:pt>
                <c:pt idx="40">
                  <c:v>5.6322946734845071E-8</c:v>
                </c:pt>
                <c:pt idx="41">
                  <c:v>5.720174913506581E-8</c:v>
                </c:pt>
                <c:pt idx="42">
                  <c:v>5.8061812319678321E-8</c:v>
                </c:pt>
                <c:pt idx="43">
                  <c:v>5.890353361729262E-8</c:v>
                </c:pt>
                <c:pt idx="44">
                  <c:v>5.9727302027689295E-8</c:v>
                </c:pt>
                <c:pt idx="45">
                  <c:v>6.0533498392363353E-8</c:v>
                </c:pt>
                <c:pt idx="46">
                  <c:v>6.132249556174793E-8</c:v>
                </c:pt>
                <c:pt idx="47">
                  <c:v>6.20946585591748E-8</c:v>
                </c:pt>
                <c:pt idx="48">
                  <c:v>6.2850344741628327E-8</c:v>
                </c:pt>
                <c:pt idx="49">
                  <c:v>6.3589903957349044E-8</c:v>
                </c:pt>
                <c:pt idx="50">
                  <c:v>6.4313678700341769E-8</c:v>
                </c:pt>
                <c:pt idx="51">
                  <c:v>6.5022004261842911E-8</c:v>
                </c:pt>
                <c:pt idx="52">
                  <c:v>6.5715208878801186E-8</c:v>
                </c:pt>
                <c:pt idx="53">
                  <c:v>6.6393613879424312E-8</c:v>
                </c:pt>
                <c:pt idx="54">
                  <c:v>6.7057533825844978E-8</c:v>
                </c:pt>
                <c:pt idx="55">
                  <c:v>6.7707276653956956E-8</c:v>
                </c:pt>
                <c:pt idx="56">
                  <c:v>6.8343143810473451E-8</c:v>
                </c:pt>
                <c:pt idx="57">
                  <c:v>6.896543038725733E-8</c:v>
                </c:pt>
                <c:pt idx="58">
                  <c:v>6.957442525297321E-8</c:v>
                </c:pt>
                <c:pt idx="59">
                  <c:v>7.0170411182110516E-8</c:v>
                </c:pt>
                <c:pt idx="60">
                  <c:v>7.0753664981425562E-8</c:v>
                </c:pt>
                <c:pt idx="61">
                  <c:v>7.1324457613850561E-8</c:v>
                </c:pt>
                <c:pt idx="62">
                  <c:v>7.1883054319915907E-8</c:v>
                </c:pt>
                <c:pt idx="63">
                  <c:v>7.242971473673269E-8</c:v>
                </c:pt>
                <c:pt idx="64">
                  <c:v>7.2964693014580167E-8</c:v>
                </c:pt>
                <c:pt idx="65">
                  <c:v>7.3488237931143612E-8</c:v>
                </c:pt>
                <c:pt idx="66">
                  <c:v>7.4000593003446386E-8</c:v>
                </c:pt>
                <c:pt idx="67">
                  <c:v>7.4501996597519289E-8</c:v>
                </c:pt>
                <c:pt idx="68">
                  <c:v>7.499268203585096E-8</c:v>
                </c:pt>
                <c:pt idx="69">
                  <c:v>7.5472877702660186E-8</c:v>
                </c:pt>
                <c:pt idx="70">
                  <c:v>7.5942807147032368E-8</c:v>
                </c:pt>
                <c:pt idx="71">
                  <c:v>7.6402689183960597E-8</c:v>
                </c:pt>
                <c:pt idx="72">
                  <c:v>7.68527379933312E-8</c:v>
                </c:pt>
                <c:pt idx="73">
                  <c:v>7.7293163216893597E-8</c:v>
                </c:pt>
                <c:pt idx="74">
                  <c:v>7.7724170053252865E-8</c:v>
                </c:pt>
                <c:pt idx="75">
                  <c:v>7.8145959350923315E-8</c:v>
                </c:pt>
                <c:pt idx="76">
                  <c:v>7.8558727699480229E-8</c:v>
                </c:pt>
                <c:pt idx="77">
                  <c:v>7.8962667518847411E-8</c:v>
                </c:pt>
                <c:pt idx="78">
                  <c:v>7.9357967146755699E-8</c:v>
                </c:pt>
                <c:pt idx="79">
                  <c:v>7.9744810924408616E-8</c:v>
                </c:pt>
                <c:pt idx="80">
                  <c:v>8.0123379280390491E-8</c:v>
                </c:pt>
                <c:pt idx="81">
                  <c:v>8.0493848812850453E-8</c:v>
                </c:pt>
                <c:pt idx="82">
                  <c:v>8.0856392369997066E-8</c:v>
                </c:pt>
                <c:pt idx="83">
                  <c:v>8.1211179128936082E-8</c:v>
                </c:pt>
                <c:pt idx="84">
                  <c:v>8.1558374672884404E-8</c:v>
                </c:pt>
                <c:pt idx="85">
                  <c:v>8.1898141066791901E-8</c:v>
                </c:pt>
                <c:pt idx="86">
                  <c:v>8.2230636931402835E-8</c:v>
                </c:pt>
                <c:pt idx="87">
                  <c:v>8.2556017515787714E-8</c:v>
                </c:pt>
                <c:pt idx="88">
                  <c:v>8.2874434768375487E-8</c:v>
                </c:pt>
                <c:pt idx="89">
                  <c:v>8.3186037406516856E-8</c:v>
                </c:pt>
                <c:pt idx="90">
                  <c:v>8.3490970984606728E-8</c:v>
                </c:pt>
                <c:pt idx="91">
                  <c:v>8.3789377960795654E-8</c:v>
                </c:pt>
                <c:pt idx="92">
                  <c:v>8.4081397762317497E-8</c:v>
                </c:pt>
                <c:pt idx="93">
                  <c:v>8.4367166849461785E-8</c:v>
                </c:pt>
                <c:pt idx="94">
                  <c:v>8.4646818778217441E-8</c:v>
                </c:pt>
                <c:pt idx="95">
                  <c:v>8.4920484261614468E-8</c:v>
                </c:pt>
                <c:pt idx="96">
                  <c:v>8.5188291229790594E-8</c:v>
                </c:pt>
                <c:pt idx="97">
                  <c:v>8.5450364888806982E-8</c:v>
                </c:pt>
                <c:pt idx="98">
                  <c:v>8.5706827778240156E-8</c:v>
                </c:pt>
                <c:pt idx="99">
                  <c:v>8.5957799827573219E-8</c:v>
                </c:pt>
                <c:pt idx="100">
                  <c:v>8.6203398411411389E-8</c:v>
                </c:pt>
                <c:pt idx="101">
                  <c:v>8.6443738403545719E-8</c:v>
                </c:pt>
                <c:pt idx="102">
                  <c:v>8.6443738403545719E-8</c:v>
                </c:pt>
                <c:pt idx="103">
                  <c:v>8.6443738403545719E-8</c:v>
                </c:pt>
                <c:pt idx="104">
                  <c:v>8.6443738403545719E-8</c:v>
                </c:pt>
                <c:pt idx="105">
                  <c:v>8.6443738403545719E-8</c:v>
                </c:pt>
                <c:pt idx="106">
                  <c:v>8.6443738403545719E-8</c:v>
                </c:pt>
                <c:pt idx="107">
                  <c:v>8.6443738403545719E-8</c:v>
                </c:pt>
                <c:pt idx="108">
                  <c:v>8.6443738403545719E-8</c:v>
                </c:pt>
                <c:pt idx="109">
                  <c:v>8.6443738403545719E-8</c:v>
                </c:pt>
                <c:pt idx="110">
                  <c:v>8.6443738403545719E-8</c:v>
                </c:pt>
                <c:pt idx="111">
                  <c:v>8.6443738403545719E-8</c:v>
                </c:pt>
                <c:pt idx="112">
                  <c:v>8.6443738403545719E-8</c:v>
                </c:pt>
                <c:pt idx="113">
                  <c:v>8.6443738403545719E-8</c:v>
                </c:pt>
                <c:pt idx="114">
                  <c:v>8.6443738403545719E-8</c:v>
                </c:pt>
                <c:pt idx="115">
                  <c:v>8.6443738403545719E-8</c:v>
                </c:pt>
                <c:pt idx="116">
                  <c:v>8.6443738403545719E-8</c:v>
                </c:pt>
                <c:pt idx="117">
                  <c:v>8.6443738403545719E-8</c:v>
                </c:pt>
                <c:pt idx="118">
                  <c:v>8.6443738403545719E-8</c:v>
                </c:pt>
                <c:pt idx="119">
                  <c:v>8.6443738403545719E-8</c:v>
                </c:pt>
                <c:pt idx="120">
                  <c:v>8.6443738403545719E-8</c:v>
                </c:pt>
                <c:pt idx="121">
                  <c:v>8.6443738403545719E-8</c:v>
                </c:pt>
                <c:pt idx="122">
                  <c:v>8.6443738403545719E-8</c:v>
                </c:pt>
                <c:pt idx="123">
                  <c:v>8.6443738403545719E-8</c:v>
                </c:pt>
                <c:pt idx="124">
                  <c:v>8.6443738403545719E-8</c:v>
                </c:pt>
                <c:pt idx="125">
                  <c:v>8.6443738403545719E-8</c:v>
                </c:pt>
                <c:pt idx="126">
                  <c:v>8.6443738403545719E-8</c:v>
                </c:pt>
                <c:pt idx="127">
                  <c:v>8.6443738403545719E-8</c:v>
                </c:pt>
                <c:pt idx="128">
                  <c:v>8.6443738403545719E-8</c:v>
                </c:pt>
                <c:pt idx="129">
                  <c:v>8.6443738403545719E-8</c:v>
                </c:pt>
                <c:pt idx="130">
                  <c:v>8.6443738403545719E-8</c:v>
                </c:pt>
                <c:pt idx="131">
                  <c:v>8.6443738403545719E-8</c:v>
                </c:pt>
                <c:pt idx="132">
                  <c:v>8.6443738403545719E-8</c:v>
                </c:pt>
                <c:pt idx="133">
                  <c:v>8.6443738403545719E-8</c:v>
                </c:pt>
                <c:pt idx="134">
                  <c:v>8.6443738403545719E-8</c:v>
                </c:pt>
                <c:pt idx="135">
                  <c:v>8.6443738403545719E-8</c:v>
                </c:pt>
                <c:pt idx="136">
                  <c:v>8.6443738403545719E-8</c:v>
                </c:pt>
                <c:pt idx="137">
                  <c:v>8.6443738403545719E-8</c:v>
                </c:pt>
                <c:pt idx="138">
                  <c:v>8.6443738403545719E-8</c:v>
                </c:pt>
                <c:pt idx="139">
                  <c:v>8.6443738403545719E-8</c:v>
                </c:pt>
                <c:pt idx="140">
                  <c:v>8.6443738403545719E-8</c:v>
                </c:pt>
                <c:pt idx="141">
                  <c:v>8.6443738403545719E-8</c:v>
                </c:pt>
                <c:pt idx="142">
                  <c:v>8.6443738403545719E-8</c:v>
                </c:pt>
                <c:pt idx="143">
                  <c:v>8.6443738403545719E-8</c:v>
                </c:pt>
                <c:pt idx="144">
                  <c:v>8.6443738403545719E-8</c:v>
                </c:pt>
                <c:pt idx="145">
                  <c:v>8.6443738403545719E-8</c:v>
                </c:pt>
                <c:pt idx="146">
                  <c:v>8.6443738403545719E-8</c:v>
                </c:pt>
                <c:pt idx="147">
                  <c:v>8.6443738403545719E-8</c:v>
                </c:pt>
                <c:pt idx="148">
                  <c:v>8.6443738403545719E-8</c:v>
                </c:pt>
                <c:pt idx="149">
                  <c:v>8.6443738403545719E-8</c:v>
                </c:pt>
                <c:pt idx="150">
                  <c:v>8.6443738403545719E-8</c:v>
                </c:pt>
                <c:pt idx="151">
                  <c:v>8.6443738403545719E-8</c:v>
                </c:pt>
                <c:pt idx="152">
                  <c:v>8.6443738403545719E-8</c:v>
                </c:pt>
                <c:pt idx="153">
                  <c:v>8.6443738403545719E-8</c:v>
                </c:pt>
                <c:pt idx="154">
                  <c:v>8.6443738403545719E-8</c:v>
                </c:pt>
                <c:pt idx="155">
                  <c:v>8.6443738403545719E-8</c:v>
                </c:pt>
                <c:pt idx="156">
                  <c:v>8.6443738403545719E-8</c:v>
                </c:pt>
                <c:pt idx="157">
                  <c:v>8.6443738403545719E-8</c:v>
                </c:pt>
                <c:pt idx="158">
                  <c:v>8.6443738403545719E-8</c:v>
                </c:pt>
                <c:pt idx="159">
                  <c:v>8.6443738403545719E-8</c:v>
                </c:pt>
                <c:pt idx="160">
                  <c:v>8.6443738403545719E-8</c:v>
                </c:pt>
                <c:pt idx="161">
                  <c:v>8.6443738403545719E-8</c:v>
                </c:pt>
                <c:pt idx="162">
                  <c:v>8.6443738403545719E-8</c:v>
                </c:pt>
                <c:pt idx="163">
                  <c:v>8.6443738403545719E-8</c:v>
                </c:pt>
                <c:pt idx="164">
                  <c:v>8.6443738403545719E-8</c:v>
                </c:pt>
                <c:pt idx="165">
                  <c:v>8.6443738403545719E-8</c:v>
                </c:pt>
                <c:pt idx="166">
                  <c:v>8.6443738403545719E-8</c:v>
                </c:pt>
                <c:pt idx="167">
                  <c:v>8.6443738403545719E-8</c:v>
                </c:pt>
                <c:pt idx="168">
                  <c:v>8.6443738403545719E-8</c:v>
                </c:pt>
                <c:pt idx="169">
                  <c:v>8.6443738403545719E-8</c:v>
                </c:pt>
                <c:pt idx="170">
                  <c:v>8.6443738403545719E-8</c:v>
                </c:pt>
                <c:pt idx="171">
                  <c:v>8.6443738403545719E-8</c:v>
                </c:pt>
                <c:pt idx="172">
                  <c:v>8.6443738403545719E-8</c:v>
                </c:pt>
                <c:pt idx="173">
                  <c:v>8.6443738403545719E-8</c:v>
                </c:pt>
                <c:pt idx="174">
                  <c:v>8.6443738403545719E-8</c:v>
                </c:pt>
                <c:pt idx="175">
                  <c:v>8.6443738403545719E-8</c:v>
                </c:pt>
                <c:pt idx="176">
                  <c:v>8.6443738403545719E-8</c:v>
                </c:pt>
                <c:pt idx="177">
                  <c:v>8.6443738403545719E-8</c:v>
                </c:pt>
                <c:pt idx="178">
                  <c:v>8.6443738403545719E-8</c:v>
                </c:pt>
                <c:pt idx="179">
                  <c:v>8.6443738403545719E-8</c:v>
                </c:pt>
                <c:pt idx="180">
                  <c:v>8.6443738403545719E-8</c:v>
                </c:pt>
                <c:pt idx="181">
                  <c:v>8.6443738403545719E-8</c:v>
                </c:pt>
                <c:pt idx="182">
                  <c:v>8.6443738403545719E-8</c:v>
                </c:pt>
                <c:pt idx="183">
                  <c:v>8.6443738403545719E-8</c:v>
                </c:pt>
                <c:pt idx="184">
                  <c:v>8.6443738403545719E-8</c:v>
                </c:pt>
                <c:pt idx="185">
                  <c:v>8.6443738403545719E-8</c:v>
                </c:pt>
                <c:pt idx="186">
                  <c:v>8.6443738403545719E-8</c:v>
                </c:pt>
                <c:pt idx="187">
                  <c:v>8.6443738403545719E-8</c:v>
                </c:pt>
                <c:pt idx="188">
                  <c:v>8.6443738403545719E-8</c:v>
                </c:pt>
                <c:pt idx="189">
                  <c:v>8.6443738403545719E-8</c:v>
                </c:pt>
                <c:pt idx="190">
                  <c:v>8.6443738403545719E-8</c:v>
                </c:pt>
                <c:pt idx="191">
                  <c:v>8.6443738403545719E-8</c:v>
                </c:pt>
                <c:pt idx="192">
                  <c:v>8.6443738403545719E-8</c:v>
                </c:pt>
                <c:pt idx="193">
                  <c:v>8.6443738403545719E-8</c:v>
                </c:pt>
                <c:pt idx="194">
                  <c:v>8.6443738403545719E-8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09-49A0-BE36-AFAB4ACCFDCA}"/>
            </c:ext>
          </c:extLst>
        </c:ser>
        <c:ser>
          <c:idx val="5"/>
          <c:order val="5"/>
          <c:tx>
            <c:strRef>
              <c:f>Model!$W$4</c:f>
              <c:strCache>
                <c:ptCount val="1"/>
                <c:pt idx="0">
                  <c:v>NO2*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Model!$W$5:$W$199</c:f>
              <c:numCache>
                <c:formatCode>0.0000</c:formatCode>
                <c:ptCount val="195"/>
                <c:pt idx="0">
                  <c:v>0</c:v>
                </c:pt>
                <c:pt idx="1">
                  <c:v>2.264058381018438E-11</c:v>
                </c:pt>
                <c:pt idx="2">
                  <c:v>4.5272376628664494E-11</c:v>
                </c:pt>
                <c:pt idx="3">
                  <c:v>6.7895244004832286E-11</c:v>
                </c:pt>
                <c:pt idx="4">
                  <c:v>9.0509063740343491E-11</c:v>
                </c:pt>
                <c:pt idx="5">
                  <c:v>1.1311371700273647E-10</c:v>
                </c:pt>
                <c:pt idx="6">
                  <c:v>1.357090882437616E-10</c:v>
                </c:pt>
                <c:pt idx="7">
                  <c:v>1.5829506511951829E-10</c:v>
                </c:pt>
                <c:pt idx="8">
                  <c:v>1.8087153841236808E-10</c:v>
                </c:pt>
                <c:pt idx="9">
                  <c:v>2.0343840195458891E-10</c:v>
                </c:pt>
                <c:pt idx="10">
                  <c:v>2.2599555255373912E-10</c:v>
                </c:pt>
                <c:pt idx="11">
                  <c:v>2.4854288991969829E-10</c:v>
                </c:pt>
                <c:pt idx="12">
                  <c:v>2.7108031659335228E-10</c:v>
                </c:pt>
                <c:pt idx="13">
                  <c:v>2.9360773787689222E-10</c:v>
                </c:pt>
                <c:pt idx="14">
                  <c:v>3.1612506176569425E-10</c:v>
                </c:pt>
                <c:pt idx="15">
                  <c:v>3.3863219888175084E-10</c:v>
                </c:pt>
                <c:pt idx="16">
                  <c:v>3.6112906240862165E-10</c:v>
                </c:pt>
                <c:pt idx="17">
                  <c:v>3.8361556802787505E-10</c:v>
                </c:pt>
                <c:pt idx="18">
                  <c:v>4.0609163385698899E-10</c:v>
                </c:pt>
                <c:pt idx="19">
                  <c:v>4.2855718038868392E-10</c:v>
                </c:pt>
                <c:pt idx="20">
                  <c:v>4.5101213043165583E-10</c:v>
                </c:pt>
                <c:pt idx="21">
                  <c:v>4.7345640905268543E-10</c:v>
                </c:pt>
                <c:pt idx="22">
                  <c:v>4.9588994352008899E-10</c:v>
                </c:pt>
                <c:pt idx="23">
                  <c:v>5.1831266324848975E-10</c:v>
                </c:pt>
                <c:pt idx="24">
                  <c:v>5.4072449974487781E-10</c:v>
                </c:pt>
                <c:pt idx="25">
                  <c:v>5.6312538655593368E-10</c:v>
                </c:pt>
                <c:pt idx="26">
                  <c:v>5.8551525921658938E-10</c:v>
                </c:pt>
                <c:pt idx="27">
                  <c:v>6.0789405519979899E-10</c:v>
                </c:pt>
                <c:pt idx="28">
                  <c:v>6.3026171386749569E-10</c:v>
                </c:pt>
                <c:pt idx="29">
                  <c:v>6.5261817642270754E-10</c:v>
                </c:pt>
                <c:pt idx="30">
                  <c:v>6.7496338586281069E-10</c:v>
                </c:pt>
                <c:pt idx="31">
                  <c:v>6.9729728693389023E-10</c:v>
                </c:pt>
                <c:pt idx="32">
                  <c:v>7.1961982608619101E-10</c:v>
                </c:pt>
                <c:pt idx="33">
                  <c:v>7.4193095143062948E-10</c:v>
                </c:pt>
                <c:pt idx="34">
                  <c:v>7.6423061269634832E-10</c:v>
                </c:pt>
                <c:pt idx="35">
                  <c:v>7.8651876118928621E-10</c:v>
                </c:pt>
                <c:pt idx="36">
                  <c:v>8.0879534975174398E-10</c:v>
                </c:pt>
                <c:pt idx="37">
                  <c:v>8.3106033272292342E-10</c:v>
                </c:pt>
                <c:pt idx="38">
                  <c:v>8.5331366590042168E-10</c:v>
                </c:pt>
                <c:pt idx="39">
                  <c:v>8.7555530650264989E-10</c:v>
                </c:pt>
                <c:pt idx="40">
                  <c:v>8.9778521313216677E-10</c:v>
                </c:pt>
                <c:pt idx="41">
                  <c:v>9.2000334573990121E-10</c:v>
                </c:pt>
                <c:pt idx="42">
                  <c:v>9.4220966559024491E-10</c:v>
                </c:pt>
                <c:pt idx="43">
                  <c:v>9.6440413522699223E-10</c:v>
                </c:pt>
                <c:pt idx="44">
                  <c:v>9.8658671844011694E-10</c:v>
                </c:pt>
                <c:pt idx="45">
                  <c:v>1.0087573802333543E-9</c:v>
                </c:pt>
                <c:pt idx="46">
                  <c:v>1.030916086792584E-9</c:v>
                </c:pt>
                <c:pt idx="47">
                  <c:v>1.0530628054549848E-9</c:v>
                </c:pt>
                <c:pt idx="48">
                  <c:v>1.0751975046789467E-9</c:v>
                </c:pt>
                <c:pt idx="49">
                  <c:v>1.0973201540147285E-9</c:v>
                </c:pt>
                <c:pt idx="50">
                  <c:v>1.1194307240758334E-9</c:v>
                </c:pt>
                <c:pt idx="51">
                  <c:v>1.1415291865110955E-9</c:v>
                </c:pt>
                <c:pt idx="52">
                  <c:v>1.1636155139774575E-9</c:v>
                </c:pt>
                <c:pt idx="53">
                  <c:v>1.1856896801134183E-9</c:v>
                </c:pt>
                <c:pt idx="54">
                  <c:v>1.2077516595131488E-9</c:v>
                </c:pt>
                <c:pt idx="55">
                  <c:v>1.2298014277012398E-9</c:v>
                </c:pt>
                <c:pt idx="56">
                  <c:v>1.2518389611080895E-9</c:v>
                </c:pt>
                <c:pt idx="57">
                  <c:v>1.2738642370458988E-9</c:v>
                </c:pt>
                <c:pt idx="58">
                  <c:v>1.2958772336852687E-9</c:v>
                </c:pt>
                <c:pt idx="59">
                  <c:v>1.3178779300323821E-9</c:v>
                </c:pt>
                <c:pt idx="60">
                  <c:v>1.3398663059067589E-9</c:v>
                </c:pt>
                <c:pt idx="61">
                  <c:v>1.361842341919569E-9</c:v>
                </c:pt>
                <c:pt idx="62">
                  <c:v>1.3838060194524882E-9</c:v>
                </c:pt>
                <c:pt idx="63">
                  <c:v>1.4057573206370922E-9</c:v>
                </c:pt>
                <c:pt idx="64">
                  <c:v>1.4276962283347621E-9</c:v>
                </c:pt>
                <c:pt idx="65">
                  <c:v>1.4496227261171031E-9</c:v>
                </c:pt>
                <c:pt idx="66">
                  <c:v>1.4715367982468586E-9</c:v>
                </c:pt>
                <c:pt idx="67">
                  <c:v>1.4934384296593029E-9</c:v>
                </c:pt>
                <c:pt idx="68">
                  <c:v>1.5153276059441096E-9</c:v>
                </c:pt>
                <c:pt idx="69">
                  <c:v>1.5372043133276794E-9</c:v>
                </c:pt>
                <c:pt idx="70">
                  <c:v>1.5590685386559165E-9</c:v>
                </c:pt>
                <c:pt idx="71">
                  <c:v>1.5809202693774456E-9</c:v>
                </c:pt>
                <c:pt idx="72">
                  <c:v>1.6027594935272526E-9</c:v>
                </c:pt>
                <c:pt idx="73">
                  <c:v>1.6245861997107495E-9</c:v>
                </c:pt>
                <c:pt idx="74">
                  <c:v>1.6464003770882406E-9</c:v>
                </c:pt>
                <c:pt idx="75">
                  <c:v>1.6682020153597901E-9</c:v>
                </c:pt>
                <c:pt idx="76">
                  <c:v>1.689991104750473E-9</c:v>
                </c:pt>
                <c:pt idx="77">
                  <c:v>1.7117676359960138E-9</c:v>
                </c:pt>
                <c:pt idx="78">
                  <c:v>1.7335316003287851E-9</c:v>
                </c:pt>
                <c:pt idx="79">
                  <c:v>1.7552829894641675E-9</c:v>
                </c:pt>
                <c:pt idx="80">
                  <c:v>1.7770217955872701E-9</c:v>
                </c:pt>
                <c:pt idx="81">
                  <c:v>1.7987480113399809E-9</c:v>
                </c:pt>
                <c:pt idx="82">
                  <c:v>1.8204616298083621E-9</c:v>
                </c:pt>
                <c:pt idx="83">
                  <c:v>1.8421626445103646E-9</c:v>
                </c:pt>
                <c:pt idx="84">
                  <c:v>1.8638510493838665E-9</c:v>
                </c:pt>
                <c:pt idx="85">
                  <c:v>1.8855268387750173E-9</c:v>
                </c:pt>
                <c:pt idx="86">
                  <c:v>1.9071900074268845E-9</c:v>
                </c:pt>
                <c:pt idx="87">
                  <c:v>1.928840550468405E-9</c:v>
                </c:pt>
                <c:pt idx="88">
                  <c:v>1.9504784634036057E-9</c:v>
                </c:pt>
                <c:pt idx="89">
                  <c:v>1.9721037421011285E-9</c:v>
                </c:pt>
                <c:pt idx="90">
                  <c:v>1.9937163827840046E-9</c:v>
                </c:pt>
                <c:pt idx="91">
                  <c:v>2.0153163820197178E-9</c:v>
                </c:pt>
                <c:pt idx="92">
                  <c:v>2.0369037367105124E-9</c:v>
                </c:pt>
                <c:pt idx="93">
                  <c:v>2.0584784440839621E-9</c:v>
                </c:pt>
                <c:pt idx="94">
                  <c:v>2.0800405016837873E-9</c:v>
                </c:pt>
                <c:pt idx="95">
                  <c:v>2.1015899073609053E-9</c:v>
                </c:pt>
                <c:pt idx="96">
                  <c:v>2.1231266592647331E-9</c:v>
                </c:pt>
                <c:pt idx="97">
                  <c:v>2.1446507558346949E-9</c:v>
                </c:pt>
                <c:pt idx="98">
                  <c:v>2.1661621957919765E-9</c:v>
                </c:pt>
                <c:pt idx="99">
                  <c:v>2.1876609781314859E-9</c:v>
                </c:pt>
                <c:pt idx="100">
                  <c:v>2.2091471021140249E-9</c:v>
                </c:pt>
                <c:pt idx="101">
                  <c:v>2.230620567258676E-9</c:v>
                </c:pt>
                <c:pt idx="102">
                  <c:v>2.230620567258676E-9</c:v>
                </c:pt>
                <c:pt idx="103">
                  <c:v>2.230620567258676E-9</c:v>
                </c:pt>
                <c:pt idx="104">
                  <c:v>2.230620567258676E-9</c:v>
                </c:pt>
                <c:pt idx="105">
                  <c:v>2.230620567258676E-9</c:v>
                </c:pt>
                <c:pt idx="106">
                  <c:v>2.230620567258676E-9</c:v>
                </c:pt>
                <c:pt idx="107">
                  <c:v>2.230620567258676E-9</c:v>
                </c:pt>
                <c:pt idx="108">
                  <c:v>2.230620567258676E-9</c:v>
                </c:pt>
                <c:pt idx="109">
                  <c:v>2.230620567258676E-9</c:v>
                </c:pt>
                <c:pt idx="110">
                  <c:v>2.230620567258676E-9</c:v>
                </c:pt>
                <c:pt idx="111">
                  <c:v>2.230620567258676E-9</c:v>
                </c:pt>
                <c:pt idx="112">
                  <c:v>2.230620567258676E-9</c:v>
                </c:pt>
                <c:pt idx="113">
                  <c:v>2.230620567258676E-9</c:v>
                </c:pt>
                <c:pt idx="114">
                  <c:v>2.230620567258676E-9</c:v>
                </c:pt>
                <c:pt idx="115">
                  <c:v>2.230620567258676E-9</c:v>
                </c:pt>
                <c:pt idx="116">
                  <c:v>2.230620567258676E-9</c:v>
                </c:pt>
                <c:pt idx="117">
                  <c:v>2.230620567258676E-9</c:v>
                </c:pt>
                <c:pt idx="118">
                  <c:v>2.230620567258676E-9</c:v>
                </c:pt>
                <c:pt idx="119">
                  <c:v>2.230620567258676E-9</c:v>
                </c:pt>
                <c:pt idx="120">
                  <c:v>2.230620567258676E-9</c:v>
                </c:pt>
                <c:pt idx="121">
                  <c:v>2.230620567258676E-9</c:v>
                </c:pt>
                <c:pt idx="122">
                  <c:v>2.230620567258676E-9</c:v>
                </c:pt>
                <c:pt idx="123">
                  <c:v>2.230620567258676E-9</c:v>
                </c:pt>
                <c:pt idx="124">
                  <c:v>2.230620567258676E-9</c:v>
                </c:pt>
                <c:pt idx="125">
                  <c:v>2.230620567258676E-9</c:v>
                </c:pt>
                <c:pt idx="126">
                  <c:v>2.230620567258676E-9</c:v>
                </c:pt>
                <c:pt idx="127">
                  <c:v>2.230620567258676E-9</c:v>
                </c:pt>
                <c:pt idx="128">
                  <c:v>2.230620567258676E-9</c:v>
                </c:pt>
                <c:pt idx="129">
                  <c:v>2.230620567258676E-9</c:v>
                </c:pt>
                <c:pt idx="130">
                  <c:v>2.230620567258676E-9</c:v>
                </c:pt>
                <c:pt idx="131">
                  <c:v>2.230620567258676E-9</c:v>
                </c:pt>
                <c:pt idx="132">
                  <c:v>2.230620567258676E-9</c:v>
                </c:pt>
                <c:pt idx="133">
                  <c:v>2.230620567258676E-9</c:v>
                </c:pt>
                <c:pt idx="134">
                  <c:v>2.230620567258676E-9</c:v>
                </c:pt>
                <c:pt idx="135">
                  <c:v>2.230620567258676E-9</c:v>
                </c:pt>
                <c:pt idx="136">
                  <c:v>2.230620567258676E-9</c:v>
                </c:pt>
                <c:pt idx="137">
                  <c:v>2.230620567258676E-9</c:v>
                </c:pt>
                <c:pt idx="138">
                  <c:v>2.230620567258676E-9</c:v>
                </c:pt>
                <c:pt idx="139">
                  <c:v>2.230620567258676E-9</c:v>
                </c:pt>
                <c:pt idx="140">
                  <c:v>2.230620567258676E-9</c:v>
                </c:pt>
                <c:pt idx="141">
                  <c:v>2.230620567258676E-9</c:v>
                </c:pt>
                <c:pt idx="142">
                  <c:v>2.230620567258676E-9</c:v>
                </c:pt>
                <c:pt idx="143">
                  <c:v>2.230620567258676E-9</c:v>
                </c:pt>
                <c:pt idx="144">
                  <c:v>2.230620567258676E-9</c:v>
                </c:pt>
                <c:pt idx="145">
                  <c:v>2.230620567258676E-9</c:v>
                </c:pt>
                <c:pt idx="146">
                  <c:v>2.230620567258676E-9</c:v>
                </c:pt>
                <c:pt idx="147">
                  <c:v>2.230620567258676E-9</c:v>
                </c:pt>
                <c:pt idx="148">
                  <c:v>2.230620567258676E-9</c:v>
                </c:pt>
                <c:pt idx="149">
                  <c:v>2.230620567258676E-9</c:v>
                </c:pt>
                <c:pt idx="150">
                  <c:v>2.230620567258676E-9</c:v>
                </c:pt>
                <c:pt idx="151">
                  <c:v>2.230620567258676E-9</c:v>
                </c:pt>
                <c:pt idx="152">
                  <c:v>2.230620567258676E-9</c:v>
                </c:pt>
                <c:pt idx="153">
                  <c:v>2.230620567258676E-9</c:v>
                </c:pt>
                <c:pt idx="154">
                  <c:v>2.230620567258676E-9</c:v>
                </c:pt>
                <c:pt idx="155">
                  <c:v>2.230620567258676E-9</c:v>
                </c:pt>
                <c:pt idx="156">
                  <c:v>2.230620567258676E-9</c:v>
                </c:pt>
                <c:pt idx="157">
                  <c:v>2.230620567258676E-9</c:v>
                </c:pt>
                <c:pt idx="158">
                  <c:v>2.230620567258676E-9</c:v>
                </c:pt>
                <c:pt idx="159">
                  <c:v>2.230620567258676E-9</c:v>
                </c:pt>
                <c:pt idx="160">
                  <c:v>2.230620567258676E-9</c:v>
                </c:pt>
                <c:pt idx="161">
                  <c:v>2.230620567258676E-9</c:v>
                </c:pt>
                <c:pt idx="162">
                  <c:v>2.230620567258676E-9</c:v>
                </c:pt>
                <c:pt idx="163">
                  <c:v>2.230620567258676E-9</c:v>
                </c:pt>
                <c:pt idx="164">
                  <c:v>2.230620567258676E-9</c:v>
                </c:pt>
                <c:pt idx="165">
                  <c:v>2.230620567258676E-9</c:v>
                </c:pt>
                <c:pt idx="166">
                  <c:v>2.230620567258676E-9</c:v>
                </c:pt>
                <c:pt idx="167">
                  <c:v>2.230620567258676E-9</c:v>
                </c:pt>
                <c:pt idx="168">
                  <c:v>2.230620567258676E-9</c:v>
                </c:pt>
                <c:pt idx="169">
                  <c:v>2.230620567258676E-9</c:v>
                </c:pt>
                <c:pt idx="170">
                  <c:v>2.230620567258676E-9</c:v>
                </c:pt>
                <c:pt idx="171">
                  <c:v>2.230620567258676E-9</c:v>
                </c:pt>
                <c:pt idx="172">
                  <c:v>2.230620567258676E-9</c:v>
                </c:pt>
                <c:pt idx="173">
                  <c:v>2.230620567258676E-9</c:v>
                </c:pt>
                <c:pt idx="174">
                  <c:v>2.230620567258676E-9</c:v>
                </c:pt>
                <c:pt idx="175">
                  <c:v>2.230620567258676E-9</c:v>
                </c:pt>
                <c:pt idx="176">
                  <c:v>2.230620567258676E-9</c:v>
                </c:pt>
                <c:pt idx="177">
                  <c:v>2.230620567258676E-9</c:v>
                </c:pt>
                <c:pt idx="178">
                  <c:v>2.230620567258676E-9</c:v>
                </c:pt>
                <c:pt idx="179">
                  <c:v>2.230620567258676E-9</c:v>
                </c:pt>
                <c:pt idx="180">
                  <c:v>2.230620567258676E-9</c:v>
                </c:pt>
                <c:pt idx="181">
                  <c:v>2.230620567258676E-9</c:v>
                </c:pt>
                <c:pt idx="182">
                  <c:v>2.230620567258676E-9</c:v>
                </c:pt>
                <c:pt idx="183">
                  <c:v>2.230620567258676E-9</c:v>
                </c:pt>
                <c:pt idx="184">
                  <c:v>2.230620567258676E-9</c:v>
                </c:pt>
                <c:pt idx="185">
                  <c:v>2.230620567258676E-9</c:v>
                </c:pt>
                <c:pt idx="186">
                  <c:v>2.230620567258676E-9</c:v>
                </c:pt>
                <c:pt idx="187">
                  <c:v>2.230620567258676E-9</c:v>
                </c:pt>
                <c:pt idx="188">
                  <c:v>2.230620567258676E-9</c:v>
                </c:pt>
                <c:pt idx="189">
                  <c:v>2.230620567258676E-9</c:v>
                </c:pt>
                <c:pt idx="190">
                  <c:v>2.230620567258676E-9</c:v>
                </c:pt>
                <c:pt idx="191">
                  <c:v>2.230620567258676E-9</c:v>
                </c:pt>
                <c:pt idx="192">
                  <c:v>2.230620567258676E-9</c:v>
                </c:pt>
                <c:pt idx="193">
                  <c:v>2.230620567258676E-9</c:v>
                </c:pt>
                <c:pt idx="194">
                  <c:v>2.230620567258676E-9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809-49A0-BE36-AFAB4ACCFDCA}"/>
            </c:ext>
          </c:extLst>
        </c:ser>
        <c:ser>
          <c:idx val="6"/>
          <c:order val="6"/>
          <c:tx>
            <c:strRef>
              <c:f>Model!$Q$4</c:f>
              <c:strCache>
                <c:ptCount val="1"/>
                <c:pt idx="0">
                  <c:v>*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1">
                  <a:lumMod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Model!$Q$5:$Q$199</c:f>
              <c:numCache>
                <c:formatCode>0.0000</c:formatCode>
                <c:ptCount val="195"/>
                <c:pt idx="0">
                  <c:v>1.7284918050081553E-2</c:v>
                </c:pt>
                <c:pt idx="1">
                  <c:v>1.7285901274647131E-2</c:v>
                </c:pt>
                <c:pt idx="2">
                  <c:v>1.7286858138226311E-2</c:v>
                </c:pt>
                <c:pt idx="3">
                  <c:v>1.7287794870967214E-2</c:v>
                </c:pt>
                <c:pt idx="4">
                  <c:v>1.7288711892887356E-2</c:v>
                </c:pt>
                <c:pt idx="5">
                  <c:v>1.7289609615482225E-2</c:v>
                </c:pt>
                <c:pt idx="6">
                  <c:v>1.7290488441888009E-2</c:v>
                </c:pt>
                <c:pt idx="7">
                  <c:v>1.7291348767041543E-2</c:v>
                </c:pt>
                <c:pt idx="8">
                  <c:v>1.7292190977837747E-2</c:v>
                </c:pt>
                <c:pt idx="9">
                  <c:v>1.7293015453284336E-2</c:v>
                </c:pt>
                <c:pt idx="10">
                  <c:v>1.7293822564653973E-2</c:v>
                </c:pt>
                <c:pt idx="11">
                  <c:v>1.7294612675633918E-2</c:v>
                </c:pt>
                <c:pt idx="12">
                  <c:v>1.7295386142472984E-2</c:v>
                </c:pt>
                <c:pt idx="13">
                  <c:v>1.7296143314126156E-2</c:v>
                </c:pt>
                <c:pt idx="14">
                  <c:v>1.7296884532396598E-2</c:v>
                </c:pt>
                <c:pt idx="15">
                  <c:v>1.7297610132075245E-2</c:v>
                </c:pt>
                <c:pt idx="16">
                  <c:v>1.7298320441077996E-2</c:v>
                </c:pt>
                <c:pt idx="17">
                  <c:v>1.7299015780580473E-2</c:v>
                </c:pt>
                <c:pt idx="18">
                  <c:v>1.7299696465150411E-2</c:v>
                </c:pt>
                <c:pt idx="19">
                  <c:v>1.7300362802877736E-2</c:v>
                </c:pt>
                <c:pt idx="20">
                  <c:v>1.7301015095502286E-2</c:v>
                </c:pt>
                <c:pt idx="21">
                  <c:v>1.7301653638539329E-2</c:v>
                </c:pt>
                <c:pt idx="22">
                  <c:v>1.7302278721402747E-2</c:v>
                </c:pt>
                <c:pt idx="23">
                  <c:v>1.7302890627526064E-2</c:v>
                </c:pt>
                <c:pt idx="24">
                  <c:v>1.7303489634481251E-2</c:v>
                </c:pt>
                <c:pt idx="25">
                  <c:v>1.7304076014095386E-2</c:v>
                </c:pt>
                <c:pt idx="26">
                  <c:v>1.7304650032565188E-2</c:v>
                </c:pt>
                <c:pt idx="27">
                  <c:v>1.730521195056944E-2</c:v>
                </c:pt>
                <c:pt idx="28">
                  <c:v>1.7305762023379394E-2</c:v>
                </c:pt>
                <c:pt idx="29">
                  <c:v>1.7306300500967018E-2</c:v>
                </c:pt>
                <c:pt idx="30">
                  <c:v>1.7306827628111414E-2</c:v>
                </c:pt>
                <c:pt idx="31">
                  <c:v>1.7307343644503096E-2</c:v>
                </c:pt>
                <c:pt idx="32">
                  <c:v>1.7307848784846428E-2</c:v>
                </c:pt>
                <c:pt idx="33">
                  <c:v>1.7308343278960081E-2</c:v>
                </c:pt>
                <c:pt idx="34">
                  <c:v>1.7308827351875649E-2</c:v>
                </c:pt>
                <c:pt idx="35">
                  <c:v>1.7309301223934374E-2</c:v>
                </c:pt>
                <c:pt idx="36">
                  <c:v>1.7309765110882062E-2</c:v>
                </c:pt>
                <c:pt idx="37">
                  <c:v>1.7310219223962187E-2</c:v>
                </c:pt>
                <c:pt idx="38">
                  <c:v>1.7310663770007242E-2</c:v>
                </c:pt>
                <c:pt idx="39">
                  <c:v>1.7311098951528325E-2</c:v>
                </c:pt>
                <c:pt idx="40">
                  <c:v>1.7311524966803028E-2</c:v>
                </c:pt>
                <c:pt idx="41">
                  <c:v>1.731194200996165E-2</c:v>
                </c:pt>
                <c:pt idx="42">
                  <c:v>1.7312350271071711E-2</c:v>
                </c:pt>
                <c:pt idx="43">
                  <c:v>1.7312749936220884E-2</c:v>
                </c:pt>
                <c:pt idx="44">
                  <c:v>1.7313141187598316E-2</c:v>
                </c:pt>
                <c:pt idx="45">
                  <c:v>1.7313524203574331E-2</c:v>
                </c:pt>
                <c:pt idx="46">
                  <c:v>1.7313899158778644E-2</c:v>
                </c:pt>
                <c:pt idx="47">
                  <c:v>1.7314266224177019E-2</c:v>
                </c:pt>
                <c:pt idx="48">
                  <c:v>1.7314625567146417E-2</c:v>
                </c:pt>
                <c:pt idx="49">
                  <c:v>1.7314977351548747E-2</c:v>
                </c:pt>
                <c:pt idx="50">
                  <c:v>1.731532173780307E-2</c:v>
                </c:pt>
                <c:pt idx="51">
                  <c:v>1.7315658882956435E-2</c:v>
                </c:pt>
                <c:pt idx="52">
                  <c:v>1.7315988940753386E-2</c:v>
                </c:pt>
                <c:pt idx="53">
                  <c:v>1.7316312061703948E-2</c:v>
                </c:pt>
                <c:pt idx="54">
                  <c:v>1.7316628393150433E-2</c:v>
                </c:pt>
                <c:pt idx="55">
                  <c:v>1.7316938079332787E-2</c:v>
                </c:pt>
                <c:pt idx="56">
                  <c:v>1.7317241261452749E-2</c:v>
                </c:pt>
                <c:pt idx="57">
                  <c:v>1.7317538077736654E-2</c:v>
                </c:pt>
                <c:pt idx="58">
                  <c:v>1.7317828663497042E-2</c:v>
                </c:pt>
                <c:pt idx="59">
                  <c:v>1.7318113151193013E-2</c:v>
                </c:pt>
                <c:pt idx="60">
                  <c:v>1.7318391670489368E-2</c:v>
                </c:pt>
                <c:pt idx="61">
                  <c:v>1.7318664348314611E-2</c:v>
                </c:pt>
                <c:pt idx="62">
                  <c:v>1.7318931308917717E-2</c:v>
                </c:pt>
                <c:pt idx="63">
                  <c:v>1.7319192673923848E-2</c:v>
                </c:pt>
                <c:pt idx="64">
                  <c:v>1.7319448562388862E-2</c:v>
                </c:pt>
                <c:pt idx="65">
                  <c:v>1.7319699090852798E-2</c:v>
                </c:pt>
                <c:pt idx="66">
                  <c:v>1.7319944373392248E-2</c:v>
                </c:pt>
                <c:pt idx="67">
                  <c:v>1.7320184521671649E-2</c:v>
                </c:pt>
                <c:pt idx="68">
                  <c:v>1.7320419644993614E-2</c:v>
                </c:pt>
                <c:pt idx="69">
                  <c:v>1.732064985034815E-2</c:v>
                </c:pt>
                <c:pt idx="70">
                  <c:v>1.7320875242460957E-2</c:v>
                </c:pt>
                <c:pt idx="71">
                  <c:v>1.7321095923840697E-2</c:v>
                </c:pt>
                <c:pt idx="72">
                  <c:v>1.7321311994825329E-2</c:v>
                </c:pt>
                <c:pt idx="73">
                  <c:v>1.7321523553627493E-2</c:v>
                </c:pt>
                <c:pt idx="74">
                  <c:v>1.7321730696378972E-2</c:v>
                </c:pt>
                <c:pt idx="75">
                  <c:v>1.7321933517174249E-2</c:v>
                </c:pt>
                <c:pt idx="76">
                  <c:v>1.7322132108113154E-2</c:v>
                </c:pt>
                <c:pt idx="77">
                  <c:v>1.7322326559342675E-2</c:v>
                </c:pt>
                <c:pt idx="78">
                  <c:v>1.7322516959097901E-2</c:v>
                </c:pt>
                <c:pt idx="79">
                  <c:v>1.7322703393742103E-2</c:v>
                </c:pt>
                <c:pt idx="80">
                  <c:v>1.7322885947806028E-2</c:v>
                </c:pt>
                <c:pt idx="81">
                  <c:v>1.7323064704026364E-2</c:v>
                </c:pt>
                <c:pt idx="82">
                  <c:v>1.7323239743383425E-2</c:v>
                </c:pt>
                <c:pt idx="83">
                  <c:v>1.7323411145138051E-2</c:v>
                </c:pt>
                <c:pt idx="84">
                  <c:v>1.7323578986867767E-2</c:v>
                </c:pt>
                <c:pt idx="85">
                  <c:v>1.7323743344502183E-2</c:v>
                </c:pt>
                <c:pt idx="86">
                  <c:v>1.732390429235766E-2</c:v>
                </c:pt>
                <c:pt idx="87">
                  <c:v>1.7324061903171283E-2</c:v>
                </c:pt>
                <c:pt idx="88">
                  <c:v>1.7324216248134097E-2</c:v>
                </c:pt>
                <c:pt idx="89">
                  <c:v>1.7324367396923692E-2</c:v>
                </c:pt>
                <c:pt idx="90">
                  <c:v>1.7324515417736094E-2</c:v>
                </c:pt>
                <c:pt idx="91">
                  <c:v>1.732466037731701E-2</c:v>
                </c:pt>
                <c:pt idx="92">
                  <c:v>1.7324802340992384E-2</c:v>
                </c:pt>
                <c:pt idx="93">
                  <c:v>1.7324941372698396E-2</c:v>
                </c:pt>
                <c:pt idx="94">
                  <c:v>1.7325077535010756E-2</c:v>
                </c:pt>
                <c:pt idx="95">
                  <c:v>1.7325210889173454E-2</c:v>
                </c:pt>
                <c:pt idx="96">
                  <c:v>1.7325341495126885E-2</c:v>
                </c:pt>
                <c:pt idx="97">
                  <c:v>1.7325469411535337E-2</c:v>
                </c:pt>
                <c:pt idx="98">
                  <c:v>1.7325594695814042E-2</c:v>
                </c:pt>
                <c:pt idx="99">
                  <c:v>1.732571740415555E-2</c:v>
                </c:pt>
                <c:pt idx="100">
                  <c:v>1.7325837591555551E-2</c:v>
                </c:pt>
                <c:pt idx="101">
                  <c:v>1.7325955311838243E-2</c:v>
                </c:pt>
                <c:pt idx="102">
                  <c:v>1.7325955311838243E-2</c:v>
                </c:pt>
                <c:pt idx="103">
                  <c:v>1.7325955311838243E-2</c:v>
                </c:pt>
                <c:pt idx="104">
                  <c:v>1.7325955311838243E-2</c:v>
                </c:pt>
                <c:pt idx="105">
                  <c:v>1.7325955311838243E-2</c:v>
                </c:pt>
                <c:pt idx="106">
                  <c:v>1.7325955311838243E-2</c:v>
                </c:pt>
                <c:pt idx="107">
                  <c:v>1.7325955311838243E-2</c:v>
                </c:pt>
                <c:pt idx="108">
                  <c:v>1.7325955311838243E-2</c:v>
                </c:pt>
                <c:pt idx="109">
                  <c:v>1.7325955311838243E-2</c:v>
                </c:pt>
                <c:pt idx="110">
                  <c:v>1.7325955311838243E-2</c:v>
                </c:pt>
                <c:pt idx="111">
                  <c:v>1.7325955311838243E-2</c:v>
                </c:pt>
                <c:pt idx="112">
                  <c:v>1.7325955311838243E-2</c:v>
                </c:pt>
                <c:pt idx="113">
                  <c:v>1.7325955311838243E-2</c:v>
                </c:pt>
                <c:pt idx="114">
                  <c:v>1.7325955311838243E-2</c:v>
                </c:pt>
                <c:pt idx="115">
                  <c:v>1.7325955311838243E-2</c:v>
                </c:pt>
                <c:pt idx="116">
                  <c:v>1.7325955311838243E-2</c:v>
                </c:pt>
                <c:pt idx="117">
                  <c:v>1.7325955311838243E-2</c:v>
                </c:pt>
                <c:pt idx="118">
                  <c:v>1.7325955311838243E-2</c:v>
                </c:pt>
                <c:pt idx="119">
                  <c:v>1.7325955311838243E-2</c:v>
                </c:pt>
                <c:pt idx="120">
                  <c:v>1.7325955311838243E-2</c:v>
                </c:pt>
                <c:pt idx="121">
                  <c:v>1.7325955311838243E-2</c:v>
                </c:pt>
                <c:pt idx="122">
                  <c:v>1.7325955311838243E-2</c:v>
                </c:pt>
                <c:pt idx="123">
                  <c:v>1.7325955311838243E-2</c:v>
                </c:pt>
                <c:pt idx="124">
                  <c:v>1.7325955311838243E-2</c:v>
                </c:pt>
                <c:pt idx="125">
                  <c:v>1.7325955311838243E-2</c:v>
                </c:pt>
                <c:pt idx="126">
                  <c:v>1.7325955311838243E-2</c:v>
                </c:pt>
                <c:pt idx="127">
                  <c:v>1.7325955311838243E-2</c:v>
                </c:pt>
                <c:pt idx="128">
                  <c:v>1.7325955311838243E-2</c:v>
                </c:pt>
                <c:pt idx="129">
                  <c:v>1.7325955311838243E-2</c:v>
                </c:pt>
                <c:pt idx="130">
                  <c:v>1.7325955311838243E-2</c:v>
                </c:pt>
                <c:pt idx="131">
                  <c:v>1.7325955311838243E-2</c:v>
                </c:pt>
                <c:pt idx="132">
                  <c:v>1.7325955311838243E-2</c:v>
                </c:pt>
                <c:pt idx="133">
                  <c:v>1.7325955311838243E-2</c:v>
                </c:pt>
                <c:pt idx="134">
                  <c:v>1.7325955311838243E-2</c:v>
                </c:pt>
                <c:pt idx="135">
                  <c:v>1.7325955311838243E-2</c:v>
                </c:pt>
                <c:pt idx="136">
                  <c:v>1.7325955311838243E-2</c:v>
                </c:pt>
                <c:pt idx="137">
                  <c:v>1.7325955311838243E-2</c:v>
                </c:pt>
                <c:pt idx="138">
                  <c:v>1.7325955311838243E-2</c:v>
                </c:pt>
                <c:pt idx="139">
                  <c:v>1.7325955311838243E-2</c:v>
                </c:pt>
                <c:pt idx="140">
                  <c:v>1.7325955311838243E-2</c:v>
                </c:pt>
                <c:pt idx="141">
                  <c:v>1.7325955311838243E-2</c:v>
                </c:pt>
                <c:pt idx="142">
                  <c:v>1.7325955311838243E-2</c:v>
                </c:pt>
                <c:pt idx="143">
                  <c:v>1.7325955311838243E-2</c:v>
                </c:pt>
                <c:pt idx="144">
                  <c:v>1.7325955311838243E-2</c:v>
                </c:pt>
                <c:pt idx="145">
                  <c:v>1.7325955311838243E-2</c:v>
                </c:pt>
                <c:pt idx="146">
                  <c:v>1.7325955311838243E-2</c:v>
                </c:pt>
                <c:pt idx="147">
                  <c:v>1.7325955311838243E-2</c:v>
                </c:pt>
                <c:pt idx="148">
                  <c:v>1.7325955311838243E-2</c:v>
                </c:pt>
                <c:pt idx="149">
                  <c:v>1.7325955311838243E-2</c:v>
                </c:pt>
                <c:pt idx="150">
                  <c:v>1.7325955311838243E-2</c:v>
                </c:pt>
                <c:pt idx="151">
                  <c:v>1.7325955311838243E-2</c:v>
                </c:pt>
                <c:pt idx="152">
                  <c:v>1.7325955311838243E-2</c:v>
                </c:pt>
                <c:pt idx="153">
                  <c:v>1.7325955311838243E-2</c:v>
                </c:pt>
                <c:pt idx="154">
                  <c:v>1.7325955311838243E-2</c:v>
                </c:pt>
                <c:pt idx="155">
                  <c:v>1.7325955311838243E-2</c:v>
                </c:pt>
                <c:pt idx="156">
                  <c:v>1.7325955311838243E-2</c:v>
                </c:pt>
                <c:pt idx="157">
                  <c:v>1.7325955311838243E-2</c:v>
                </c:pt>
                <c:pt idx="158">
                  <c:v>1.7325955311838243E-2</c:v>
                </c:pt>
                <c:pt idx="159">
                  <c:v>1.7325955311838243E-2</c:v>
                </c:pt>
                <c:pt idx="160">
                  <c:v>1.7325955311838243E-2</c:v>
                </c:pt>
                <c:pt idx="161">
                  <c:v>1.7325955311838243E-2</c:v>
                </c:pt>
                <c:pt idx="162">
                  <c:v>1.7325955311838243E-2</c:v>
                </c:pt>
                <c:pt idx="163">
                  <c:v>1.7325955311838243E-2</c:v>
                </c:pt>
                <c:pt idx="164">
                  <c:v>1.7325955311838243E-2</c:v>
                </c:pt>
                <c:pt idx="165">
                  <c:v>1.7325955311838243E-2</c:v>
                </c:pt>
                <c:pt idx="166">
                  <c:v>1.7325955311838243E-2</c:v>
                </c:pt>
                <c:pt idx="167">
                  <c:v>1.7325955311838243E-2</c:v>
                </c:pt>
                <c:pt idx="168">
                  <c:v>1.7325955311838243E-2</c:v>
                </c:pt>
                <c:pt idx="169">
                  <c:v>1.7325955311838243E-2</c:v>
                </c:pt>
                <c:pt idx="170">
                  <c:v>1.7325955311838243E-2</c:v>
                </c:pt>
                <c:pt idx="171">
                  <c:v>1.7325955311838243E-2</c:v>
                </c:pt>
                <c:pt idx="172">
                  <c:v>1.7325955311838243E-2</c:v>
                </c:pt>
                <c:pt idx="173">
                  <c:v>1.7325955311838243E-2</c:v>
                </c:pt>
                <c:pt idx="174">
                  <c:v>1.7325955311838243E-2</c:v>
                </c:pt>
                <c:pt idx="175">
                  <c:v>1.7325955311838243E-2</c:v>
                </c:pt>
                <c:pt idx="176">
                  <c:v>1.7325955311838243E-2</c:v>
                </c:pt>
                <c:pt idx="177">
                  <c:v>1.7325955311838243E-2</c:v>
                </c:pt>
                <c:pt idx="178">
                  <c:v>1.7325955311838243E-2</c:v>
                </c:pt>
                <c:pt idx="179">
                  <c:v>1.7325955311838243E-2</c:v>
                </c:pt>
                <c:pt idx="180">
                  <c:v>1.7325955311838243E-2</c:v>
                </c:pt>
                <c:pt idx="181">
                  <c:v>1.7325955311838243E-2</c:v>
                </c:pt>
                <c:pt idx="182">
                  <c:v>1.7325955311838243E-2</c:v>
                </c:pt>
                <c:pt idx="183">
                  <c:v>1.7325955311838243E-2</c:v>
                </c:pt>
                <c:pt idx="184">
                  <c:v>1.7325955311838243E-2</c:v>
                </c:pt>
                <c:pt idx="185">
                  <c:v>1.7325955311838243E-2</c:v>
                </c:pt>
                <c:pt idx="186">
                  <c:v>1.7325955311838243E-2</c:v>
                </c:pt>
                <c:pt idx="187">
                  <c:v>1.7325955311838243E-2</c:v>
                </c:pt>
                <c:pt idx="188">
                  <c:v>1.7325955311838243E-2</c:v>
                </c:pt>
                <c:pt idx="189">
                  <c:v>1.7325955311838243E-2</c:v>
                </c:pt>
                <c:pt idx="190">
                  <c:v>1.7325955311838243E-2</c:v>
                </c:pt>
                <c:pt idx="191">
                  <c:v>1.7325955311838243E-2</c:v>
                </c:pt>
                <c:pt idx="192">
                  <c:v>1.7325955311838243E-2</c:v>
                </c:pt>
                <c:pt idx="193">
                  <c:v>1.7325955311838243E-2</c:v>
                </c:pt>
                <c:pt idx="194">
                  <c:v>1.7325955311838243E-2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809-49A0-BE36-AFAB4ACCF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541424"/>
        <c:axId val="624542080"/>
      </c:scatterChart>
      <c:valAx>
        <c:axId val="62454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2080"/>
        <c:crosses val="autoZero"/>
        <c:crossBetween val="midCat"/>
      </c:valAx>
      <c:valAx>
        <c:axId val="62454208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1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Model!$M$4</c:f>
              <c:strCache>
                <c:ptCount val="1"/>
                <c:pt idx="0">
                  <c:v>P_O2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Model!$M$5:$M$199</c:f>
              <c:numCache>
                <c:formatCode>0.0000</c:formatCode>
                <c:ptCount val="195"/>
                <c:pt idx="0">
                  <c:v>0.10186337433832429</c:v>
                </c:pt>
                <c:pt idx="1">
                  <c:v>0.10185841655115048</c:v>
                </c:pt>
                <c:pt idx="2">
                  <c:v>0.10185361656329359</c:v>
                </c:pt>
                <c:pt idx="3">
                  <c:v>0.10184891866533977</c:v>
                </c:pt>
                <c:pt idx="4">
                  <c:v>0.10184432070382483</c:v>
                </c:pt>
                <c:pt idx="5">
                  <c:v>0.10183982056995934</c:v>
                </c:pt>
                <c:pt idx="6">
                  <c:v>0.10183541619873326</c:v>
                </c:pt>
                <c:pt idx="7">
                  <c:v>0.1018311055680374</c:v>
                </c:pt>
                <c:pt idx="8">
                  <c:v>0.10182688669780095</c:v>
                </c:pt>
                <c:pt idx="9">
                  <c:v>0.10182275764914535</c:v>
                </c:pt>
                <c:pt idx="10">
                  <c:v>0.10181871652355406</c:v>
                </c:pt>
                <c:pt idx="11">
                  <c:v>0.10181476146205751</c:v>
                </c:pt>
                <c:pt idx="12">
                  <c:v>0.10181089064443409</c:v>
                </c:pt>
                <c:pt idx="13">
                  <c:v>0.1018071022884257</c:v>
                </c:pt>
                <c:pt idx="14">
                  <c:v>0.10180339464896844</c:v>
                </c:pt>
                <c:pt idx="15">
                  <c:v>0.10179976601743798</c:v>
                </c:pt>
                <c:pt idx="16">
                  <c:v>0.1017962147209092</c:v>
                </c:pt>
                <c:pt idx="17">
                  <c:v>0.10179273912143001</c:v>
                </c:pt>
                <c:pt idx="18">
                  <c:v>0.10178933761530923</c:v>
                </c:pt>
                <c:pt idx="19">
                  <c:v>0.10178600863241806</c:v>
                </c:pt>
                <c:pt idx="20">
                  <c:v>0.10178275063550506</c:v>
                </c:pt>
                <c:pt idx="21">
                  <c:v>0.10177956211952444</c:v>
                </c:pt>
                <c:pt idx="22">
                  <c:v>0.10177644161097714</c:v>
                </c:pt>
                <c:pt idx="23">
                  <c:v>0.10177338766726511</c:v>
                </c:pt>
                <c:pt idx="24">
                  <c:v>0.10177039887605777</c:v>
                </c:pt>
                <c:pt idx="25">
                  <c:v>0.10176747385467104</c:v>
                </c:pt>
                <c:pt idx="26">
                  <c:v>0.10176461124945856</c:v>
                </c:pt>
                <c:pt idx="27">
                  <c:v>0.10176180973521466</c:v>
                </c:pt>
                <c:pt idx="28">
                  <c:v>0.10175906801458912</c:v>
                </c:pt>
                <c:pt idx="29">
                  <c:v>0.10175638481751376</c:v>
                </c:pt>
                <c:pt idx="30">
                  <c:v>0.10175375890063977</c:v>
                </c:pt>
                <c:pt idx="31">
                  <c:v>0.10175118904678658</c:v>
                </c:pt>
                <c:pt idx="32">
                  <c:v>0.10174867406440155</c:v>
                </c:pt>
                <c:pt idx="33">
                  <c:v>0.10174621278703032</c:v>
                </c:pt>
                <c:pt idx="34">
                  <c:v>0.10174380407279762</c:v>
                </c:pt>
                <c:pt idx="35">
                  <c:v>0.10174144680389877</c:v>
                </c:pt>
                <c:pt idx="36">
                  <c:v>0.10173913988610074</c:v>
                </c:pt>
                <c:pt idx="37">
                  <c:v>0.1017368822482536</c:v>
                </c:pt>
                <c:pt idx="38">
                  <c:v>0.10173467284181177</c:v>
                </c:pt>
                <c:pt idx="39">
                  <c:v>0.10173251064036459</c:v>
                </c:pt>
                <c:pt idx="40">
                  <c:v>0.10173039463917637</c:v>
                </c:pt>
                <c:pt idx="41">
                  <c:v>0.10172832385473587</c:v>
                </c:pt>
                <c:pt idx="42">
                  <c:v>0.1017262973243148</c:v>
                </c:pt>
                <c:pt idx="43">
                  <c:v>0.10172431410553499</c:v>
                </c:pt>
                <c:pt idx="44">
                  <c:v>0.10172237327594452</c:v>
                </c:pt>
                <c:pt idx="45">
                  <c:v>0.10172047393260236</c:v>
                </c:pt>
                <c:pt idx="46">
                  <c:v>0.10171861519167143</c:v>
                </c:pt>
                <c:pt idx="47">
                  <c:v>0.10171679618801986</c:v>
                </c:pt>
                <c:pt idx="48">
                  <c:v>0.10171501607483038</c:v>
                </c:pt>
                <c:pt idx="49">
                  <c:v>0.10171327402321756</c:v>
                </c:pt>
                <c:pt idx="50">
                  <c:v>0.10171156922185301</c:v>
                </c:pt>
                <c:pt idx="51">
                  <c:v>0.10170990087659815</c:v>
                </c:pt>
                <c:pt idx="52">
                  <c:v>0.10170826821014416</c:v>
                </c:pt>
                <c:pt idx="53">
                  <c:v>0.10170667046165986</c:v>
                </c:pt>
                <c:pt idx="54">
                  <c:v>0.10170510688644627</c:v>
                </c:pt>
                <c:pt idx="55">
                  <c:v>0.10170357675559856</c:v>
                </c:pt>
                <c:pt idx="56">
                  <c:v>0.10170207935567466</c:v>
                </c:pt>
                <c:pt idx="57">
                  <c:v>0.10170061398837095</c:v>
                </c:pt>
                <c:pt idx="58">
                  <c:v>0.10169917997020436</c:v>
                </c:pt>
                <c:pt idx="59">
                  <c:v>0.10169777663220107</c:v>
                </c:pt>
                <c:pt idx="60">
                  <c:v>0.10169640331959173</c:v>
                </c:pt>
                <c:pt idx="61">
                  <c:v>0.10169505939151281</c:v>
                </c:pt>
                <c:pt idx="62">
                  <c:v>0.10169374422071413</c:v>
                </c:pt>
                <c:pt idx="63">
                  <c:v>0.10169245719327244</c:v>
                </c:pt>
                <c:pt idx="64">
                  <c:v>0.10169119770831092</c:v>
                </c:pt>
                <c:pt idx="65">
                  <c:v>0.10168996517772443</c:v>
                </c:pt>
                <c:pt idx="66">
                  <c:v>0.10168875902591054</c:v>
                </c:pt>
                <c:pt idx="67">
                  <c:v>0.10168757868950599</c:v>
                </c:pt>
                <c:pt idx="68">
                  <c:v>0.10168642361712865</c:v>
                </c:pt>
                <c:pt idx="69">
                  <c:v>0.10168529326912487</c:v>
                </c:pt>
                <c:pt idx="70">
                  <c:v>0.10168418711732204</c:v>
                </c:pt>
                <c:pt idx="71">
                  <c:v>0.10168310464478633</c:v>
                </c:pt>
                <c:pt idx="72">
                  <c:v>0.1016820453455853</c:v>
                </c:pt>
                <c:pt idx="73">
                  <c:v>0.10168100872455571</c:v>
                </c:pt>
                <c:pt idx="74">
                  <c:v>0.10167999429707583</c:v>
                </c:pt>
                <c:pt idx="75">
                  <c:v>0.10167900158884287</c:v>
                </c:pt>
                <c:pt idx="76">
                  <c:v>0.10167803013565456</c:v>
                </c:pt>
                <c:pt idx="77">
                  <c:v>0.10167707948319589</c:v>
                </c:pt>
                <c:pt idx="78">
                  <c:v>0.10167614918682975</c:v>
                </c:pt>
                <c:pt idx="79">
                  <c:v>0.10167523881139209</c:v>
                </c:pt>
                <c:pt idx="80">
                  <c:v>0.10167434793099168</c:v>
                </c:pt>
                <c:pt idx="81">
                  <c:v>0.10167347612881353</c:v>
                </c:pt>
                <c:pt idx="82">
                  <c:v>0.10167262299692682</c:v>
                </c:pt>
                <c:pt idx="83">
                  <c:v>0.1016717881360967</c:v>
                </c:pt>
                <c:pt idx="84">
                  <c:v>0.10167097115559996</c:v>
                </c:pt>
                <c:pt idx="85">
                  <c:v>0.10167017167304465</c:v>
                </c:pt>
                <c:pt idx="86">
                  <c:v>0.10166938931419352</c:v>
                </c:pt>
                <c:pt idx="87">
                  <c:v>0.10166862371279103</c:v>
                </c:pt>
                <c:pt idx="88">
                  <c:v>0.10166787451039407</c:v>
                </c:pt>
                <c:pt idx="89">
                  <c:v>0.10166714135620633</c:v>
                </c:pt>
                <c:pt idx="90">
                  <c:v>0.10166642390691574</c:v>
                </c:pt>
                <c:pt idx="91">
                  <c:v>0.10166572182653594</c:v>
                </c:pt>
                <c:pt idx="92">
                  <c:v>0.10166503478625059</c:v>
                </c:pt>
                <c:pt idx="93">
                  <c:v>0.10166436246426112</c:v>
                </c:pt>
                <c:pt idx="94">
                  <c:v>0.10166370454563776</c:v>
                </c:pt>
                <c:pt idx="95">
                  <c:v>0.10166306072217342</c:v>
                </c:pt>
                <c:pt idx="96">
                  <c:v>0.10166243069224111</c:v>
                </c:pt>
                <c:pt idx="97">
                  <c:v>0.10166181416065399</c:v>
                </c:pt>
                <c:pt idx="98">
                  <c:v>0.1016612108385284</c:v>
                </c:pt>
                <c:pt idx="99">
                  <c:v>0.10166062044314986</c:v>
                </c:pt>
                <c:pt idx="100">
                  <c:v>0.10166004269784204</c:v>
                </c:pt>
                <c:pt idx="101">
                  <c:v>0.10165947733183815</c:v>
                </c:pt>
                <c:pt idx="102">
                  <c:v>0.10165947733183815</c:v>
                </c:pt>
                <c:pt idx="103">
                  <c:v>0.10165947733183815</c:v>
                </c:pt>
                <c:pt idx="104">
                  <c:v>0.10165947733183815</c:v>
                </c:pt>
                <c:pt idx="105">
                  <c:v>0.10165947733183815</c:v>
                </c:pt>
                <c:pt idx="106">
                  <c:v>0.10165947733183815</c:v>
                </c:pt>
                <c:pt idx="107">
                  <c:v>0.10165947733183815</c:v>
                </c:pt>
                <c:pt idx="108">
                  <c:v>0.10165947733183815</c:v>
                </c:pt>
                <c:pt idx="109">
                  <c:v>0.10165947733183815</c:v>
                </c:pt>
                <c:pt idx="110">
                  <c:v>0.10165947733183815</c:v>
                </c:pt>
                <c:pt idx="111">
                  <c:v>0.10165947733183815</c:v>
                </c:pt>
                <c:pt idx="112">
                  <c:v>0.10165947733183815</c:v>
                </c:pt>
                <c:pt idx="113">
                  <c:v>0.10165947733183815</c:v>
                </c:pt>
                <c:pt idx="114">
                  <c:v>0.10165947733183815</c:v>
                </c:pt>
                <c:pt idx="115">
                  <c:v>0.10165947733183815</c:v>
                </c:pt>
                <c:pt idx="116">
                  <c:v>0.10165947733183815</c:v>
                </c:pt>
                <c:pt idx="117">
                  <c:v>0.10165947733183815</c:v>
                </c:pt>
                <c:pt idx="118">
                  <c:v>0.10165947733183815</c:v>
                </c:pt>
                <c:pt idx="119">
                  <c:v>0.10165947733183815</c:v>
                </c:pt>
                <c:pt idx="120">
                  <c:v>0.10165947733183815</c:v>
                </c:pt>
                <c:pt idx="121">
                  <c:v>0.10165947733183815</c:v>
                </c:pt>
                <c:pt idx="122">
                  <c:v>0.10165947733183815</c:v>
                </c:pt>
                <c:pt idx="123">
                  <c:v>0.10165947733183815</c:v>
                </c:pt>
                <c:pt idx="124">
                  <c:v>0.10165947733183815</c:v>
                </c:pt>
                <c:pt idx="125">
                  <c:v>0.10165947733183815</c:v>
                </c:pt>
                <c:pt idx="126">
                  <c:v>0.10165947733183815</c:v>
                </c:pt>
                <c:pt idx="127">
                  <c:v>0.10165947733183815</c:v>
                </c:pt>
                <c:pt idx="128">
                  <c:v>0.10165947733183815</c:v>
                </c:pt>
                <c:pt idx="129">
                  <c:v>0.10165947733183815</c:v>
                </c:pt>
                <c:pt idx="130">
                  <c:v>0.10165947733183815</c:v>
                </c:pt>
                <c:pt idx="131">
                  <c:v>0.10165947733183815</c:v>
                </c:pt>
                <c:pt idx="132">
                  <c:v>0.10165947733183815</c:v>
                </c:pt>
                <c:pt idx="133">
                  <c:v>0.10165947733183815</c:v>
                </c:pt>
                <c:pt idx="134">
                  <c:v>0.10165947733183815</c:v>
                </c:pt>
                <c:pt idx="135">
                  <c:v>0.10165947733183815</c:v>
                </c:pt>
                <c:pt idx="136">
                  <c:v>0.10165947733183815</c:v>
                </c:pt>
                <c:pt idx="137">
                  <c:v>0.10165947733183815</c:v>
                </c:pt>
                <c:pt idx="138">
                  <c:v>0.10165947733183815</c:v>
                </c:pt>
                <c:pt idx="139">
                  <c:v>0.10165947733183815</c:v>
                </c:pt>
                <c:pt idx="140">
                  <c:v>0.10165947733183815</c:v>
                </c:pt>
                <c:pt idx="141">
                  <c:v>0.10165947733183815</c:v>
                </c:pt>
                <c:pt idx="142">
                  <c:v>0.10165947733183815</c:v>
                </c:pt>
                <c:pt idx="143">
                  <c:v>0.10165947733183815</c:v>
                </c:pt>
                <c:pt idx="144">
                  <c:v>0.10165947733183815</c:v>
                </c:pt>
                <c:pt idx="145">
                  <c:v>0.10165947733183815</c:v>
                </c:pt>
                <c:pt idx="146">
                  <c:v>0.10165947733183815</c:v>
                </c:pt>
                <c:pt idx="147">
                  <c:v>0.10165947733183815</c:v>
                </c:pt>
                <c:pt idx="148">
                  <c:v>0.10165947733183815</c:v>
                </c:pt>
                <c:pt idx="149">
                  <c:v>0.10165947733183815</c:v>
                </c:pt>
                <c:pt idx="150">
                  <c:v>0.10165947733183815</c:v>
                </c:pt>
                <c:pt idx="151">
                  <c:v>0.10165947733183815</c:v>
                </c:pt>
                <c:pt idx="152">
                  <c:v>0.10165947733183815</c:v>
                </c:pt>
                <c:pt idx="153">
                  <c:v>0.10165947733183815</c:v>
                </c:pt>
                <c:pt idx="154">
                  <c:v>0.10165947733183815</c:v>
                </c:pt>
                <c:pt idx="155">
                  <c:v>0.10165947733183815</c:v>
                </c:pt>
                <c:pt idx="156">
                  <c:v>0.10165947733183815</c:v>
                </c:pt>
                <c:pt idx="157">
                  <c:v>0.10165947733183815</c:v>
                </c:pt>
                <c:pt idx="158">
                  <c:v>0.10165947733183815</c:v>
                </c:pt>
                <c:pt idx="159">
                  <c:v>0.10165947733183815</c:v>
                </c:pt>
                <c:pt idx="160">
                  <c:v>0.10165947733183815</c:v>
                </c:pt>
                <c:pt idx="161">
                  <c:v>0.10165947733183815</c:v>
                </c:pt>
                <c:pt idx="162">
                  <c:v>0.10165947733183815</c:v>
                </c:pt>
                <c:pt idx="163">
                  <c:v>0.10165947733183815</c:v>
                </c:pt>
                <c:pt idx="164">
                  <c:v>0.10165947733183815</c:v>
                </c:pt>
                <c:pt idx="165">
                  <c:v>0.10165947733183815</c:v>
                </c:pt>
                <c:pt idx="166">
                  <c:v>0.10165947733183815</c:v>
                </c:pt>
                <c:pt idx="167">
                  <c:v>0.10165947733183815</c:v>
                </c:pt>
                <c:pt idx="168">
                  <c:v>0.10165947733183815</c:v>
                </c:pt>
                <c:pt idx="169">
                  <c:v>0.10165947733183815</c:v>
                </c:pt>
                <c:pt idx="170">
                  <c:v>0.10165947733183815</c:v>
                </c:pt>
                <c:pt idx="171">
                  <c:v>0.10165947733183815</c:v>
                </c:pt>
                <c:pt idx="172">
                  <c:v>0.10165947733183815</c:v>
                </c:pt>
                <c:pt idx="173">
                  <c:v>0.10165947733183815</c:v>
                </c:pt>
                <c:pt idx="174">
                  <c:v>0.10165947733183815</c:v>
                </c:pt>
                <c:pt idx="175">
                  <c:v>0.10165947733183815</c:v>
                </c:pt>
                <c:pt idx="176">
                  <c:v>0.10165947733183815</c:v>
                </c:pt>
                <c:pt idx="177">
                  <c:v>0.10165947733183815</c:v>
                </c:pt>
                <c:pt idx="178">
                  <c:v>0.10165947733183815</c:v>
                </c:pt>
                <c:pt idx="179">
                  <c:v>0.10165947733183815</c:v>
                </c:pt>
                <c:pt idx="180">
                  <c:v>0.10165947733183815</c:v>
                </c:pt>
                <c:pt idx="181">
                  <c:v>0.10165947733183815</c:v>
                </c:pt>
                <c:pt idx="182">
                  <c:v>0.10165947733183815</c:v>
                </c:pt>
                <c:pt idx="183">
                  <c:v>0.10165947733183815</c:v>
                </c:pt>
                <c:pt idx="184">
                  <c:v>0.10165947733183815</c:v>
                </c:pt>
                <c:pt idx="185">
                  <c:v>0.10165947733183815</c:v>
                </c:pt>
                <c:pt idx="186">
                  <c:v>0.10165947733183815</c:v>
                </c:pt>
                <c:pt idx="187">
                  <c:v>0.10165947733183815</c:v>
                </c:pt>
                <c:pt idx="188">
                  <c:v>0.10165947733183815</c:v>
                </c:pt>
                <c:pt idx="189">
                  <c:v>0.10165947733183815</c:v>
                </c:pt>
                <c:pt idx="190">
                  <c:v>0.10165947733183815</c:v>
                </c:pt>
                <c:pt idx="191">
                  <c:v>0.10165947733183815</c:v>
                </c:pt>
                <c:pt idx="192">
                  <c:v>0.10165947733183815</c:v>
                </c:pt>
                <c:pt idx="193">
                  <c:v>0.10165947733183815</c:v>
                </c:pt>
                <c:pt idx="194">
                  <c:v>0.10165947733183815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9-4017-828D-0939C9EB9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541424"/>
        <c:axId val="624542080"/>
      </c:scatterChart>
      <c:valAx>
        <c:axId val="62454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2080"/>
        <c:crosses val="autoZero"/>
        <c:crossBetween val="midCat"/>
      </c:valAx>
      <c:valAx>
        <c:axId val="62454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Model!$L$4</c:f>
              <c:strCache>
                <c:ptCount val="1"/>
                <c:pt idx="0">
                  <c:v>P_CO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Model!$L$5:$L$199</c:f>
              <c:numCache>
                <c:formatCode>0.0000</c:formatCode>
                <c:ptCount val="195"/>
                <c:pt idx="0">
                  <c:v>5.1126123634426853E-4</c:v>
                </c:pt>
                <c:pt idx="1">
                  <c:v>5.0034305960115029E-4</c:v>
                </c:pt>
                <c:pt idx="2">
                  <c:v>4.8965702273345445E-4</c:v>
                </c:pt>
                <c:pt idx="3">
                  <c:v>4.7919826487156063E-4</c:v>
                </c:pt>
                <c:pt idx="4">
                  <c:v>4.6896199183715765E-4</c:v>
                </c:pt>
                <c:pt idx="5">
                  <c:v>4.5894350890966372E-4</c:v>
                </c:pt>
                <c:pt idx="6">
                  <c:v>4.4913821883307451E-4</c:v>
                </c:pt>
                <c:pt idx="7">
                  <c:v>4.395416198597937E-4</c:v>
                </c:pt>
                <c:pt idx="8">
                  <c:v>4.3014930383088624E-4</c:v>
                </c:pt>
                <c:pt idx="9">
                  <c:v>4.2095695429219811E-4</c:v>
                </c:pt>
                <c:pt idx="10">
                  <c:v>4.1196034464578978E-4</c:v>
                </c:pt>
                <c:pt idx="11">
                  <c:v>4.0315533633613113E-4</c:v>
                </c:pt>
                <c:pt idx="12">
                  <c:v>3.9453787707051526E-4</c:v>
                </c:pt>
                <c:pt idx="13">
                  <c:v>3.8610399907314398E-4</c:v>
                </c:pt>
                <c:pt idx="14">
                  <c:v>3.7784981737234936E-4</c:v>
                </c:pt>
                <c:pt idx="15">
                  <c:v>3.6977152812041602E-4</c:v>
                </c:pt>
                <c:pt idx="16">
                  <c:v>3.6186540694547255E-4</c:v>
                </c:pt>
                <c:pt idx="17">
                  <c:v>3.5412780733492833E-4</c:v>
                </c:pt>
                <c:pt idx="18">
                  <c:v>3.4655515904993448E-4</c:v>
                </c:pt>
                <c:pt idx="19">
                  <c:v>3.3914396657035281E-4</c:v>
                </c:pt>
                <c:pt idx="20">
                  <c:v>3.3189080756972132E-4</c:v>
                </c:pt>
                <c:pt idx="21">
                  <c:v>3.2479233141971184E-4</c:v>
                </c:pt>
                <c:pt idx="22">
                  <c:v>3.178452577235784E-4</c:v>
                </c:pt>
                <c:pt idx="23">
                  <c:v>3.110463748781018E-4</c:v>
                </c:pt>
                <c:pt idx="24">
                  <c:v>3.0439253866354103E-4</c:v>
                </c:pt>
                <c:pt idx="25">
                  <c:v>2.9788067086110656E-4</c:v>
                </c:pt>
                <c:pt idx="26">
                  <c:v>2.9150775789747881E-4</c:v>
                </c:pt>
                <c:pt idx="27">
                  <c:v>2.852708495158978E-4</c:v>
                </c:pt>
                <c:pt idx="28">
                  <c:v>2.7916705747335759E-4</c:v>
                </c:pt>
                <c:pt idx="29">
                  <c:v>2.7319355426344582E-4</c:v>
                </c:pt>
                <c:pt idx="30">
                  <c:v>2.6734757186437039E-4</c:v>
                </c:pt>
                <c:pt idx="31">
                  <c:v>2.6162640051172686E-4</c:v>
                </c:pt>
                <c:pt idx="32">
                  <c:v>2.5602738749556198E-4</c:v>
                </c:pt>
                <c:pt idx="33">
                  <c:v>2.5054793598129572E-4</c:v>
                </c:pt>
                <c:pt idx="34">
                  <c:v>2.4518550385407124E-4</c:v>
                </c:pt>
                <c:pt idx="35">
                  <c:v>2.3993760258610674E-4</c:v>
                </c:pt>
                <c:pt idx="36">
                  <c:v>2.3480179612663009E-4</c:v>
                </c:pt>
                <c:pt idx="37">
                  <c:v>2.2977569981398217E-4</c:v>
                </c:pt>
                <c:pt idx="38">
                  <c:v>2.2485697930948282E-4</c:v>
                </c:pt>
                <c:pt idx="39">
                  <c:v>2.2004334955265565E-4</c:v>
                </c:pt>
                <c:pt idx="40">
                  <c:v>2.1533257373741792E-4</c:v>
                </c:pt>
                <c:pt idx="41">
                  <c:v>2.1072246230884541E-4</c:v>
                </c:pt>
                <c:pt idx="42">
                  <c:v>2.0621087198012777E-4</c:v>
                </c:pt>
                <c:pt idx="43">
                  <c:v>2.0179570476933678E-4</c:v>
                </c:pt>
                <c:pt idx="44">
                  <c:v>1.974749070556359E-4</c:v>
                </c:pt>
                <c:pt idx="45">
                  <c:v>1.9324646865456408E-4</c:v>
                </c:pt>
                <c:pt idx="46">
                  <c:v>1.8910842191203377E-4</c:v>
                </c:pt>
                <c:pt idx="47">
                  <c:v>1.850588408166881E-4</c:v>
                </c:pt>
                <c:pt idx="48">
                  <c:v>1.8109584013026821E-4</c:v>
                </c:pt>
                <c:pt idx="49">
                  <c:v>1.7721757453564727E-4</c:v>
                </c:pt>
                <c:pt idx="50">
                  <c:v>1.7342223780219328E-4</c:v>
                </c:pt>
                <c:pt idx="51">
                  <c:v>1.6970806196812865E-4</c:v>
                </c:pt>
                <c:pt idx="52">
                  <c:v>1.6607331653955868E-4</c:v>
                </c:pt>
                <c:pt idx="53">
                  <c:v>1.6251630770584927E-4</c:v>
                </c:pt>
                <c:pt idx="54">
                  <c:v>1.5903537757103636E-4</c:v>
                </c:pt>
                <c:pt idx="55">
                  <c:v>1.5562890340095736E-4</c:v>
                </c:pt>
                <c:pt idx="56">
                  <c:v>1.5229529688579871E-4</c:v>
                </c:pt>
                <c:pt idx="57">
                  <c:v>1.4903300341775994E-4</c:v>
                </c:pt>
                <c:pt idx="58">
                  <c:v>1.4584050138353891E-4</c:v>
                </c:pt>
                <c:pt idx="59">
                  <c:v>1.4271630147134846E-4</c:v>
                </c:pt>
                <c:pt idx="60">
                  <c:v>1.3965894599217972E-4</c:v>
                </c:pt>
                <c:pt idx="61">
                  <c:v>1.3666700821503262E-4</c:v>
                </c:pt>
                <c:pt idx="62">
                  <c:v>1.3373909171583812E-4</c:v>
                </c:pt>
                <c:pt idx="63">
                  <c:v>1.3087382973980247E-4</c:v>
                </c:pt>
                <c:pt idx="64">
                  <c:v>1.2806988457690868E-4</c:v>
                </c:pt>
                <c:pt idx="65">
                  <c:v>1.253259469503139E-4</c:v>
                </c:pt>
                <c:pt idx="66">
                  <c:v>1.2264073541738804E-4</c:v>
                </c:pt>
                <c:pt idx="67">
                  <c:v>1.2001299578314145E-4</c:v>
                </c:pt>
                <c:pt idx="68">
                  <c:v>1.1744150052579567E-4</c:v>
                </c:pt>
                <c:pt idx="69">
                  <c:v>1.1492504823425509E-4</c:v>
                </c:pt>
                <c:pt idx="70">
                  <c:v>1.124624630572417E-4</c:v>
                </c:pt>
                <c:pt idx="71">
                  <c:v>1.1005259416385986E-4</c:v>
                </c:pt>
                <c:pt idx="72">
                  <c:v>1.0769431521536148E-4</c:v>
                </c:pt>
                <c:pt idx="73">
                  <c:v>1.0538652384788802E-4</c:v>
                </c:pt>
                <c:pt idx="74">
                  <c:v>1.0312814116596724E-4</c:v>
                </c:pt>
                <c:pt idx="75">
                  <c:v>1.0091811124654955E-4</c:v>
                </c:pt>
                <c:pt idx="76">
                  <c:v>9.8755400653370546E-5</c:v>
                </c:pt>
                <c:pt idx="77">
                  <c:v>9.6638997961432153E-5</c:v>
                </c:pt>
                <c:pt idx="78">
                  <c:v>9.4567913291396941E-5</c:v>
                </c:pt>
                <c:pt idx="79">
                  <c:v>9.2541177853695659E-5</c:v>
                </c:pt>
                <c:pt idx="80">
                  <c:v>9.0557843502151123E-5</c:v>
                </c:pt>
                <c:pt idx="81">
                  <c:v>8.8616982296924702E-5</c:v>
                </c:pt>
                <c:pt idx="82">
                  <c:v>8.6717686076596756E-5</c:v>
                </c:pt>
                <c:pt idx="83">
                  <c:v>8.4859066039194846E-5</c:v>
                </c:pt>
                <c:pt idx="84">
                  <c:v>8.3040252331987314E-5</c:v>
                </c:pt>
                <c:pt idx="85">
                  <c:v>8.1260393649863972E-5</c:v>
                </c:pt>
                <c:pt idx="86">
                  <c:v>7.9518656842128153E-5</c:v>
                </c:pt>
                <c:pt idx="87">
                  <c:v>7.7814226527528544E-5</c:v>
                </c:pt>
                <c:pt idx="88">
                  <c:v>7.6146304717361829E-5</c:v>
                </c:pt>
                <c:pt idx="89">
                  <c:v>7.4514110446481671E-5</c:v>
                </c:pt>
                <c:pt idx="90">
                  <c:v>7.2916879412050564E-5</c:v>
                </c:pt>
                <c:pt idx="91">
                  <c:v>7.1353863619877183E-5</c:v>
                </c:pt>
                <c:pt idx="92">
                  <c:v>6.9824331038182409E-5</c:v>
                </c:pt>
                <c:pt idx="93">
                  <c:v>6.8327565258641501E-5</c:v>
                </c:pt>
                <c:pt idx="94">
                  <c:v>6.6862865164552858E-5</c:v>
                </c:pt>
                <c:pt idx="95">
                  <c:v>6.5429544605986203E-5</c:v>
                </c:pt>
                <c:pt idx="96">
                  <c:v>6.402693208176698E-5</c:v>
                </c:pt>
                <c:pt idx="97">
                  <c:v>6.2654370428154784E-5</c:v>
                </c:pt>
                <c:pt idx="98">
                  <c:v>6.1311216514078662E-5</c:v>
                </c:pt>
                <c:pt idx="99">
                  <c:v>5.9996840942792933E-5</c:v>
                </c:pt>
                <c:pt idx="100">
                  <c:v>5.8710627759821358E-5</c:v>
                </c:pt>
                <c:pt idx="101">
                  <c:v>5.7451974167058831E-5</c:v>
                </c:pt>
                <c:pt idx="102">
                  <c:v>5.7451974167058831E-5</c:v>
                </c:pt>
                <c:pt idx="103">
                  <c:v>5.7451974167058831E-5</c:v>
                </c:pt>
                <c:pt idx="104">
                  <c:v>5.7451974167058831E-5</c:v>
                </c:pt>
                <c:pt idx="105">
                  <c:v>5.7451974167058831E-5</c:v>
                </c:pt>
                <c:pt idx="106">
                  <c:v>5.7451974167058831E-5</c:v>
                </c:pt>
                <c:pt idx="107">
                  <c:v>5.7451974167058831E-5</c:v>
                </c:pt>
                <c:pt idx="108">
                  <c:v>5.7451974167058831E-5</c:v>
                </c:pt>
                <c:pt idx="109">
                  <c:v>5.7451974167058831E-5</c:v>
                </c:pt>
                <c:pt idx="110">
                  <c:v>5.7451974167058831E-5</c:v>
                </c:pt>
                <c:pt idx="111">
                  <c:v>5.7451974167058831E-5</c:v>
                </c:pt>
                <c:pt idx="112">
                  <c:v>5.7451974167058831E-5</c:v>
                </c:pt>
                <c:pt idx="113">
                  <c:v>5.7451974167058831E-5</c:v>
                </c:pt>
                <c:pt idx="114">
                  <c:v>5.7451974167058831E-5</c:v>
                </c:pt>
                <c:pt idx="115">
                  <c:v>5.7451974167058831E-5</c:v>
                </c:pt>
                <c:pt idx="116">
                  <c:v>5.7451974167058831E-5</c:v>
                </c:pt>
                <c:pt idx="117">
                  <c:v>5.7451974167058831E-5</c:v>
                </c:pt>
                <c:pt idx="118">
                  <c:v>5.7451974167058831E-5</c:v>
                </c:pt>
                <c:pt idx="119">
                  <c:v>5.7451974167058831E-5</c:v>
                </c:pt>
                <c:pt idx="120">
                  <c:v>5.7451974167058831E-5</c:v>
                </c:pt>
                <c:pt idx="121">
                  <c:v>5.7451974167058831E-5</c:v>
                </c:pt>
                <c:pt idx="122">
                  <c:v>5.7451974167058831E-5</c:v>
                </c:pt>
                <c:pt idx="123">
                  <c:v>5.7451974167058831E-5</c:v>
                </c:pt>
                <c:pt idx="124">
                  <c:v>5.7451974167058831E-5</c:v>
                </c:pt>
                <c:pt idx="125">
                  <c:v>5.7451974167058831E-5</c:v>
                </c:pt>
                <c:pt idx="126">
                  <c:v>5.7451974167058831E-5</c:v>
                </c:pt>
                <c:pt idx="127">
                  <c:v>5.7451974167058831E-5</c:v>
                </c:pt>
                <c:pt idx="128">
                  <c:v>5.7451974167058831E-5</c:v>
                </c:pt>
                <c:pt idx="129">
                  <c:v>5.7451974167058831E-5</c:v>
                </c:pt>
                <c:pt idx="130">
                  <c:v>5.7451974167058831E-5</c:v>
                </c:pt>
                <c:pt idx="131">
                  <c:v>5.7451974167058831E-5</c:v>
                </c:pt>
                <c:pt idx="132">
                  <c:v>5.7451974167058831E-5</c:v>
                </c:pt>
                <c:pt idx="133">
                  <c:v>5.7451974167058831E-5</c:v>
                </c:pt>
                <c:pt idx="134">
                  <c:v>5.7451974167058831E-5</c:v>
                </c:pt>
                <c:pt idx="135">
                  <c:v>5.7451974167058831E-5</c:v>
                </c:pt>
                <c:pt idx="136">
                  <c:v>5.7451974167058831E-5</c:v>
                </c:pt>
                <c:pt idx="137">
                  <c:v>5.7451974167058831E-5</c:v>
                </c:pt>
                <c:pt idx="138">
                  <c:v>5.7451974167058831E-5</c:v>
                </c:pt>
                <c:pt idx="139">
                  <c:v>5.7451974167058831E-5</c:v>
                </c:pt>
                <c:pt idx="140">
                  <c:v>5.7451974167058831E-5</c:v>
                </c:pt>
                <c:pt idx="141">
                  <c:v>5.7451974167058831E-5</c:v>
                </c:pt>
                <c:pt idx="142">
                  <c:v>5.7451974167058831E-5</c:v>
                </c:pt>
                <c:pt idx="143">
                  <c:v>5.7451974167058831E-5</c:v>
                </c:pt>
                <c:pt idx="144">
                  <c:v>5.7451974167058831E-5</c:v>
                </c:pt>
                <c:pt idx="145">
                  <c:v>5.7451974167058831E-5</c:v>
                </c:pt>
                <c:pt idx="146">
                  <c:v>5.7451974167058831E-5</c:v>
                </c:pt>
                <c:pt idx="147">
                  <c:v>5.7451974167058831E-5</c:v>
                </c:pt>
                <c:pt idx="148">
                  <c:v>5.7451974167058831E-5</c:v>
                </c:pt>
                <c:pt idx="149">
                  <c:v>5.7451974167058831E-5</c:v>
                </c:pt>
                <c:pt idx="150">
                  <c:v>5.7451974167058831E-5</c:v>
                </c:pt>
                <c:pt idx="151">
                  <c:v>5.7451974167058831E-5</c:v>
                </c:pt>
                <c:pt idx="152">
                  <c:v>5.7451974167058831E-5</c:v>
                </c:pt>
                <c:pt idx="153">
                  <c:v>5.7451974167058831E-5</c:v>
                </c:pt>
                <c:pt idx="154">
                  <c:v>5.7451974167058831E-5</c:v>
                </c:pt>
                <c:pt idx="155">
                  <c:v>5.7451974167058831E-5</c:v>
                </c:pt>
                <c:pt idx="156">
                  <c:v>5.7451974167058831E-5</c:v>
                </c:pt>
                <c:pt idx="157">
                  <c:v>5.7451974167058831E-5</c:v>
                </c:pt>
                <c:pt idx="158">
                  <c:v>5.7451974167058831E-5</c:v>
                </c:pt>
                <c:pt idx="159">
                  <c:v>5.7451974167058831E-5</c:v>
                </c:pt>
                <c:pt idx="160">
                  <c:v>5.7451974167058831E-5</c:v>
                </c:pt>
                <c:pt idx="161">
                  <c:v>5.7451974167058831E-5</c:v>
                </c:pt>
                <c:pt idx="162">
                  <c:v>5.7451974167058831E-5</c:v>
                </c:pt>
                <c:pt idx="163">
                  <c:v>5.7451974167058831E-5</c:v>
                </c:pt>
                <c:pt idx="164">
                  <c:v>5.7451974167058831E-5</c:v>
                </c:pt>
                <c:pt idx="165">
                  <c:v>5.7451974167058831E-5</c:v>
                </c:pt>
                <c:pt idx="166">
                  <c:v>5.7451974167058831E-5</c:v>
                </c:pt>
                <c:pt idx="167">
                  <c:v>5.7451974167058831E-5</c:v>
                </c:pt>
                <c:pt idx="168">
                  <c:v>5.7451974167058831E-5</c:v>
                </c:pt>
                <c:pt idx="169">
                  <c:v>5.7451974167058831E-5</c:v>
                </c:pt>
                <c:pt idx="170">
                  <c:v>5.7451974167058831E-5</c:v>
                </c:pt>
                <c:pt idx="171">
                  <c:v>5.7451974167058831E-5</c:v>
                </c:pt>
                <c:pt idx="172">
                  <c:v>5.7451974167058831E-5</c:v>
                </c:pt>
                <c:pt idx="173">
                  <c:v>5.7451974167058831E-5</c:v>
                </c:pt>
                <c:pt idx="174">
                  <c:v>5.7451974167058831E-5</c:v>
                </c:pt>
                <c:pt idx="175">
                  <c:v>5.7451974167058831E-5</c:v>
                </c:pt>
                <c:pt idx="176">
                  <c:v>5.7451974167058831E-5</c:v>
                </c:pt>
                <c:pt idx="177">
                  <c:v>5.7451974167058831E-5</c:v>
                </c:pt>
                <c:pt idx="178">
                  <c:v>5.7451974167058831E-5</c:v>
                </c:pt>
                <c:pt idx="179">
                  <c:v>5.7451974167058831E-5</c:v>
                </c:pt>
                <c:pt idx="180">
                  <c:v>5.7451974167058831E-5</c:v>
                </c:pt>
                <c:pt idx="181">
                  <c:v>5.7451974167058831E-5</c:v>
                </c:pt>
                <c:pt idx="182">
                  <c:v>5.7451974167058831E-5</c:v>
                </c:pt>
                <c:pt idx="183">
                  <c:v>5.7451974167058831E-5</c:v>
                </c:pt>
                <c:pt idx="184">
                  <c:v>5.7451974167058831E-5</c:v>
                </c:pt>
                <c:pt idx="185">
                  <c:v>5.7451974167058831E-5</c:v>
                </c:pt>
                <c:pt idx="186">
                  <c:v>5.7451974167058831E-5</c:v>
                </c:pt>
                <c:pt idx="187">
                  <c:v>5.7451974167058831E-5</c:v>
                </c:pt>
                <c:pt idx="188">
                  <c:v>5.7451974167058831E-5</c:v>
                </c:pt>
                <c:pt idx="189">
                  <c:v>5.7451974167058831E-5</c:v>
                </c:pt>
                <c:pt idx="190">
                  <c:v>5.7451974167058831E-5</c:v>
                </c:pt>
                <c:pt idx="191">
                  <c:v>5.7451974167058831E-5</c:v>
                </c:pt>
                <c:pt idx="192">
                  <c:v>5.7451974167058831E-5</c:v>
                </c:pt>
                <c:pt idx="193">
                  <c:v>5.7451974167058831E-5</c:v>
                </c:pt>
                <c:pt idx="194">
                  <c:v>5.7451974167058831E-5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22-4211-BC4D-F82F80302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541424"/>
        <c:axId val="624542080"/>
      </c:scatterChart>
      <c:valAx>
        <c:axId val="6245414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2080"/>
        <c:crossesAt val="1.0000000000000004E-6"/>
        <c:crossBetween val="midCat"/>
      </c:valAx>
      <c:valAx>
        <c:axId val="624542080"/>
        <c:scaling>
          <c:logBase val="10"/>
          <c:orientation val="minMax"/>
          <c:max val="2.0000000000000005E-3"/>
          <c:min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142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Model!$O$4</c:f>
              <c:strCache>
                <c:ptCount val="1"/>
                <c:pt idx="0">
                  <c:v>P_NO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Model!$O$5:$O$199</c:f>
              <c:numCache>
                <c:formatCode>0.0000</c:formatCode>
                <c:ptCount val="195"/>
                <c:pt idx="0">
                  <c:v>1.9954363657002182E-4</c:v>
                </c:pt>
                <c:pt idx="1">
                  <c:v>1.994255744546518E-4</c:v>
                </c:pt>
                <c:pt idx="2">
                  <c:v>1.9930753673894666E-4</c:v>
                </c:pt>
                <c:pt idx="3">
                  <c:v>1.991895360817798E-4</c:v>
                </c:pt>
                <c:pt idx="4">
                  <c:v>1.9907157319067401E-4</c:v>
                </c:pt>
                <c:pt idx="5">
                  <c:v>1.9895364875714729E-4</c:v>
                </c:pt>
                <c:pt idx="6">
                  <c:v>1.9883576345704486E-4</c:v>
                </c:pt>
                <c:pt idx="7">
                  <c:v>1.9871791795086466E-4</c:v>
                </c:pt>
                <c:pt idx="8">
                  <c:v>1.986001128840766E-4</c:v>
                </c:pt>
                <c:pt idx="9">
                  <c:v>1.984823488874355E-4</c:v>
                </c:pt>
                <c:pt idx="10">
                  <c:v>1.9836462657728835E-4</c:v>
                </c:pt>
                <c:pt idx="11">
                  <c:v>1.9824694655587447E-4</c:v>
                </c:pt>
                <c:pt idx="12">
                  <c:v>1.981293094116212E-4</c:v>
                </c:pt>
                <c:pt idx="13">
                  <c:v>1.9801171571943272E-4</c:v>
                </c:pt>
                <c:pt idx="14">
                  <c:v>1.9789416604097334E-4</c:v>
                </c:pt>
                <c:pt idx="15">
                  <c:v>1.9777666092494586E-4</c:v>
                </c:pt>
                <c:pt idx="16">
                  <c:v>1.976592009073634E-4</c:v>
                </c:pt>
                <c:pt idx="17">
                  <c:v>1.9754178651181648E-4</c:v>
                </c:pt>
                <c:pt idx="18">
                  <c:v>1.9742441824973441E-4</c:v>
                </c:pt>
                <c:pt idx="19">
                  <c:v>1.9730709662064212E-4</c:v>
                </c:pt>
                <c:pt idx="20">
                  <c:v>1.9718982211241082E-4</c:v>
                </c:pt>
                <c:pt idx="21">
                  <c:v>1.9707259520150452E-4</c:v>
                </c:pt>
                <c:pt idx="22">
                  <c:v>1.9695541635322093E-4</c:v>
                </c:pt>
                <c:pt idx="23">
                  <c:v>1.9683828602192811E-4</c:v>
                </c:pt>
                <c:pt idx="24">
                  <c:v>1.9672120465129593E-4</c:v>
                </c:pt>
                <c:pt idx="25">
                  <c:v>1.9660417267452278E-4</c:v>
                </c:pt>
                <c:pt idx="26">
                  <c:v>1.9648719051455817E-4</c:v>
                </c:pt>
                <c:pt idx="27">
                  <c:v>1.9637025858432032E-4</c:v>
                </c:pt>
                <c:pt idx="28">
                  <c:v>1.9625337728690904E-4</c:v>
                </c:pt>
                <c:pt idx="29">
                  <c:v>1.9613654701581561E-4</c:v>
                </c:pt>
                <c:pt idx="30">
                  <c:v>1.960197681551268E-4</c:v>
                </c:pt>
                <c:pt idx="31">
                  <c:v>1.9590304107972552E-4</c:v>
                </c:pt>
                <c:pt idx="32">
                  <c:v>1.9578636615548729E-4</c:v>
                </c:pt>
                <c:pt idx="33">
                  <c:v>1.9566974373947258E-4</c:v>
                </c:pt>
                <c:pt idx="34">
                  <c:v>1.9555317418011516E-4</c:v>
                </c:pt>
                <c:pt idx="35">
                  <c:v>1.9543665781740678E-4</c:v>
                </c:pt>
                <c:pt idx="36">
                  <c:v>1.9532019498307766E-4</c:v>
                </c:pt>
                <c:pt idx="37">
                  <c:v>1.9520378600077344E-4</c:v>
                </c:pt>
                <c:pt idx="38">
                  <c:v>1.9508743118622893E-4</c:v>
                </c:pt>
                <c:pt idx="39">
                  <c:v>1.9497113084743741E-4</c:v>
                </c:pt>
                <c:pt idx="40">
                  <c:v>1.9485488528481678E-4</c:v>
                </c:pt>
                <c:pt idx="41">
                  <c:v>1.9473869479137262E-4</c:v>
                </c:pt>
                <c:pt idx="42">
                  <c:v>1.9462255965285754E-4</c:v>
                </c:pt>
                <c:pt idx="43">
                  <c:v>1.9450648014792681E-4</c:v>
                </c:pt>
                <c:pt idx="44">
                  <c:v>1.9439045654829164E-4</c:v>
                </c:pt>
                <c:pt idx="45">
                  <c:v>1.9427448911886838E-4</c:v>
                </c:pt>
                <c:pt idx="46">
                  <c:v>1.9415857811792524E-4</c:v>
                </c:pt>
                <c:pt idx="47">
                  <c:v>1.9404272379722567E-4</c:v>
                </c:pt>
                <c:pt idx="48">
                  <c:v>1.9392692640216855E-4</c:v>
                </c:pt>
                <c:pt idx="49">
                  <c:v>1.9381118617192578E-4</c:v>
                </c:pt>
                <c:pt idx="50">
                  <c:v>1.9369550333957683E-4</c:v>
                </c:pt>
                <c:pt idx="51">
                  <c:v>1.9357987813224057E-4</c:v>
                </c:pt>
                <c:pt idx="52">
                  <c:v>1.9346431077120398E-4</c:v>
                </c:pt>
                <c:pt idx="53">
                  <c:v>1.9334880147204851E-4</c:v>
                </c:pt>
                <c:pt idx="54">
                  <c:v>1.9323335044477377E-4</c:v>
                </c:pt>
                <c:pt idx="55">
                  <c:v>1.9311795789391829E-4</c:v>
                </c:pt>
                <c:pt idx="56">
                  <c:v>1.9300262401867802E-4</c:v>
                </c:pt>
                <c:pt idx="57">
                  <c:v>1.928873490130223E-4</c:v>
                </c:pt>
                <c:pt idx="58">
                  <c:v>1.927721330658072E-4</c:v>
                </c:pt>
                <c:pt idx="59">
                  <c:v>1.926569763608866E-4</c:v>
                </c:pt>
                <c:pt idx="60">
                  <c:v>1.9254187907722078E-4</c:v>
                </c:pt>
                <c:pt idx="61">
                  <c:v>1.9242684138898311E-4</c:v>
                </c:pt>
                <c:pt idx="62">
                  <c:v>1.9231186346566382E-4</c:v>
                </c:pt>
                <c:pt idx="63">
                  <c:v>1.9219694547217213E-4</c:v>
                </c:pt>
                <c:pt idx="64">
                  <c:v>1.9208208756893579E-4</c:v>
                </c:pt>
                <c:pt idx="65">
                  <c:v>1.9196728991199887E-4</c:v>
                </c:pt>
                <c:pt idx="66">
                  <c:v>1.9185255265311729E-4</c:v>
                </c:pt>
                <c:pt idx="67">
                  <c:v>1.9173787593985221E-4</c:v>
                </c:pt>
                <c:pt idx="68">
                  <c:v>1.9162325991566151E-4</c:v>
                </c:pt>
                <c:pt idx="69">
                  <c:v>1.9150870471998951E-4</c:v>
                </c:pt>
                <c:pt idx="70">
                  <c:v>1.9139421048835443E-4</c:v>
                </c:pt>
                <c:pt idx="71">
                  <c:v>1.912797773524343E-4</c:v>
                </c:pt>
                <c:pt idx="72">
                  <c:v>1.9116540544015064E-4</c:v>
                </c:pt>
                <c:pt idx="73">
                  <c:v>1.9105109487575086E-4</c:v>
                </c:pt>
                <c:pt idx="74">
                  <c:v>1.9093684577988848E-4</c:v>
                </c:pt>
                <c:pt idx="75">
                  <c:v>1.9082265826970182E-4</c:v>
                </c:pt>
                <c:pt idx="76">
                  <c:v>1.9070853245889072E-4</c:v>
                </c:pt>
                <c:pt idx="77">
                  <c:v>1.9059446845779232E-4</c:v>
                </c:pt>
                <c:pt idx="78">
                  <c:v>1.9048046637345443E-4</c:v>
                </c:pt>
                <c:pt idx="79">
                  <c:v>1.9036652630970743E-4</c:v>
                </c:pt>
                <c:pt idx="80">
                  <c:v>1.9025264836723538E-4</c:v>
                </c:pt>
                <c:pt idx="81">
                  <c:v>1.901388326436445E-4</c:v>
                </c:pt>
                <c:pt idx="82">
                  <c:v>1.9002507923353103E-4</c:v>
                </c:pt>
                <c:pt idx="83">
                  <c:v>1.8991138822854731E-4</c:v>
                </c:pt>
                <c:pt idx="84">
                  <c:v>1.8979775971746633E-4</c:v>
                </c:pt>
                <c:pt idx="85">
                  <c:v>1.8968419378624494E-4</c:v>
                </c:pt>
                <c:pt idx="86">
                  <c:v>1.8957069051808595E-4</c:v>
                </c:pt>
                <c:pt idx="87">
                  <c:v>1.8945724999349875E-4</c:v>
                </c:pt>
                <c:pt idx="88">
                  <c:v>1.8934387229035807E-4</c:v>
                </c:pt>
                <c:pt idx="89">
                  <c:v>1.8923055748396286E-4</c:v>
                </c:pt>
                <c:pt idx="90">
                  <c:v>1.8911730564709199E-4</c:v>
                </c:pt>
                <c:pt idx="91">
                  <c:v>1.8900411685006057E-4</c:v>
                </c:pt>
                <c:pt idx="92">
                  <c:v>1.8889099116077383E-4</c:v>
                </c:pt>
                <c:pt idx="93">
                  <c:v>1.8877792864478035E-4</c:v>
                </c:pt>
                <c:pt idx="94">
                  <c:v>1.8866492936532424E-4</c:v>
                </c:pt>
                <c:pt idx="95">
                  <c:v>1.8855199338339539E-4</c:v>
                </c:pt>
                <c:pt idx="96">
                  <c:v>1.8843912075777999E-4</c:v>
                </c:pt>
                <c:pt idx="97">
                  <c:v>1.8832631154510872E-4</c:v>
                </c:pt>
                <c:pt idx="98">
                  <c:v>1.8821356579990452E-4</c:v>
                </c:pt>
                <c:pt idx="99">
                  <c:v>1.8810088357462909E-4</c:v>
                </c:pt>
                <c:pt idx="100">
                  <c:v>1.8798826491972856E-4</c:v>
                </c:pt>
                <c:pt idx="101">
                  <c:v>1.8787570988367804E-4</c:v>
                </c:pt>
                <c:pt idx="102">
                  <c:v>1.8787570988367804E-4</c:v>
                </c:pt>
                <c:pt idx="103">
                  <c:v>1.8787570988367804E-4</c:v>
                </c:pt>
                <c:pt idx="104">
                  <c:v>1.8787570988367804E-4</c:v>
                </c:pt>
                <c:pt idx="105">
                  <c:v>1.8787570988367804E-4</c:v>
                </c:pt>
                <c:pt idx="106">
                  <c:v>1.8787570988367804E-4</c:v>
                </c:pt>
                <c:pt idx="107">
                  <c:v>1.8787570988367804E-4</c:v>
                </c:pt>
                <c:pt idx="108">
                  <c:v>1.8787570988367804E-4</c:v>
                </c:pt>
                <c:pt idx="109">
                  <c:v>1.8787570988367804E-4</c:v>
                </c:pt>
                <c:pt idx="110">
                  <c:v>1.8787570988367804E-4</c:v>
                </c:pt>
                <c:pt idx="111">
                  <c:v>1.8787570988367804E-4</c:v>
                </c:pt>
                <c:pt idx="112">
                  <c:v>1.8787570988367804E-4</c:v>
                </c:pt>
                <c:pt idx="113">
                  <c:v>1.8787570988367804E-4</c:v>
                </c:pt>
                <c:pt idx="114">
                  <c:v>1.8787570988367804E-4</c:v>
                </c:pt>
                <c:pt idx="115">
                  <c:v>1.8787570988367804E-4</c:v>
                </c:pt>
                <c:pt idx="116">
                  <c:v>1.8787570988367804E-4</c:v>
                </c:pt>
                <c:pt idx="117">
                  <c:v>1.8787570988367804E-4</c:v>
                </c:pt>
                <c:pt idx="118">
                  <c:v>1.8787570988367804E-4</c:v>
                </c:pt>
                <c:pt idx="119">
                  <c:v>1.8787570988367804E-4</c:v>
                </c:pt>
                <c:pt idx="120">
                  <c:v>1.8787570988367804E-4</c:v>
                </c:pt>
                <c:pt idx="121">
                  <c:v>1.8787570988367804E-4</c:v>
                </c:pt>
                <c:pt idx="122">
                  <c:v>1.8787570988367804E-4</c:v>
                </c:pt>
                <c:pt idx="123">
                  <c:v>1.8787570988367804E-4</c:v>
                </c:pt>
                <c:pt idx="124">
                  <c:v>1.8787570988367804E-4</c:v>
                </c:pt>
                <c:pt idx="125">
                  <c:v>1.8787570988367804E-4</c:v>
                </c:pt>
                <c:pt idx="126">
                  <c:v>1.8787570988367804E-4</c:v>
                </c:pt>
                <c:pt idx="127">
                  <c:v>1.8787570988367804E-4</c:v>
                </c:pt>
                <c:pt idx="128">
                  <c:v>1.8787570988367804E-4</c:v>
                </c:pt>
                <c:pt idx="129">
                  <c:v>1.8787570988367804E-4</c:v>
                </c:pt>
                <c:pt idx="130">
                  <c:v>1.8787570988367804E-4</c:v>
                </c:pt>
                <c:pt idx="131">
                  <c:v>1.8787570988367804E-4</c:v>
                </c:pt>
                <c:pt idx="132">
                  <c:v>1.8787570988367804E-4</c:v>
                </c:pt>
                <c:pt idx="133">
                  <c:v>1.8787570988367804E-4</c:v>
                </c:pt>
                <c:pt idx="134">
                  <c:v>1.8787570988367804E-4</c:v>
                </c:pt>
                <c:pt idx="135">
                  <c:v>1.8787570988367804E-4</c:v>
                </c:pt>
                <c:pt idx="136">
                  <c:v>1.8787570988367804E-4</c:v>
                </c:pt>
                <c:pt idx="137">
                  <c:v>1.8787570988367804E-4</c:v>
                </c:pt>
                <c:pt idx="138">
                  <c:v>1.8787570988367804E-4</c:v>
                </c:pt>
                <c:pt idx="139">
                  <c:v>1.8787570988367804E-4</c:v>
                </c:pt>
                <c:pt idx="140">
                  <c:v>1.8787570988367804E-4</c:v>
                </c:pt>
                <c:pt idx="141">
                  <c:v>1.8787570988367804E-4</c:v>
                </c:pt>
                <c:pt idx="142">
                  <c:v>1.8787570988367804E-4</c:v>
                </c:pt>
                <c:pt idx="143">
                  <c:v>1.8787570988367804E-4</c:v>
                </c:pt>
                <c:pt idx="144">
                  <c:v>1.8787570988367804E-4</c:v>
                </c:pt>
                <c:pt idx="145">
                  <c:v>1.8787570988367804E-4</c:v>
                </c:pt>
                <c:pt idx="146">
                  <c:v>1.8787570988367804E-4</c:v>
                </c:pt>
                <c:pt idx="147">
                  <c:v>1.8787570988367804E-4</c:v>
                </c:pt>
                <c:pt idx="148">
                  <c:v>1.8787570988367804E-4</c:v>
                </c:pt>
                <c:pt idx="149">
                  <c:v>1.8787570988367804E-4</c:v>
                </c:pt>
                <c:pt idx="150">
                  <c:v>1.8787570988367804E-4</c:v>
                </c:pt>
                <c:pt idx="151">
                  <c:v>1.8787570988367804E-4</c:v>
                </c:pt>
                <c:pt idx="152">
                  <c:v>1.8787570988367804E-4</c:v>
                </c:pt>
                <c:pt idx="153">
                  <c:v>1.8787570988367804E-4</c:v>
                </c:pt>
                <c:pt idx="154">
                  <c:v>1.8787570988367804E-4</c:v>
                </c:pt>
                <c:pt idx="155">
                  <c:v>1.8787570988367804E-4</c:v>
                </c:pt>
                <c:pt idx="156">
                  <c:v>1.8787570988367804E-4</c:v>
                </c:pt>
                <c:pt idx="157">
                  <c:v>1.8787570988367804E-4</c:v>
                </c:pt>
                <c:pt idx="158">
                  <c:v>1.8787570988367804E-4</c:v>
                </c:pt>
                <c:pt idx="159">
                  <c:v>1.8787570988367804E-4</c:v>
                </c:pt>
                <c:pt idx="160">
                  <c:v>1.8787570988367804E-4</c:v>
                </c:pt>
                <c:pt idx="161">
                  <c:v>1.8787570988367804E-4</c:v>
                </c:pt>
                <c:pt idx="162">
                  <c:v>1.8787570988367804E-4</c:v>
                </c:pt>
                <c:pt idx="163">
                  <c:v>1.8787570988367804E-4</c:v>
                </c:pt>
                <c:pt idx="164">
                  <c:v>1.8787570988367804E-4</c:v>
                </c:pt>
                <c:pt idx="165">
                  <c:v>1.8787570988367804E-4</c:v>
                </c:pt>
                <c:pt idx="166">
                  <c:v>1.8787570988367804E-4</c:v>
                </c:pt>
                <c:pt idx="167">
                  <c:v>1.8787570988367804E-4</c:v>
                </c:pt>
                <c:pt idx="168">
                  <c:v>1.8787570988367804E-4</c:v>
                </c:pt>
                <c:pt idx="169">
                  <c:v>1.8787570988367804E-4</c:v>
                </c:pt>
                <c:pt idx="170">
                  <c:v>1.8787570988367804E-4</c:v>
                </c:pt>
                <c:pt idx="171">
                  <c:v>1.8787570988367804E-4</c:v>
                </c:pt>
                <c:pt idx="172">
                  <c:v>1.8787570988367804E-4</c:v>
                </c:pt>
                <c:pt idx="173">
                  <c:v>1.8787570988367804E-4</c:v>
                </c:pt>
                <c:pt idx="174">
                  <c:v>1.8787570988367804E-4</c:v>
                </c:pt>
                <c:pt idx="175">
                  <c:v>1.8787570988367804E-4</c:v>
                </c:pt>
                <c:pt idx="176">
                  <c:v>1.8787570988367804E-4</c:v>
                </c:pt>
                <c:pt idx="177">
                  <c:v>1.8787570988367804E-4</c:v>
                </c:pt>
                <c:pt idx="178">
                  <c:v>1.8787570988367804E-4</c:v>
                </c:pt>
                <c:pt idx="179">
                  <c:v>1.8787570988367804E-4</c:v>
                </c:pt>
                <c:pt idx="180">
                  <c:v>1.8787570988367804E-4</c:v>
                </c:pt>
                <c:pt idx="181">
                  <c:v>1.8787570988367804E-4</c:v>
                </c:pt>
                <c:pt idx="182">
                  <c:v>1.8787570988367804E-4</c:v>
                </c:pt>
                <c:pt idx="183">
                  <c:v>1.8787570988367804E-4</c:v>
                </c:pt>
                <c:pt idx="184">
                  <c:v>1.8787570988367804E-4</c:v>
                </c:pt>
                <c:pt idx="185">
                  <c:v>1.8787570988367804E-4</c:v>
                </c:pt>
                <c:pt idx="186">
                  <c:v>1.8787570988367804E-4</c:v>
                </c:pt>
                <c:pt idx="187">
                  <c:v>1.8787570988367804E-4</c:v>
                </c:pt>
                <c:pt idx="188">
                  <c:v>1.8787570988367804E-4</c:v>
                </c:pt>
                <c:pt idx="189">
                  <c:v>1.8787570988367804E-4</c:v>
                </c:pt>
                <c:pt idx="190">
                  <c:v>1.8787570988367804E-4</c:v>
                </c:pt>
                <c:pt idx="191">
                  <c:v>1.8787570988367804E-4</c:v>
                </c:pt>
                <c:pt idx="192">
                  <c:v>1.8787570988367804E-4</c:v>
                </c:pt>
                <c:pt idx="193">
                  <c:v>1.8787570988367804E-4</c:v>
                </c:pt>
                <c:pt idx="194">
                  <c:v>1.8787570988367804E-4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56-48DC-A50C-28E43FF47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541424"/>
        <c:axId val="624542080"/>
      </c:scatterChart>
      <c:valAx>
        <c:axId val="6245414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2080"/>
        <c:crossesAt val="1.0000000000000004E-6"/>
        <c:crossBetween val="midCat"/>
      </c:valAx>
      <c:valAx>
        <c:axId val="624542080"/>
        <c:scaling>
          <c:logBase val="10"/>
          <c:orientation val="minMax"/>
          <c:max val="2.0000000000000005E-3"/>
          <c:min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142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5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/>
  <sheetViews>
    <sheetView zoomScale="5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5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5E0683B-D98E-4DC8-AFBE-991E20DE4601}">
  <sheetPr/>
  <sheetViews>
    <sheetView zoomScale="5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wmf"/><Relationship Id="rId3" Type="http://schemas.openxmlformats.org/officeDocument/2006/relationships/image" Target="../media/image3.wmf"/><Relationship Id="rId7" Type="http://schemas.openxmlformats.org/officeDocument/2006/relationships/image" Target="../media/image7.wmf"/><Relationship Id="rId2" Type="http://schemas.openxmlformats.org/officeDocument/2006/relationships/image" Target="../media/image2.wmf"/><Relationship Id="rId1" Type="http://schemas.openxmlformats.org/officeDocument/2006/relationships/image" Target="../media/image1.e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10" Type="http://schemas.openxmlformats.org/officeDocument/2006/relationships/image" Target="../media/image10.wmf"/><Relationship Id="rId4" Type="http://schemas.openxmlformats.org/officeDocument/2006/relationships/image" Target="../media/image4.wmf"/><Relationship Id="rId9" Type="http://schemas.openxmlformats.org/officeDocument/2006/relationships/image" Target="../media/image9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</xdr:row>
          <xdr:rowOff>63500</xdr:rowOff>
        </xdr:from>
        <xdr:to>
          <xdr:col>32</xdr:col>
          <xdr:colOff>584200</xdr:colOff>
          <xdr:row>1</xdr:row>
          <xdr:rowOff>330200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20</xdr:row>
          <xdr:rowOff>0</xdr:rowOff>
        </xdr:from>
        <xdr:to>
          <xdr:col>29</xdr:col>
          <xdr:colOff>342900</xdr:colOff>
          <xdr:row>21</xdr:row>
          <xdr:rowOff>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21</xdr:row>
          <xdr:rowOff>0</xdr:rowOff>
        </xdr:from>
        <xdr:to>
          <xdr:col>29</xdr:col>
          <xdr:colOff>215900</xdr:colOff>
          <xdr:row>22</xdr:row>
          <xdr:rowOff>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22</xdr:row>
          <xdr:rowOff>0</xdr:rowOff>
        </xdr:from>
        <xdr:to>
          <xdr:col>29</xdr:col>
          <xdr:colOff>152400</xdr:colOff>
          <xdr:row>23</xdr:row>
          <xdr:rowOff>0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23</xdr:row>
          <xdr:rowOff>0</xdr:rowOff>
        </xdr:from>
        <xdr:to>
          <xdr:col>29</xdr:col>
          <xdr:colOff>482600</xdr:colOff>
          <xdr:row>24</xdr:row>
          <xdr:rowOff>0</xdr:rowOff>
        </xdr:to>
        <xdr:sp macro="" textlink="">
          <xdr:nvSpPr>
            <xdr:cNvPr id="1029" name="Object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24</xdr:row>
          <xdr:rowOff>0</xdr:rowOff>
        </xdr:from>
        <xdr:to>
          <xdr:col>30</xdr:col>
          <xdr:colOff>101600</xdr:colOff>
          <xdr:row>25</xdr:row>
          <xdr:rowOff>0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25</xdr:row>
          <xdr:rowOff>0</xdr:rowOff>
        </xdr:from>
        <xdr:to>
          <xdr:col>29</xdr:col>
          <xdr:colOff>355600</xdr:colOff>
          <xdr:row>26</xdr:row>
          <xdr:rowOff>0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119062</xdr:colOff>
      <xdr:row>13</xdr:row>
      <xdr:rowOff>150812</xdr:rowOff>
    </xdr:from>
    <xdr:to>
      <xdr:col>37</xdr:col>
      <xdr:colOff>442912</xdr:colOff>
      <xdr:row>19</xdr:row>
      <xdr:rowOff>31749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76812" y="2778125"/>
          <a:ext cx="6419850" cy="9763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228600</xdr:colOff>
          <xdr:row>26</xdr:row>
          <xdr:rowOff>0</xdr:rowOff>
        </xdr:from>
        <xdr:to>
          <xdr:col>29</xdr:col>
          <xdr:colOff>342900</xdr:colOff>
          <xdr:row>27</xdr:row>
          <xdr:rowOff>0</xdr:rowOff>
        </xdr:to>
        <xdr:sp macro="" textlink="">
          <xdr:nvSpPr>
            <xdr:cNvPr id="1034" name="Object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27</xdr:row>
          <xdr:rowOff>25400</xdr:rowOff>
        </xdr:from>
        <xdr:to>
          <xdr:col>30</xdr:col>
          <xdr:colOff>0</xdr:colOff>
          <xdr:row>28</xdr:row>
          <xdr:rowOff>25400</xdr:rowOff>
        </xdr:to>
        <xdr:sp macro="" textlink="">
          <xdr:nvSpPr>
            <xdr:cNvPr id="1036" name="Object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228600</xdr:colOff>
          <xdr:row>28</xdr:row>
          <xdr:rowOff>12700</xdr:rowOff>
        </xdr:from>
        <xdr:to>
          <xdr:col>30</xdr:col>
          <xdr:colOff>76200</xdr:colOff>
          <xdr:row>29</xdr:row>
          <xdr:rowOff>12700</xdr:rowOff>
        </xdr:to>
        <xdr:sp macro="" textlink="">
          <xdr:nvSpPr>
            <xdr:cNvPr id="1038" name="Object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29</xdr:row>
          <xdr:rowOff>0</xdr:rowOff>
        </xdr:from>
        <xdr:to>
          <xdr:col>29</xdr:col>
          <xdr:colOff>368300</xdr:colOff>
          <xdr:row>29</xdr:row>
          <xdr:rowOff>177800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6</xdr:row>
      <xdr:rowOff>0</xdr:rowOff>
    </xdr:from>
    <xdr:to>
      <xdr:col>36</xdr:col>
      <xdr:colOff>490935</xdr:colOff>
      <xdr:row>11</xdr:row>
      <xdr:rowOff>34132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1104900"/>
          <a:ext cx="6390085" cy="9548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13</xdr:row>
          <xdr:rowOff>0</xdr:rowOff>
        </xdr:from>
        <xdr:to>
          <xdr:col>37</xdr:col>
          <xdr:colOff>12700</xdr:colOff>
          <xdr:row>18</xdr:row>
          <xdr:rowOff>63500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3857111" cy="1004711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3854545" cy="100584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3854545" cy="100584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13854545" cy="100584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wmf"/><Relationship Id="rId18" Type="http://schemas.openxmlformats.org/officeDocument/2006/relationships/oleObject" Target="../embeddings/oleObject8.bin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wmf"/><Relationship Id="rId7" Type="http://schemas.openxmlformats.org/officeDocument/2006/relationships/image" Target="../media/image2.w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7.wmf"/><Relationship Id="rId2" Type="http://schemas.openxmlformats.org/officeDocument/2006/relationships/drawing" Target="../drawings/drawing1.xml"/><Relationship Id="rId16" Type="http://schemas.openxmlformats.org/officeDocument/2006/relationships/oleObject" Target="../embeddings/oleObject7.bin"/><Relationship Id="rId20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wmf"/><Relationship Id="rId24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5" Type="http://schemas.openxmlformats.org/officeDocument/2006/relationships/image" Target="../media/image6.wmf"/><Relationship Id="rId23" Type="http://schemas.openxmlformats.org/officeDocument/2006/relationships/image" Target="../media/image10.wmf"/><Relationship Id="rId10" Type="http://schemas.openxmlformats.org/officeDocument/2006/relationships/oleObject" Target="../embeddings/oleObject4.bin"/><Relationship Id="rId19" Type="http://schemas.openxmlformats.org/officeDocument/2006/relationships/image" Target="../media/image8.w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wmf"/><Relationship Id="rId14" Type="http://schemas.openxmlformats.org/officeDocument/2006/relationships/oleObject" Target="../embeddings/oleObject6.bin"/><Relationship Id="rId22" Type="http://schemas.openxmlformats.org/officeDocument/2006/relationships/oleObject" Target="../embeddings/oleObject10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2.wmf"/><Relationship Id="rId4" Type="http://schemas.openxmlformats.org/officeDocument/2006/relationships/oleObject" Target="../embeddings/oleObject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53E14-E627-40AA-AFF8-F41F38BFEBC2}">
  <dimension ref="A1:Q212"/>
  <sheetViews>
    <sheetView tabSelected="1" workbookViewId="0">
      <pane ySplit="2" topLeftCell="A149" activePane="bottomLeft" state="frozen"/>
      <selection pane="bottomLeft" activeCell="R141" sqref="R141"/>
    </sheetView>
  </sheetViews>
  <sheetFormatPr baseColWidth="10" defaultColWidth="8.83203125" defaultRowHeight="15" x14ac:dyDescent="0.2"/>
  <cols>
    <col min="1" max="1" width="5.33203125" style="44" bestFit="1" customWidth="1"/>
    <col min="2" max="2" width="7.1640625" bestFit="1" customWidth="1"/>
    <col min="3" max="3" width="8.6640625" bestFit="1" customWidth="1"/>
    <col min="5" max="6" width="9" style="44"/>
  </cols>
  <sheetData>
    <row r="1" spans="1:14" x14ac:dyDescent="0.2">
      <c r="A1" s="77">
        <v>1</v>
      </c>
      <c r="B1" s="77">
        <v>2</v>
      </c>
      <c r="C1" s="77">
        <v>3</v>
      </c>
      <c r="D1" s="77">
        <v>4</v>
      </c>
      <c r="E1" s="77">
        <v>5</v>
      </c>
      <c r="F1" s="77">
        <v>6</v>
      </c>
      <c r="G1" s="77">
        <v>7</v>
      </c>
      <c r="H1" s="77">
        <v>8</v>
      </c>
      <c r="I1" s="77">
        <v>9</v>
      </c>
      <c r="J1" s="77">
        <v>10</v>
      </c>
      <c r="K1" s="77">
        <v>11</v>
      </c>
      <c r="L1" s="77">
        <v>12</v>
      </c>
      <c r="M1" s="77">
        <v>13</v>
      </c>
      <c r="N1" s="77">
        <v>14</v>
      </c>
    </row>
    <row r="2" spans="1:14" s="99" customFormat="1" ht="30" x14ac:dyDescent="0.2">
      <c r="A2" s="99" t="s">
        <v>111</v>
      </c>
      <c r="B2" s="99" t="s">
        <v>109</v>
      </c>
      <c r="C2" s="99" t="s">
        <v>108</v>
      </c>
      <c r="D2" s="101" t="s">
        <v>100</v>
      </c>
      <c r="E2" s="100" t="s">
        <v>155</v>
      </c>
      <c r="F2" s="131" t="s">
        <v>101</v>
      </c>
      <c r="G2" s="100" t="s">
        <v>102</v>
      </c>
      <c r="H2" s="100" t="s">
        <v>103</v>
      </c>
      <c r="I2" s="100" t="s">
        <v>104</v>
      </c>
      <c r="J2" s="100" t="s">
        <v>105</v>
      </c>
      <c r="K2" s="100" t="s">
        <v>182</v>
      </c>
      <c r="L2" s="100" t="s">
        <v>183</v>
      </c>
      <c r="M2" s="100" t="s">
        <v>106</v>
      </c>
      <c r="N2" s="102" t="s">
        <v>107</v>
      </c>
    </row>
    <row r="3" spans="1:14" x14ac:dyDescent="0.2">
      <c r="A3" s="44">
        <v>1</v>
      </c>
      <c r="B3" t="s">
        <v>184</v>
      </c>
      <c r="C3" s="44">
        <v>20230518</v>
      </c>
      <c r="D3" s="44">
        <v>165</v>
      </c>
      <c r="E3" s="40">
        <v>30066.698973142022</v>
      </c>
      <c r="F3" s="125">
        <v>188.02334599999998</v>
      </c>
      <c r="G3" s="126">
        <v>0.10135046924133764</v>
      </c>
      <c r="H3" s="127">
        <v>0</v>
      </c>
      <c r="I3" s="125">
        <v>1012.2095068695754</v>
      </c>
      <c r="J3" s="125">
        <v>198.53888929031672</v>
      </c>
      <c r="K3" s="44">
        <v>0</v>
      </c>
      <c r="L3" s="44">
        <v>0</v>
      </c>
      <c r="M3" s="127">
        <v>0.9994739747714555</v>
      </c>
      <c r="N3" s="128">
        <v>0.40145325486346484</v>
      </c>
    </row>
    <row r="4" spans="1:14" x14ac:dyDescent="0.2">
      <c r="A4" s="44">
        <v>2</v>
      </c>
      <c r="B4" t="s">
        <v>184</v>
      </c>
      <c r="C4" s="44">
        <v>20230518</v>
      </c>
      <c r="D4" s="44">
        <v>186</v>
      </c>
      <c r="E4" s="40">
        <v>29464.380225303787</v>
      </c>
      <c r="F4" s="125">
        <v>188.45913700000003</v>
      </c>
      <c r="G4" s="126">
        <v>0.10342230266391325</v>
      </c>
      <c r="H4" s="127">
        <v>0</v>
      </c>
      <c r="I4" s="125">
        <v>1032.901364565739</v>
      </c>
      <c r="J4" s="125">
        <v>100.38613596978381</v>
      </c>
      <c r="K4" s="44">
        <v>0</v>
      </c>
      <c r="L4" s="44">
        <v>0</v>
      </c>
      <c r="M4" s="127">
        <v>0.9991569198143595</v>
      </c>
      <c r="N4" s="128">
        <v>0.58508757016694757</v>
      </c>
    </row>
    <row r="5" spans="1:14" x14ac:dyDescent="0.2">
      <c r="A5" s="44">
        <v>3</v>
      </c>
      <c r="B5" t="s">
        <v>184</v>
      </c>
      <c r="C5" s="44">
        <v>20230518</v>
      </c>
      <c r="D5" s="44">
        <v>197</v>
      </c>
      <c r="E5" s="40">
        <v>28872.817169391234</v>
      </c>
      <c r="F5" s="125">
        <v>187.04797383333332</v>
      </c>
      <c r="G5" s="126">
        <v>0.10554127889870327</v>
      </c>
      <c r="H5" s="127">
        <v>0</v>
      </c>
      <c r="I5" s="125">
        <v>1054.064047933073</v>
      </c>
      <c r="J5" s="125">
        <v>0</v>
      </c>
      <c r="K5" s="44">
        <v>0</v>
      </c>
      <c r="L5" s="44">
        <v>0</v>
      </c>
      <c r="M5" s="127">
        <v>0.999052051605822</v>
      </c>
      <c r="N5" s="128">
        <v>0</v>
      </c>
    </row>
    <row r="6" spans="1:14" x14ac:dyDescent="0.2">
      <c r="A6" s="44">
        <v>4</v>
      </c>
      <c r="B6" t="s">
        <v>184</v>
      </c>
      <c r="C6" s="44">
        <v>20230518</v>
      </c>
      <c r="D6" s="44">
        <v>202</v>
      </c>
      <c r="E6" s="40">
        <v>28717.930873246092</v>
      </c>
      <c r="F6" s="125">
        <v>185.595337</v>
      </c>
      <c r="G6" s="126">
        <v>0.10611050158578307</v>
      </c>
      <c r="H6" s="127">
        <v>0</v>
      </c>
      <c r="I6" s="125">
        <v>520.41245562746326</v>
      </c>
      <c r="J6" s="125">
        <v>0</v>
      </c>
      <c r="K6" s="44">
        <v>0</v>
      </c>
      <c r="L6" s="44">
        <v>0</v>
      </c>
      <c r="M6" s="127">
        <v>0.99841944672559768</v>
      </c>
      <c r="N6" s="128">
        <v>0</v>
      </c>
    </row>
    <row r="7" spans="1:14" x14ac:dyDescent="0.2">
      <c r="A7" s="44">
        <v>5</v>
      </c>
      <c r="B7" t="s">
        <v>184</v>
      </c>
      <c r="C7" s="44">
        <v>20230518</v>
      </c>
      <c r="D7" s="44">
        <v>212</v>
      </c>
      <c r="E7" s="40">
        <v>29314.871775121483</v>
      </c>
      <c r="F7" s="125">
        <v>184.94162000000003</v>
      </c>
      <c r="G7" s="126">
        <v>0.10394976559481676</v>
      </c>
      <c r="H7" s="127">
        <v>0</v>
      </c>
      <c r="I7" s="125">
        <v>509.81525830753196</v>
      </c>
      <c r="J7" s="125">
        <v>101.81536976429747</v>
      </c>
      <c r="K7" s="44">
        <v>0</v>
      </c>
      <c r="L7" s="44">
        <v>0</v>
      </c>
      <c r="M7" s="127">
        <v>0.99924958127601882</v>
      </c>
      <c r="N7" s="128">
        <v>0.56656825101668318</v>
      </c>
    </row>
    <row r="8" spans="1:14" x14ac:dyDescent="0.2">
      <c r="A8" s="44">
        <v>6</v>
      </c>
      <c r="B8" t="s">
        <v>184</v>
      </c>
      <c r="C8" s="44">
        <v>20230518</v>
      </c>
      <c r="D8" s="44">
        <v>219</v>
      </c>
      <c r="E8" s="40">
        <v>29911.81267699688</v>
      </c>
      <c r="F8" s="125">
        <v>184.19454999999996</v>
      </c>
      <c r="G8" s="126">
        <v>0.10187527189916636</v>
      </c>
      <c r="H8" s="127">
        <v>0</v>
      </c>
      <c r="I8" s="125">
        <v>499.64103104252996</v>
      </c>
      <c r="J8" s="125">
        <v>199.56694310754978</v>
      </c>
      <c r="K8" s="44">
        <v>0</v>
      </c>
      <c r="L8" s="44">
        <v>0</v>
      </c>
      <c r="M8" s="127">
        <v>0.9987566090851816</v>
      </c>
      <c r="N8" s="128">
        <v>0.34018386190048877</v>
      </c>
    </row>
    <row r="9" spans="1:14" x14ac:dyDescent="0.2">
      <c r="A9" s="44">
        <v>7</v>
      </c>
      <c r="B9" t="s">
        <v>184</v>
      </c>
      <c r="C9" s="44">
        <v>20230518</v>
      </c>
      <c r="D9" s="44">
        <v>230</v>
      </c>
      <c r="E9" s="40">
        <v>29762.360987734028</v>
      </c>
      <c r="F9" s="125">
        <v>181.20620699999998</v>
      </c>
      <c r="G9" s="126">
        <v>0.10238683855497428</v>
      </c>
      <c r="H9" s="127">
        <v>0</v>
      </c>
      <c r="I9" s="125">
        <v>0</v>
      </c>
      <c r="J9" s="125">
        <v>200.56906846920168</v>
      </c>
      <c r="K9" s="44">
        <v>0</v>
      </c>
      <c r="L9" s="44">
        <v>0</v>
      </c>
      <c r="M9" s="127">
        <v>0</v>
      </c>
      <c r="N9" s="128">
        <v>0.43312211648568866</v>
      </c>
    </row>
    <row r="10" spans="1:14" x14ac:dyDescent="0.2">
      <c r="A10" s="44">
        <v>8</v>
      </c>
      <c r="B10" t="s">
        <v>184</v>
      </c>
      <c r="C10" s="44">
        <v>20230518</v>
      </c>
      <c r="D10" s="44">
        <v>239</v>
      </c>
      <c r="E10" s="40">
        <v>29165.42008585863</v>
      </c>
      <c r="F10" s="125">
        <v>181.76654099999999</v>
      </c>
      <c r="G10" s="126">
        <v>0.10448243298040179</v>
      </c>
      <c r="H10" s="127">
        <v>0</v>
      </c>
      <c r="I10" s="125">
        <v>0</v>
      </c>
      <c r="J10" s="125">
        <v>102.33709991457137</v>
      </c>
      <c r="K10" s="44">
        <v>0</v>
      </c>
      <c r="L10" s="44">
        <v>0</v>
      </c>
      <c r="M10" s="127">
        <v>0</v>
      </c>
      <c r="N10" s="128">
        <v>0.62354807456326822</v>
      </c>
    </row>
    <row r="11" spans="1:14" x14ac:dyDescent="0.2">
      <c r="A11" s="44">
        <v>9</v>
      </c>
      <c r="B11" t="s">
        <v>184</v>
      </c>
      <c r="C11" s="44">
        <v>20230518</v>
      </c>
      <c r="D11" s="44">
        <v>246</v>
      </c>
      <c r="E11" s="40">
        <v>28568.479183983236</v>
      </c>
      <c r="F11" s="125">
        <v>182.295715</v>
      </c>
      <c r="G11" s="126">
        <v>0.10666560266793712</v>
      </c>
      <c r="H11" s="127">
        <v>0</v>
      </c>
      <c r="I11" s="125">
        <v>0</v>
      </c>
      <c r="J11" s="125">
        <v>0</v>
      </c>
      <c r="K11" s="44">
        <v>0</v>
      </c>
      <c r="L11" s="44">
        <v>0</v>
      </c>
      <c r="M11" s="127">
        <v>0</v>
      </c>
      <c r="N11" s="128">
        <v>0</v>
      </c>
    </row>
    <row r="12" spans="1:14" x14ac:dyDescent="0.2">
      <c r="A12" s="44">
        <v>10</v>
      </c>
      <c r="B12" t="s">
        <v>184</v>
      </c>
      <c r="C12" s="44">
        <v>20230518</v>
      </c>
      <c r="D12" s="44">
        <v>287</v>
      </c>
      <c r="E12" s="40">
        <v>30067.087159347906</v>
      </c>
      <c r="F12" s="125">
        <v>169.595337</v>
      </c>
      <c r="G12" s="126">
        <v>0.10134916073899052</v>
      </c>
      <c r="H12" s="127">
        <v>0</v>
      </c>
      <c r="I12" s="125">
        <v>1013.4875054537441</v>
      </c>
      <c r="J12" s="125">
        <v>198.53632602046136</v>
      </c>
      <c r="K12" s="44">
        <v>0</v>
      </c>
      <c r="L12" s="44">
        <v>0</v>
      </c>
      <c r="M12" s="127">
        <v>0.9935402840484383</v>
      </c>
      <c r="N12" s="128">
        <v>0.16533430422969564</v>
      </c>
    </row>
    <row r="13" spans="1:14" x14ac:dyDescent="0.2">
      <c r="A13" s="44">
        <v>11</v>
      </c>
      <c r="B13" t="s">
        <v>184</v>
      </c>
      <c r="C13" s="44">
        <v>20230518</v>
      </c>
      <c r="D13" s="44">
        <v>302</v>
      </c>
      <c r="E13" s="40">
        <v>29475.524103435349</v>
      </c>
      <c r="F13" s="125">
        <v>170.16601600000001</v>
      </c>
      <c r="G13" s="126">
        <v>0.10338320155979283</v>
      </c>
      <c r="H13" s="127">
        <v>0</v>
      </c>
      <c r="I13" s="125">
        <v>1033.8278313373994</v>
      </c>
      <c r="J13" s="125">
        <v>102.17269516982633</v>
      </c>
      <c r="K13" s="44">
        <v>0</v>
      </c>
      <c r="L13" s="44">
        <v>0</v>
      </c>
      <c r="M13" s="127">
        <v>0.99752006613806188</v>
      </c>
      <c r="N13" s="128">
        <v>0.34614113845074912</v>
      </c>
    </row>
    <row r="14" spans="1:14" x14ac:dyDescent="0.2">
      <c r="A14" s="44">
        <v>12</v>
      </c>
      <c r="B14" t="s">
        <v>184</v>
      </c>
      <c r="C14" s="44">
        <v>20230518</v>
      </c>
      <c r="D14" s="44">
        <v>316</v>
      </c>
      <c r="E14" s="40">
        <v>28873.205355597118</v>
      </c>
      <c r="F14" s="125">
        <v>167.26587416666666</v>
      </c>
      <c r="G14" s="126">
        <v>0.10553985994752985</v>
      </c>
      <c r="H14" s="127">
        <v>0</v>
      </c>
      <c r="I14" s="125">
        <v>1055.3943279276627</v>
      </c>
      <c r="J14" s="125">
        <v>0</v>
      </c>
      <c r="K14" s="44">
        <v>0</v>
      </c>
      <c r="L14" s="44">
        <v>0</v>
      </c>
      <c r="M14" s="127">
        <v>0.99947551507242849</v>
      </c>
      <c r="N14" s="128">
        <v>0</v>
      </c>
    </row>
    <row r="15" spans="1:14" x14ac:dyDescent="0.2">
      <c r="A15" s="44">
        <v>13</v>
      </c>
      <c r="B15" t="s">
        <v>184</v>
      </c>
      <c r="C15" s="44">
        <v>20230518</v>
      </c>
      <c r="D15" s="44">
        <v>340</v>
      </c>
      <c r="E15" s="40">
        <v>28722.58910771662</v>
      </c>
      <c r="F15" s="125">
        <v>166.74188199999998</v>
      </c>
      <c r="G15" s="126">
        <v>0.10609329256627865</v>
      </c>
      <c r="H15" s="127">
        <v>0</v>
      </c>
      <c r="I15" s="125">
        <v>536.54607234549349</v>
      </c>
      <c r="J15" s="125">
        <v>0</v>
      </c>
      <c r="K15" s="44">
        <v>0</v>
      </c>
      <c r="L15" s="44">
        <v>0</v>
      </c>
      <c r="M15" s="127">
        <v>0.99914447411431084</v>
      </c>
      <c r="N15" s="128">
        <v>0</v>
      </c>
    </row>
    <row r="16" spans="1:14" x14ac:dyDescent="0.2">
      <c r="A16" s="44">
        <v>14</v>
      </c>
      <c r="B16" t="s">
        <v>184</v>
      </c>
      <c r="C16" s="44">
        <v>20230518</v>
      </c>
      <c r="D16" s="44">
        <v>350</v>
      </c>
      <c r="E16" s="40">
        <v>29324.907855554851</v>
      </c>
      <c r="F16" s="125">
        <v>166.368347</v>
      </c>
      <c r="G16" s="126">
        <v>0.10391419009655166</v>
      </c>
      <c r="H16" s="127">
        <v>0</v>
      </c>
      <c r="I16" s="125">
        <v>525.52568789809811</v>
      </c>
      <c r="J16" s="125">
        <v>102.69746640041697</v>
      </c>
      <c r="K16" s="44">
        <v>0</v>
      </c>
      <c r="L16" s="44">
        <v>0</v>
      </c>
      <c r="M16" s="127">
        <v>0.99822769407233269</v>
      </c>
      <c r="N16" s="128">
        <v>0.37378462545171742</v>
      </c>
    </row>
    <row r="17" spans="1:17" x14ac:dyDescent="0.2">
      <c r="A17" s="44">
        <v>15</v>
      </c>
      <c r="B17" t="s">
        <v>184</v>
      </c>
      <c r="C17" s="44">
        <v>20230518</v>
      </c>
      <c r="D17" s="44">
        <v>358</v>
      </c>
      <c r="E17" s="40">
        <v>29916.470911467411</v>
      </c>
      <c r="F17" s="125">
        <v>165.91180399999999</v>
      </c>
      <c r="G17" s="126">
        <v>0.10185940910222552</v>
      </c>
      <c r="H17" s="127">
        <v>0</v>
      </c>
      <c r="I17" s="125">
        <v>515.13403499179276</v>
      </c>
      <c r="J17" s="125">
        <v>199.53586893385085</v>
      </c>
      <c r="K17" s="44">
        <v>0</v>
      </c>
      <c r="L17" s="44">
        <v>0</v>
      </c>
      <c r="M17" s="127">
        <v>0.99901466524250049</v>
      </c>
      <c r="N17" s="128">
        <v>0.1896242540601164</v>
      </c>
    </row>
    <row r="18" spans="1:17" x14ac:dyDescent="0.2">
      <c r="A18" s="44">
        <v>16</v>
      </c>
      <c r="B18" t="s">
        <v>184</v>
      </c>
      <c r="C18" s="44">
        <v>20230518</v>
      </c>
      <c r="D18" s="44">
        <v>367</v>
      </c>
      <c r="E18" s="40">
        <v>29762.360987734028</v>
      </c>
      <c r="F18" s="125">
        <v>162.52917500000001</v>
      </c>
      <c r="G18" s="126">
        <v>0.10238683855497428</v>
      </c>
      <c r="H18" s="127">
        <v>0</v>
      </c>
      <c r="I18" s="125">
        <v>0</v>
      </c>
      <c r="J18" s="125">
        <v>200.56906846920168</v>
      </c>
      <c r="K18" s="44">
        <v>0</v>
      </c>
      <c r="L18" s="44">
        <v>0</v>
      </c>
      <c r="M18" s="127">
        <v>0</v>
      </c>
      <c r="N18" s="128">
        <v>0.275639949824521</v>
      </c>
    </row>
    <row r="19" spans="1:17" x14ac:dyDescent="0.2">
      <c r="A19" s="44">
        <v>17</v>
      </c>
      <c r="B19" t="s">
        <v>184</v>
      </c>
      <c r="C19" s="44">
        <v>20230518</v>
      </c>
      <c r="D19" s="44">
        <v>376</v>
      </c>
      <c r="E19" s="40">
        <v>29165.42008585863</v>
      </c>
      <c r="F19" s="125">
        <v>163.05316200000001</v>
      </c>
      <c r="G19" s="126">
        <v>0.10448243298040179</v>
      </c>
      <c r="H19" s="127">
        <v>0</v>
      </c>
      <c r="I19" s="125">
        <v>0</v>
      </c>
      <c r="J19" s="125">
        <v>102.33709991457137</v>
      </c>
      <c r="K19" s="44">
        <v>0</v>
      </c>
      <c r="L19" s="44">
        <v>0</v>
      </c>
      <c r="M19" s="127">
        <v>0</v>
      </c>
      <c r="N19" s="128">
        <v>0.59952187473001328</v>
      </c>
    </row>
    <row r="20" spans="1:17" x14ac:dyDescent="0.2">
      <c r="A20" s="44">
        <v>18</v>
      </c>
      <c r="B20" t="s">
        <v>184</v>
      </c>
      <c r="C20" s="44">
        <v>20230518</v>
      </c>
      <c r="D20" s="44">
        <v>386</v>
      </c>
      <c r="E20" s="40">
        <v>28568.479183983236</v>
      </c>
      <c r="F20" s="125">
        <v>163.40078700000001</v>
      </c>
      <c r="G20" s="126">
        <v>0.10666560266793712</v>
      </c>
      <c r="H20" s="127">
        <v>0</v>
      </c>
      <c r="I20" s="125">
        <v>0</v>
      </c>
      <c r="J20" s="125">
        <v>0</v>
      </c>
      <c r="K20" s="44">
        <v>0</v>
      </c>
      <c r="L20" s="44">
        <v>0</v>
      </c>
      <c r="M20" s="127">
        <v>0</v>
      </c>
      <c r="N20" s="128">
        <v>0</v>
      </c>
    </row>
    <row r="21" spans="1:17" x14ac:dyDescent="0.2">
      <c r="A21" s="44">
        <v>19</v>
      </c>
      <c r="B21" t="s">
        <v>184</v>
      </c>
      <c r="C21" s="44">
        <v>20230518</v>
      </c>
      <c r="D21" s="44">
        <v>429</v>
      </c>
      <c r="E21" s="40">
        <v>30069.416276583168</v>
      </c>
      <c r="F21" s="125">
        <v>144.936432</v>
      </c>
      <c r="G21" s="126">
        <v>0.10134131043438581</v>
      </c>
      <c r="H21" s="127">
        <v>0</v>
      </c>
      <c r="I21" s="125">
        <v>1021.1548040201413</v>
      </c>
      <c r="J21" s="125">
        <v>198.52094779115001</v>
      </c>
      <c r="K21" s="44">
        <v>0</v>
      </c>
      <c r="L21" s="44">
        <v>0</v>
      </c>
      <c r="M21" s="127">
        <v>0.33875363356588262</v>
      </c>
      <c r="N21" s="128">
        <v>3.3240703847675412E-2</v>
      </c>
    </row>
    <row r="22" spans="1:17" x14ac:dyDescent="0.2">
      <c r="A22" s="44">
        <v>20</v>
      </c>
      <c r="B22" t="s">
        <v>184</v>
      </c>
      <c r="C22" s="44">
        <v>20230518</v>
      </c>
      <c r="D22" s="44">
        <v>446</v>
      </c>
      <c r="E22" s="40">
        <v>28875.53447283238</v>
      </c>
      <c r="F22" s="125">
        <v>147.74319499999999</v>
      </c>
      <c r="G22" s="126">
        <v>0.10553134704166338</v>
      </c>
      <c r="H22" s="127">
        <v>0</v>
      </c>
      <c r="I22" s="125">
        <v>1063.37525678715</v>
      </c>
      <c r="J22" s="125">
        <v>0</v>
      </c>
      <c r="K22" s="44">
        <v>0</v>
      </c>
      <c r="L22" s="44">
        <v>0</v>
      </c>
      <c r="M22" s="127">
        <v>0.58375062981917702</v>
      </c>
      <c r="N22" s="128">
        <v>0</v>
      </c>
    </row>
    <row r="23" spans="1:17" x14ac:dyDescent="0.2">
      <c r="A23" s="44">
        <v>21</v>
      </c>
      <c r="B23" t="s">
        <v>184</v>
      </c>
      <c r="C23" s="44">
        <v>20230518</v>
      </c>
      <c r="D23" s="44">
        <v>457</v>
      </c>
      <c r="E23" s="40">
        <v>28875.53447283238</v>
      </c>
      <c r="F23" s="125">
        <v>148.72891200000001</v>
      </c>
      <c r="G23" s="126">
        <v>0.10553134704166338</v>
      </c>
      <c r="H23" s="127">
        <v>0</v>
      </c>
      <c r="I23" s="125">
        <v>1063.37525678715</v>
      </c>
      <c r="J23" s="125">
        <v>0</v>
      </c>
      <c r="K23" s="44">
        <v>0</v>
      </c>
      <c r="L23" s="44">
        <v>0</v>
      </c>
      <c r="M23" s="127">
        <v>0.99934878684020856</v>
      </c>
      <c r="N23" s="128">
        <v>0</v>
      </c>
      <c r="O23" s="8"/>
      <c r="P23" s="8"/>
      <c r="Q23" s="8"/>
    </row>
    <row r="24" spans="1:17" x14ac:dyDescent="0.2">
      <c r="A24" s="44">
        <v>22</v>
      </c>
      <c r="B24" t="s">
        <v>184</v>
      </c>
      <c r="C24" s="44">
        <v>20230518</v>
      </c>
      <c r="D24" s="44">
        <v>467</v>
      </c>
      <c r="E24" s="40">
        <v>28716.766314628458</v>
      </c>
      <c r="F24" s="125">
        <v>148.39688100000001</v>
      </c>
      <c r="G24" s="126">
        <v>0.10611480471301157</v>
      </c>
      <c r="H24" s="127">
        <v>0</v>
      </c>
      <c r="I24" s="125">
        <v>516.37823360942468</v>
      </c>
      <c r="J24" s="125">
        <v>0</v>
      </c>
      <c r="K24" s="44">
        <v>0</v>
      </c>
      <c r="L24" s="44">
        <v>0</v>
      </c>
      <c r="M24" s="127">
        <v>0.99872525999309902</v>
      </c>
      <c r="N24" s="128">
        <v>0</v>
      </c>
      <c r="O24" s="8"/>
      <c r="P24" s="8"/>
      <c r="Q24" s="8"/>
    </row>
    <row r="25" spans="1:17" x14ac:dyDescent="0.2">
      <c r="A25" s="44">
        <v>23</v>
      </c>
      <c r="B25" t="s">
        <v>184</v>
      </c>
      <c r="C25" s="44">
        <v>20230518</v>
      </c>
      <c r="D25" s="44">
        <v>476</v>
      </c>
      <c r="E25" s="40">
        <v>29319.085062466689</v>
      </c>
      <c r="F25" s="125">
        <v>148.63552866666669</v>
      </c>
      <c r="G25" s="126">
        <v>0.10393482753549517</v>
      </c>
      <c r="H25" s="127">
        <v>0</v>
      </c>
      <c r="I25" s="125">
        <v>505.76997996113101</v>
      </c>
      <c r="J25" s="125">
        <v>102.71786219708845</v>
      </c>
      <c r="K25" s="44">
        <v>0</v>
      </c>
      <c r="L25" s="44">
        <v>0</v>
      </c>
      <c r="M25" s="127">
        <v>0.99419644859972356</v>
      </c>
      <c r="N25" s="128">
        <v>0.16177562910966259</v>
      </c>
      <c r="O25" s="8"/>
      <c r="P25" s="8"/>
      <c r="Q25" s="8"/>
    </row>
    <row r="26" spans="1:17" x14ac:dyDescent="0.2">
      <c r="A26" s="44">
        <v>24</v>
      </c>
      <c r="B26" t="s">
        <v>184</v>
      </c>
      <c r="C26" s="44">
        <v>20230518</v>
      </c>
      <c r="D26" s="44">
        <v>483</v>
      </c>
      <c r="E26" s="40">
        <v>29910.648118379249</v>
      </c>
      <c r="F26" s="125">
        <v>148.36575300000001</v>
      </c>
      <c r="G26" s="126">
        <v>0.10187923837041581</v>
      </c>
      <c r="H26" s="127">
        <v>0</v>
      </c>
      <c r="I26" s="125">
        <v>495.76702603815016</v>
      </c>
      <c r="J26" s="125">
        <v>199.57471316329952</v>
      </c>
      <c r="K26" s="44">
        <v>0</v>
      </c>
      <c r="L26" s="44">
        <v>0</v>
      </c>
      <c r="M26" s="127">
        <v>0.97847212803400563</v>
      </c>
      <c r="N26" s="128">
        <v>6.3076351106305828E-2</v>
      </c>
      <c r="O26" s="8"/>
      <c r="P26" s="8"/>
      <c r="Q26" s="8"/>
    </row>
    <row r="27" spans="1:17" x14ac:dyDescent="0.2">
      <c r="A27" s="44">
        <v>25</v>
      </c>
      <c r="B27" t="s">
        <v>184</v>
      </c>
      <c r="C27" s="44">
        <v>20230518</v>
      </c>
      <c r="D27" s="44">
        <v>492</v>
      </c>
      <c r="E27" s="40">
        <v>29762.360987734028</v>
      </c>
      <c r="F27" s="125">
        <v>145.08169600000002</v>
      </c>
      <c r="G27" s="126">
        <v>0.10238683855497428</v>
      </c>
      <c r="H27" s="127">
        <v>0</v>
      </c>
      <c r="I27" s="125">
        <v>0</v>
      </c>
      <c r="J27" s="125">
        <v>200.56906846920168</v>
      </c>
      <c r="K27" s="44">
        <v>0</v>
      </c>
      <c r="L27" s="44">
        <v>0</v>
      </c>
      <c r="M27" s="127">
        <v>0</v>
      </c>
      <c r="N27" s="128">
        <v>0.19507011704926913</v>
      </c>
      <c r="O27" s="8"/>
      <c r="P27" s="8"/>
      <c r="Q27" s="8"/>
    </row>
    <row r="28" spans="1:17" x14ac:dyDescent="0.2">
      <c r="A28" s="44">
        <v>26</v>
      </c>
      <c r="B28" t="s">
        <v>184</v>
      </c>
      <c r="C28" s="44">
        <v>20230518</v>
      </c>
      <c r="D28" s="44">
        <v>503</v>
      </c>
      <c r="E28" s="40">
        <v>29170.797931821468</v>
      </c>
      <c r="F28" s="125">
        <v>145.37224799999998</v>
      </c>
      <c r="G28" s="126">
        <v>0.10446317089399247</v>
      </c>
      <c r="H28" s="127">
        <v>0</v>
      </c>
      <c r="I28" s="125">
        <v>0</v>
      </c>
      <c r="J28" s="125">
        <v>103.24001922161749</v>
      </c>
      <c r="K28" s="44">
        <v>0</v>
      </c>
      <c r="L28" s="44">
        <v>0</v>
      </c>
      <c r="M28" s="127">
        <v>0</v>
      </c>
      <c r="N28" s="128">
        <v>0.33618955520016736</v>
      </c>
      <c r="O28" s="8"/>
      <c r="P28" s="8"/>
      <c r="Q28" s="8"/>
    </row>
    <row r="29" spans="1:17" x14ac:dyDescent="0.2">
      <c r="A29" s="44">
        <v>27</v>
      </c>
      <c r="B29" t="s">
        <v>184</v>
      </c>
      <c r="C29" s="44">
        <v>20230518</v>
      </c>
      <c r="D29" s="44">
        <v>509</v>
      </c>
      <c r="E29" s="40">
        <v>28568.479183983236</v>
      </c>
      <c r="F29" s="125">
        <v>145.54864000000001</v>
      </c>
      <c r="G29" s="126">
        <v>0.10666560266793712</v>
      </c>
      <c r="H29" s="127">
        <v>0</v>
      </c>
      <c r="I29" s="125">
        <v>0</v>
      </c>
      <c r="J29" s="125">
        <v>0</v>
      </c>
      <c r="K29" s="44">
        <v>0</v>
      </c>
      <c r="L29" s="44">
        <v>0</v>
      </c>
      <c r="M29" s="127">
        <v>0</v>
      </c>
      <c r="N29" s="128">
        <v>0</v>
      </c>
      <c r="O29" s="8"/>
      <c r="P29" s="8"/>
      <c r="Q29" s="8"/>
    </row>
    <row r="30" spans="1:17" x14ac:dyDescent="0.2">
      <c r="A30" s="44">
        <v>28</v>
      </c>
      <c r="B30" t="s">
        <v>184</v>
      </c>
      <c r="C30" s="44">
        <v>20230518</v>
      </c>
      <c r="D30" s="44">
        <v>653</v>
      </c>
      <c r="E30" s="40">
        <v>30070.192648994926</v>
      </c>
      <c r="F30" s="125">
        <v>169.97094720000001</v>
      </c>
      <c r="G30" s="126">
        <v>0.10133869393643014</v>
      </c>
      <c r="H30" s="127">
        <v>0</v>
      </c>
      <c r="I30" s="125">
        <v>1023.7103062629945</v>
      </c>
      <c r="J30" s="125">
        <v>198.51582224410674</v>
      </c>
      <c r="K30" s="44">
        <v>0</v>
      </c>
      <c r="L30" s="44">
        <v>0</v>
      </c>
      <c r="M30" s="127">
        <v>0.99482094879745775</v>
      </c>
      <c r="N30" s="128">
        <v>0.14523590864862579</v>
      </c>
      <c r="O30" s="8"/>
      <c r="P30" s="8"/>
      <c r="Q30" s="8"/>
    </row>
    <row r="31" spans="1:17" x14ac:dyDescent="0.2">
      <c r="A31" s="44">
        <v>29</v>
      </c>
      <c r="B31" t="s">
        <v>184</v>
      </c>
      <c r="C31" s="44">
        <v>20230518</v>
      </c>
      <c r="D31" s="44">
        <v>681</v>
      </c>
      <c r="E31" s="40">
        <v>30070.192648994926</v>
      </c>
      <c r="F31" s="125">
        <v>157.77587923333328</v>
      </c>
      <c r="G31" s="126">
        <v>0.10133869393643014</v>
      </c>
      <c r="H31" s="127">
        <v>0</v>
      </c>
      <c r="I31" s="125">
        <v>1023.7103062629945</v>
      </c>
      <c r="J31" s="125">
        <v>198.51582224410674</v>
      </c>
      <c r="K31" s="44">
        <v>0</v>
      </c>
      <c r="L31" s="44">
        <v>0</v>
      </c>
      <c r="M31" s="127">
        <v>0.87815814682409155</v>
      </c>
      <c r="N31" s="128">
        <v>5.18106396342074E-2</v>
      </c>
      <c r="O31" s="8"/>
      <c r="P31" s="8"/>
      <c r="Q31" s="8"/>
    </row>
    <row r="32" spans="1:17" x14ac:dyDescent="0.2">
      <c r="A32" s="44">
        <v>30</v>
      </c>
      <c r="B32" t="s">
        <v>184</v>
      </c>
      <c r="C32" s="44">
        <v>20230518</v>
      </c>
      <c r="D32" s="44">
        <v>690</v>
      </c>
      <c r="E32" s="40">
        <v>29473.251747119532</v>
      </c>
      <c r="F32" s="125">
        <v>159.79299879999999</v>
      </c>
      <c r="G32" s="126">
        <v>0.10339117229451289</v>
      </c>
      <c r="H32" s="127">
        <v>0</v>
      </c>
      <c r="I32" s="125">
        <v>1044.4441756956232</v>
      </c>
      <c r="J32" s="125">
        <v>101.26824603493782</v>
      </c>
      <c r="K32" s="44">
        <v>0</v>
      </c>
      <c r="L32" s="44">
        <v>0</v>
      </c>
      <c r="M32" s="127">
        <v>0.96944460951266986</v>
      </c>
      <c r="N32" s="128">
        <v>0.13015140101179157</v>
      </c>
      <c r="O32" s="8"/>
      <c r="P32" s="8"/>
      <c r="Q32" s="8"/>
    </row>
    <row r="33" spans="1:17" x14ac:dyDescent="0.2">
      <c r="A33" s="44">
        <v>31</v>
      </c>
      <c r="B33" t="s">
        <v>184</v>
      </c>
      <c r="C33" s="44">
        <v>20230518</v>
      </c>
      <c r="D33" s="44">
        <v>700</v>
      </c>
      <c r="E33" s="40">
        <v>28876.310845244137</v>
      </c>
      <c r="F33" s="125">
        <v>159.354095</v>
      </c>
      <c r="G33" s="126">
        <v>0.10552850971154673</v>
      </c>
      <c r="H33" s="127">
        <v>0</v>
      </c>
      <c r="I33" s="125">
        <v>1066.0352803051971</v>
      </c>
      <c r="J33" s="125">
        <v>0</v>
      </c>
      <c r="K33" s="44">
        <v>0</v>
      </c>
      <c r="L33" s="44">
        <v>0</v>
      </c>
      <c r="M33" s="127">
        <v>0.99942810580413044</v>
      </c>
      <c r="N33" s="128">
        <v>0</v>
      </c>
      <c r="O33" s="8"/>
      <c r="P33" s="8"/>
      <c r="Q33" s="8"/>
    </row>
    <row r="34" spans="1:17" x14ac:dyDescent="0.2">
      <c r="A34" s="44">
        <v>32</v>
      </c>
      <c r="B34" t="s">
        <v>184</v>
      </c>
      <c r="C34" s="44">
        <v>20230518</v>
      </c>
      <c r="D34" s="44">
        <v>708</v>
      </c>
      <c r="E34" s="40">
        <v>28719.095431863727</v>
      </c>
      <c r="F34" s="125">
        <v>156.0378724</v>
      </c>
      <c r="G34" s="126">
        <v>0.10610619880753798</v>
      </c>
      <c r="H34" s="127">
        <v>0</v>
      </c>
      <c r="I34" s="125">
        <v>524.44635047029328</v>
      </c>
      <c r="J34" s="125">
        <v>0</v>
      </c>
      <c r="K34" s="44">
        <v>0</v>
      </c>
      <c r="L34" s="44">
        <v>0</v>
      </c>
      <c r="M34" s="127">
        <v>0.99733851996233813</v>
      </c>
      <c r="N34" s="128">
        <v>0</v>
      </c>
      <c r="O34" s="8"/>
      <c r="P34" s="8"/>
      <c r="Q34" s="8"/>
    </row>
    <row r="35" spans="1:17" x14ac:dyDescent="0.2">
      <c r="A35" s="44">
        <v>33</v>
      </c>
      <c r="B35" t="s">
        <v>184</v>
      </c>
      <c r="C35" s="44">
        <v>20230518</v>
      </c>
      <c r="D35" s="44">
        <v>719</v>
      </c>
      <c r="E35" s="40">
        <v>29316.036333739117</v>
      </c>
      <c r="F35" s="125">
        <v>156.08352680000007</v>
      </c>
      <c r="G35" s="126">
        <v>0.10394563626457763</v>
      </c>
      <c r="H35" s="127">
        <v>0</v>
      </c>
      <c r="I35" s="125">
        <v>513.7674348805109</v>
      </c>
      <c r="J35" s="125">
        <v>101.81132522140919</v>
      </c>
      <c r="K35" s="44">
        <v>0</v>
      </c>
      <c r="L35" s="44">
        <v>0</v>
      </c>
      <c r="M35" s="127">
        <v>0.99748052289126787</v>
      </c>
      <c r="N35" s="128">
        <v>0.26858268025722398</v>
      </c>
      <c r="O35" s="8"/>
      <c r="P35" s="8"/>
      <c r="Q35" s="8"/>
    </row>
    <row r="36" spans="1:17" x14ac:dyDescent="0.2">
      <c r="A36" s="44">
        <v>34</v>
      </c>
      <c r="B36" t="s">
        <v>184</v>
      </c>
      <c r="C36" s="44">
        <v>20230518</v>
      </c>
      <c r="D36" s="44">
        <v>739</v>
      </c>
      <c r="E36" s="40">
        <v>29912.977235614515</v>
      </c>
      <c r="F36" s="125">
        <v>155.87185640000001</v>
      </c>
      <c r="G36" s="126">
        <v>0.10187130573675868</v>
      </c>
      <c r="H36" s="127">
        <v>0</v>
      </c>
      <c r="I36" s="125">
        <v>503.51473440485796</v>
      </c>
      <c r="J36" s="125">
        <v>199.55917365680071</v>
      </c>
      <c r="K36" s="44">
        <v>0</v>
      </c>
      <c r="L36" s="44">
        <v>0</v>
      </c>
      <c r="M36" s="127">
        <v>0.99540399994108431</v>
      </c>
      <c r="N36" s="128">
        <v>0.12603421251491487</v>
      </c>
    </row>
    <row r="37" spans="1:17" x14ac:dyDescent="0.2">
      <c r="A37" s="44">
        <v>35</v>
      </c>
      <c r="B37" t="s">
        <v>184</v>
      </c>
      <c r="C37" s="44">
        <v>20230518</v>
      </c>
      <c r="D37" s="44">
        <v>755</v>
      </c>
      <c r="E37" s="40">
        <v>29762.360987734028</v>
      </c>
      <c r="F37" s="125">
        <v>152.21945160000001</v>
      </c>
      <c r="G37" s="126">
        <v>0.10238683855497428</v>
      </c>
      <c r="H37" s="127">
        <v>0</v>
      </c>
      <c r="I37" s="125">
        <v>0</v>
      </c>
      <c r="J37" s="125">
        <v>200.56906846920168</v>
      </c>
      <c r="K37" s="44">
        <v>0</v>
      </c>
      <c r="L37" s="44">
        <v>0</v>
      </c>
      <c r="M37" s="127">
        <v>0</v>
      </c>
      <c r="N37" s="128">
        <v>0.22022972049321354</v>
      </c>
    </row>
    <row r="38" spans="1:17" x14ac:dyDescent="0.2">
      <c r="A38" s="44">
        <v>36</v>
      </c>
      <c r="B38" t="s">
        <v>184</v>
      </c>
      <c r="C38" s="44">
        <v>20230518</v>
      </c>
      <c r="D38" s="44">
        <v>764</v>
      </c>
      <c r="E38" s="40">
        <v>29165.42008585863</v>
      </c>
      <c r="F38" s="125">
        <v>152.59506260000001</v>
      </c>
      <c r="G38" s="126">
        <v>0.10448243298040179</v>
      </c>
      <c r="H38" s="127">
        <v>0</v>
      </c>
      <c r="I38" s="125">
        <v>0</v>
      </c>
      <c r="J38" s="125">
        <v>102.33709991457137</v>
      </c>
      <c r="K38" s="44">
        <v>0</v>
      </c>
      <c r="L38" s="44">
        <v>0</v>
      </c>
      <c r="M38" s="127">
        <v>0</v>
      </c>
      <c r="N38" s="128">
        <v>0.39226477049727049</v>
      </c>
    </row>
    <row r="39" spans="1:17" x14ac:dyDescent="0.2">
      <c r="A39" s="44">
        <v>37</v>
      </c>
      <c r="B39" t="s">
        <v>184</v>
      </c>
      <c r="C39" s="44">
        <v>20230518</v>
      </c>
      <c r="D39" s="44">
        <v>806</v>
      </c>
      <c r="E39" s="40">
        <v>30067.475345553783</v>
      </c>
      <c r="F39" s="125">
        <v>138.41607659999994</v>
      </c>
      <c r="G39" s="126">
        <v>0.10134785227043025</v>
      </c>
      <c r="H39" s="127">
        <v>0</v>
      </c>
      <c r="I39" s="125">
        <v>1014.765471038706</v>
      </c>
      <c r="J39" s="125">
        <v>198.53376281679223</v>
      </c>
      <c r="K39" s="44">
        <v>0</v>
      </c>
      <c r="L39" s="44">
        <v>0</v>
      </c>
      <c r="M39" s="127">
        <v>0.30126648807845302</v>
      </c>
      <c r="N39" s="128">
        <v>2.7891778413166368E-2</v>
      </c>
    </row>
    <row r="40" spans="1:17" x14ac:dyDescent="0.2">
      <c r="A40" s="44">
        <v>38</v>
      </c>
      <c r="B40" t="s">
        <v>184</v>
      </c>
      <c r="C40" s="44">
        <v>20230518</v>
      </c>
      <c r="D40" s="44">
        <v>820</v>
      </c>
      <c r="E40" s="40">
        <v>29470.534443678385</v>
      </c>
      <c r="F40" s="125">
        <v>140.05239880000002</v>
      </c>
      <c r="G40" s="126">
        <v>0.10340070538217361</v>
      </c>
      <c r="H40" s="127">
        <v>0</v>
      </c>
      <c r="I40" s="125">
        <v>1035.3200699595882</v>
      </c>
      <c r="J40" s="125">
        <v>101.27758338014122</v>
      </c>
      <c r="K40" s="44">
        <v>0</v>
      </c>
      <c r="L40" s="44">
        <v>0</v>
      </c>
      <c r="M40" s="127">
        <v>0.44709147839817609</v>
      </c>
      <c r="N40" s="128">
        <v>2.9161753727591444E-2</v>
      </c>
    </row>
    <row r="41" spans="1:17" x14ac:dyDescent="0.2">
      <c r="A41" s="44">
        <v>39</v>
      </c>
      <c r="B41" t="s">
        <v>184</v>
      </c>
      <c r="C41" s="44">
        <v>20230518</v>
      </c>
      <c r="D41" s="44">
        <v>827</v>
      </c>
      <c r="E41" s="40">
        <v>28873.593541802995</v>
      </c>
      <c r="F41" s="125">
        <v>145.64514179999995</v>
      </c>
      <c r="G41" s="126">
        <v>0.10553844103451016</v>
      </c>
      <c r="H41" s="127">
        <v>0</v>
      </c>
      <c r="I41" s="125">
        <v>1056.7245721527979</v>
      </c>
      <c r="J41" s="125">
        <v>0</v>
      </c>
      <c r="K41" s="44">
        <v>0</v>
      </c>
      <c r="L41" s="44">
        <v>0</v>
      </c>
      <c r="M41" s="127">
        <v>0.98588992251706298</v>
      </c>
      <c r="N41" s="128">
        <v>0</v>
      </c>
    </row>
    <row r="42" spans="1:17" x14ac:dyDescent="0.2">
      <c r="A42" s="44">
        <v>40</v>
      </c>
      <c r="B42" t="s">
        <v>184</v>
      </c>
      <c r="C42" s="44">
        <v>20230518</v>
      </c>
      <c r="D42" s="44">
        <v>833</v>
      </c>
      <c r="E42" s="40">
        <v>28721.424549098996</v>
      </c>
      <c r="F42" s="125">
        <v>142.18261760000007</v>
      </c>
      <c r="G42" s="126">
        <v>0.1060975942978282</v>
      </c>
      <c r="H42" s="127">
        <v>0</v>
      </c>
      <c r="I42" s="125">
        <v>532.51315878951868</v>
      </c>
      <c r="J42" s="125">
        <v>0</v>
      </c>
      <c r="K42" s="44">
        <v>0</v>
      </c>
      <c r="L42" s="44">
        <v>0</v>
      </c>
      <c r="M42" s="127">
        <v>0.99839420431317016</v>
      </c>
      <c r="N42" s="128">
        <v>0</v>
      </c>
    </row>
    <row r="43" spans="1:17" x14ac:dyDescent="0.2">
      <c r="A43" s="44">
        <v>41</v>
      </c>
      <c r="B43" t="s">
        <v>184</v>
      </c>
      <c r="C43" s="44">
        <v>20230518</v>
      </c>
      <c r="D43" s="44">
        <v>842</v>
      </c>
      <c r="E43" s="40">
        <v>29323.743296937228</v>
      </c>
      <c r="F43" s="125">
        <v>142.42541500000004</v>
      </c>
      <c r="G43" s="126">
        <v>0.1039183169286667</v>
      </c>
      <c r="H43" s="127">
        <v>0</v>
      </c>
      <c r="I43" s="125">
        <v>521.57517397081438</v>
      </c>
      <c r="J43" s="125">
        <v>102.70154491175482</v>
      </c>
      <c r="K43" s="44">
        <v>0</v>
      </c>
      <c r="L43" s="44">
        <v>0</v>
      </c>
      <c r="M43" s="127">
        <v>0.97294786248704235</v>
      </c>
      <c r="N43" s="128">
        <v>0.11327459914167393</v>
      </c>
    </row>
    <row r="44" spans="1:17" s="157" customFormat="1" x14ac:dyDescent="0.2">
      <c r="A44" s="156">
        <v>42</v>
      </c>
      <c r="B44" s="157" t="s">
        <v>184</v>
      </c>
      <c r="C44" s="156">
        <v>20230518</v>
      </c>
      <c r="D44" s="156">
        <v>851</v>
      </c>
      <c r="E44" s="158">
        <v>29915.306352849784</v>
      </c>
      <c r="F44" s="159">
        <v>141.70324739999992</v>
      </c>
      <c r="G44" s="160">
        <v>0.10186337433832429</v>
      </c>
      <c r="H44" s="161">
        <v>0</v>
      </c>
      <c r="I44" s="159">
        <v>511.26123634426864</v>
      </c>
      <c r="J44" s="159">
        <v>199.54363657002185</v>
      </c>
      <c r="K44" s="156">
        <v>0</v>
      </c>
      <c r="L44" s="156">
        <v>0</v>
      </c>
      <c r="M44" s="161">
        <v>0.89461536134032194</v>
      </c>
      <c r="N44" s="162">
        <v>3.8625355623184254E-2</v>
      </c>
    </row>
    <row r="45" spans="1:17" x14ac:dyDescent="0.2">
      <c r="A45" s="44">
        <v>43</v>
      </c>
      <c r="B45" t="s">
        <v>184</v>
      </c>
      <c r="C45" s="44">
        <v>20230518</v>
      </c>
      <c r="D45" s="44">
        <v>859</v>
      </c>
      <c r="E45" s="40">
        <v>29762.360987734028</v>
      </c>
      <c r="F45" s="125">
        <v>138.81970200000004</v>
      </c>
      <c r="G45" s="126">
        <v>0.10238683855497428</v>
      </c>
      <c r="H45" s="127">
        <v>0</v>
      </c>
      <c r="I45" s="125">
        <v>0</v>
      </c>
      <c r="J45" s="125">
        <v>200.56906846920168</v>
      </c>
      <c r="K45" s="44">
        <v>0</v>
      </c>
      <c r="L45" s="44">
        <v>0</v>
      </c>
      <c r="M45" s="127">
        <v>0</v>
      </c>
      <c r="N45" s="128">
        <v>0.17455221267273391</v>
      </c>
    </row>
    <row r="46" spans="1:17" x14ac:dyDescent="0.2">
      <c r="A46" s="44">
        <v>44</v>
      </c>
      <c r="B46" t="s">
        <v>184</v>
      </c>
      <c r="C46" s="44">
        <v>20230518</v>
      </c>
      <c r="D46" s="44">
        <v>865</v>
      </c>
      <c r="E46" s="40">
        <v>29170.797931821468</v>
      </c>
      <c r="F46" s="125">
        <v>139.05108679999995</v>
      </c>
      <c r="G46" s="126">
        <v>0.10446317089399247</v>
      </c>
      <c r="H46" s="127">
        <v>0</v>
      </c>
      <c r="I46" s="125">
        <v>0</v>
      </c>
      <c r="J46" s="125">
        <v>103.24001922161749</v>
      </c>
      <c r="K46" s="44">
        <v>0</v>
      </c>
      <c r="L46" s="44">
        <v>0</v>
      </c>
      <c r="M46" s="127">
        <v>0</v>
      </c>
      <c r="N46" s="128">
        <v>0.33115607902167266</v>
      </c>
    </row>
    <row r="47" spans="1:17" x14ac:dyDescent="0.2">
      <c r="A47" s="44">
        <v>45</v>
      </c>
      <c r="B47" t="s">
        <v>110</v>
      </c>
      <c r="C47" s="44">
        <v>20230522</v>
      </c>
      <c r="D47" s="44">
        <v>112</v>
      </c>
      <c r="E47" s="40">
        <v>30036.041020396293</v>
      </c>
      <c r="F47" s="40">
        <v>193.03352171428565</v>
      </c>
      <c r="G47" s="126">
        <v>0.100547639071438</v>
      </c>
      <c r="H47" s="126">
        <v>0</v>
      </c>
      <c r="I47" s="40">
        <v>1019.7046815504291</v>
      </c>
      <c r="J47" s="40">
        <v>197.84630687194712</v>
      </c>
      <c r="K47" s="44">
        <v>0</v>
      </c>
      <c r="L47" s="44">
        <v>0</v>
      </c>
      <c r="M47" s="126">
        <v>0.99975824053600859</v>
      </c>
      <c r="N47" s="126">
        <v>0.69490242810780989</v>
      </c>
    </row>
    <row r="48" spans="1:17" x14ac:dyDescent="0.2">
      <c r="A48" s="44">
        <v>46</v>
      </c>
      <c r="B48" t="s">
        <v>110</v>
      </c>
      <c r="C48" s="44">
        <v>20230522</v>
      </c>
      <c r="D48" s="44">
        <v>119</v>
      </c>
      <c r="E48" s="40">
        <v>29444.47796448374</v>
      </c>
      <c r="F48" s="40">
        <v>193.48416557142849</v>
      </c>
      <c r="G48" s="126">
        <v>0.10256772136685645</v>
      </c>
      <c r="H48" s="129">
        <v>0</v>
      </c>
      <c r="I48" s="40">
        <v>1040.1913622201942</v>
      </c>
      <c r="J48" s="40">
        <v>101.36720756187783</v>
      </c>
      <c r="K48" s="44">
        <v>0</v>
      </c>
      <c r="L48" s="44">
        <v>0</v>
      </c>
      <c r="M48" s="129">
        <v>0.99939098178795471</v>
      </c>
      <c r="N48" s="129">
        <v>0.89754696559180425</v>
      </c>
    </row>
    <row r="49" spans="1:14" x14ac:dyDescent="0.2">
      <c r="A49" s="44">
        <v>47</v>
      </c>
      <c r="B49" t="s">
        <v>110</v>
      </c>
      <c r="C49" s="44">
        <v>20230522</v>
      </c>
      <c r="D49" s="44">
        <v>129</v>
      </c>
      <c r="E49" s="40">
        <v>28847.53706260835</v>
      </c>
      <c r="F49" s="40">
        <v>193.15952861904756</v>
      </c>
      <c r="G49" s="126">
        <v>0.10469015102049216</v>
      </c>
      <c r="H49" s="126">
        <v>0</v>
      </c>
      <c r="I49" s="40">
        <v>1061.7159994375445</v>
      </c>
      <c r="J49" s="40">
        <v>0</v>
      </c>
      <c r="K49" s="44">
        <v>0</v>
      </c>
      <c r="L49" s="44">
        <v>0</v>
      </c>
      <c r="M49" s="126">
        <v>0.99929801168938737</v>
      </c>
      <c r="N49" s="126">
        <v>0</v>
      </c>
    </row>
    <row r="50" spans="1:14" x14ac:dyDescent="0.2">
      <c r="A50" s="44">
        <v>48</v>
      </c>
      <c r="B50" t="s">
        <v>110</v>
      </c>
      <c r="C50" s="44">
        <v>20230522</v>
      </c>
      <c r="D50" s="44">
        <v>134</v>
      </c>
      <c r="E50" s="40">
        <v>28694.20351128672</v>
      </c>
      <c r="F50" s="40">
        <v>190.91827400000005</v>
      </c>
      <c r="G50" s="126">
        <v>0.10524958500645576</v>
      </c>
      <c r="H50" s="126">
        <v>0</v>
      </c>
      <c r="I50" s="40">
        <v>533.01833262454932</v>
      </c>
      <c r="J50" s="40">
        <v>0</v>
      </c>
      <c r="K50" s="44">
        <v>0</v>
      </c>
      <c r="L50" s="44">
        <v>0</v>
      </c>
      <c r="M50" s="126">
        <v>0.99914518803983676</v>
      </c>
      <c r="N50" s="126">
        <v>0</v>
      </c>
    </row>
    <row r="51" spans="1:14" x14ac:dyDescent="0.2">
      <c r="A51" s="44">
        <v>49</v>
      </c>
      <c r="B51" t="s">
        <v>110</v>
      </c>
      <c r="C51" s="44">
        <v>20230522</v>
      </c>
      <c r="D51" s="44">
        <v>145</v>
      </c>
      <c r="E51" s="40">
        <v>29291.14441316211</v>
      </c>
      <c r="F51" s="40">
        <v>190.29719728571439</v>
      </c>
      <c r="G51" s="126">
        <v>0.10310464381503094</v>
      </c>
      <c r="H51" s="126">
        <v>0</v>
      </c>
      <c r="I51" s="40">
        <v>522.15564867799651</v>
      </c>
      <c r="J51" s="40">
        <v>101.89784554937944</v>
      </c>
      <c r="K51" s="44">
        <v>0</v>
      </c>
      <c r="L51" s="44">
        <v>0</v>
      </c>
      <c r="M51" s="126">
        <v>0.99934557781816369</v>
      </c>
      <c r="N51" s="126">
        <v>0.79796442150290414</v>
      </c>
    </row>
    <row r="52" spans="1:14" x14ac:dyDescent="0.2">
      <c r="A52" s="44">
        <v>50</v>
      </c>
      <c r="B52" t="s">
        <v>110</v>
      </c>
      <c r="C52" s="44">
        <v>20230522</v>
      </c>
      <c r="D52" s="44">
        <v>151</v>
      </c>
      <c r="E52" s="40">
        <v>29888.085315037508</v>
      </c>
      <c r="F52" s="40">
        <v>189.6227592857143</v>
      </c>
      <c r="G52" s="126">
        <v>0.10104538245995444</v>
      </c>
      <c r="H52" s="126">
        <v>0</v>
      </c>
      <c r="I52" s="40">
        <v>511.72687545429477</v>
      </c>
      <c r="J52" s="40">
        <v>199.72537403560446</v>
      </c>
      <c r="K52" s="44">
        <v>0</v>
      </c>
      <c r="L52" s="44">
        <v>0</v>
      </c>
      <c r="M52" s="126">
        <v>0.99949859337570368</v>
      </c>
      <c r="N52" s="126">
        <v>0.55029895880423463</v>
      </c>
    </row>
    <row r="53" spans="1:14" x14ac:dyDescent="0.2">
      <c r="A53" s="44">
        <v>51</v>
      </c>
      <c r="B53" t="s">
        <v>110</v>
      </c>
      <c r="C53" s="44">
        <v>20230522</v>
      </c>
      <c r="D53" s="44">
        <v>163</v>
      </c>
      <c r="E53" s="40">
        <v>29735.139949921751</v>
      </c>
      <c r="F53" s="40">
        <v>186.71594199999993</v>
      </c>
      <c r="G53" s="126">
        <v>0.1015651184672383</v>
      </c>
      <c r="H53" s="126">
        <v>0</v>
      </c>
      <c r="I53" s="40">
        <v>0</v>
      </c>
      <c r="J53" s="40">
        <v>200.7526794495424</v>
      </c>
      <c r="K53" s="44">
        <v>0</v>
      </c>
      <c r="L53" s="44">
        <v>0</v>
      </c>
      <c r="M53" s="126">
        <v>0</v>
      </c>
      <c r="N53" s="126">
        <v>0.63074509252156141</v>
      </c>
    </row>
    <row r="54" spans="1:14" x14ac:dyDescent="0.2">
      <c r="A54" s="44">
        <v>52</v>
      </c>
      <c r="B54" t="s">
        <v>110</v>
      </c>
      <c r="C54" s="44">
        <v>20230522</v>
      </c>
      <c r="D54" s="44">
        <v>169</v>
      </c>
      <c r="E54" s="40">
        <v>29138.199048046354</v>
      </c>
      <c r="F54" s="40">
        <v>187.18286100000009</v>
      </c>
      <c r="G54" s="126">
        <v>0.10364583640443627</v>
      </c>
      <c r="H54" s="126">
        <v>0</v>
      </c>
      <c r="I54" s="40">
        <v>0</v>
      </c>
      <c r="J54" s="40">
        <v>102.43270369783127</v>
      </c>
      <c r="K54" s="44">
        <v>0</v>
      </c>
      <c r="L54" s="44">
        <v>0</v>
      </c>
      <c r="M54" s="126">
        <v>0</v>
      </c>
      <c r="N54" s="126">
        <v>0.88897523565042913</v>
      </c>
    </row>
    <row r="55" spans="1:14" x14ac:dyDescent="0.2">
      <c r="A55" s="44">
        <v>53</v>
      </c>
      <c r="B55" t="s">
        <v>110</v>
      </c>
      <c r="C55" s="44">
        <v>20230522</v>
      </c>
      <c r="D55" s="44">
        <v>232</v>
      </c>
      <c r="E55" s="40">
        <v>30041.418866359138</v>
      </c>
      <c r="F55" s="40">
        <v>181.39300499999993</v>
      </c>
      <c r="G55" s="126">
        <v>0.10052963959820209</v>
      </c>
      <c r="H55" s="126">
        <v>0</v>
      </c>
      <c r="I55" s="40">
        <v>1019.5221397494123</v>
      </c>
      <c r="J55" s="40">
        <v>198.70596143641413</v>
      </c>
      <c r="K55" s="44">
        <v>0</v>
      </c>
      <c r="L55" s="44">
        <v>0</v>
      </c>
      <c r="M55" s="126">
        <v>0.99878645424811119</v>
      </c>
      <c r="N55" s="126">
        <v>0.33055698611883833</v>
      </c>
    </row>
    <row r="56" spans="1:14" x14ac:dyDescent="0.2">
      <c r="A56" s="44">
        <v>54</v>
      </c>
      <c r="B56" t="s">
        <v>110</v>
      </c>
      <c r="C56" s="44">
        <v>20230522</v>
      </c>
      <c r="D56" s="44">
        <v>240</v>
      </c>
      <c r="E56" s="40">
        <v>29444.47796448374</v>
      </c>
      <c r="F56" s="40">
        <v>181.80063257142859</v>
      </c>
      <c r="G56" s="126">
        <v>0.10256772136685645</v>
      </c>
      <c r="H56" s="126">
        <v>0</v>
      </c>
      <c r="I56" s="40">
        <v>1040.1913622201942</v>
      </c>
      <c r="J56" s="40">
        <v>101.36720756187783</v>
      </c>
      <c r="K56" s="44">
        <v>0</v>
      </c>
      <c r="L56" s="44">
        <v>0</v>
      </c>
      <c r="M56" s="126">
        <v>1.0000096541640977</v>
      </c>
      <c r="N56" s="126">
        <v>0.71907258726937051</v>
      </c>
    </row>
    <row r="57" spans="1:14" x14ac:dyDescent="0.2">
      <c r="A57" s="44">
        <v>55</v>
      </c>
      <c r="B57" t="s">
        <v>110</v>
      </c>
      <c r="C57" s="44">
        <v>20230522</v>
      </c>
      <c r="D57" s="44">
        <v>247</v>
      </c>
      <c r="E57" s="40">
        <v>28847.53706260835</v>
      </c>
      <c r="F57" s="40">
        <v>181.57977299999996</v>
      </c>
      <c r="G57" s="126">
        <v>0.10469015102049216</v>
      </c>
      <c r="H57" s="126">
        <v>0</v>
      </c>
      <c r="I57" s="40">
        <v>1061.7159994375445</v>
      </c>
      <c r="J57" s="40">
        <v>0</v>
      </c>
      <c r="K57" s="44">
        <v>0</v>
      </c>
      <c r="L57" s="44">
        <v>0</v>
      </c>
      <c r="M57" s="126">
        <v>0.99930295655091728</v>
      </c>
      <c r="N57" s="126">
        <v>0</v>
      </c>
    </row>
    <row r="58" spans="1:14" x14ac:dyDescent="0.2">
      <c r="A58" s="44">
        <v>56</v>
      </c>
      <c r="B58" t="s">
        <v>110</v>
      </c>
      <c r="C58" s="44">
        <v>20230522</v>
      </c>
      <c r="D58" s="44">
        <v>255</v>
      </c>
      <c r="E58" s="40">
        <v>28690.709835433816</v>
      </c>
      <c r="F58" s="40">
        <v>178.83156028571429</v>
      </c>
      <c r="G58" s="126">
        <v>0.10526240127819578</v>
      </c>
      <c r="H58" s="126">
        <v>0</v>
      </c>
      <c r="I58" s="40">
        <v>520.90621012896804</v>
      </c>
      <c r="J58" s="40">
        <v>0</v>
      </c>
      <c r="K58" s="44">
        <v>0</v>
      </c>
      <c r="L58" s="44">
        <v>0</v>
      </c>
      <c r="M58" s="126">
        <v>0.9994581234725326</v>
      </c>
      <c r="N58" s="126">
        <v>0</v>
      </c>
    </row>
    <row r="59" spans="1:14" x14ac:dyDescent="0.2">
      <c r="A59" s="44">
        <v>57</v>
      </c>
      <c r="B59" t="s">
        <v>110</v>
      </c>
      <c r="C59" s="44">
        <v>20230522</v>
      </c>
      <c r="D59" s="44">
        <v>262</v>
      </c>
      <c r="E59" s="40">
        <v>29282.272891346365</v>
      </c>
      <c r="F59" s="40">
        <v>178.40466299999991</v>
      </c>
      <c r="G59" s="126">
        <v>0.10313588097685589</v>
      </c>
      <c r="H59" s="126">
        <v>0</v>
      </c>
      <c r="I59" s="40">
        <v>510.38281699445548</v>
      </c>
      <c r="J59" s="40">
        <v>101.01044036225964</v>
      </c>
      <c r="K59" s="44">
        <v>0</v>
      </c>
      <c r="L59" s="44">
        <v>0</v>
      </c>
      <c r="M59" s="126">
        <v>0.99914565936853816</v>
      </c>
      <c r="N59" s="126">
        <v>0.6619529512168365</v>
      </c>
    </row>
    <row r="60" spans="1:14" x14ac:dyDescent="0.2">
      <c r="A60" s="44">
        <v>58</v>
      </c>
      <c r="B60" t="s">
        <v>110</v>
      </c>
      <c r="C60" s="44">
        <v>20230522</v>
      </c>
      <c r="D60" s="44">
        <v>269</v>
      </c>
      <c r="E60" s="40">
        <v>29884.591639184604</v>
      </c>
      <c r="F60" s="40">
        <v>177.78062176190468</v>
      </c>
      <c r="G60" s="126">
        <v>0.10105719523012743</v>
      </c>
      <c r="H60" s="126">
        <v>0</v>
      </c>
      <c r="I60" s="40">
        <v>500.09614006870578</v>
      </c>
      <c r="J60" s="40">
        <v>199.74872304853074</v>
      </c>
      <c r="K60" s="44">
        <v>0</v>
      </c>
      <c r="L60" s="44">
        <v>0</v>
      </c>
      <c r="M60" s="126">
        <v>0.99893866253635688</v>
      </c>
      <c r="N60" s="126">
        <v>0.36058608939802805</v>
      </c>
    </row>
    <row r="61" spans="1:14" x14ac:dyDescent="0.2">
      <c r="A61" s="44">
        <v>59</v>
      </c>
      <c r="B61" t="s">
        <v>110</v>
      </c>
      <c r="C61" s="44">
        <v>20230522</v>
      </c>
      <c r="D61" s="44">
        <v>276</v>
      </c>
      <c r="E61" s="40">
        <v>29735.139949921751</v>
      </c>
      <c r="F61" s="40">
        <v>174.97015400000004</v>
      </c>
      <c r="G61" s="126">
        <v>0.1015651184672383</v>
      </c>
      <c r="H61" s="126">
        <v>0</v>
      </c>
      <c r="I61" s="40">
        <v>0</v>
      </c>
      <c r="J61" s="40">
        <v>200.7526794495424</v>
      </c>
      <c r="K61" s="44">
        <v>0</v>
      </c>
      <c r="L61" s="44">
        <v>0</v>
      </c>
      <c r="M61" s="126">
        <v>0</v>
      </c>
      <c r="N61" s="126">
        <v>0.50829854648465889</v>
      </c>
    </row>
    <row r="62" spans="1:14" x14ac:dyDescent="0.2">
      <c r="A62" s="44">
        <v>60</v>
      </c>
      <c r="B62" t="s">
        <v>110</v>
      </c>
      <c r="C62" s="44">
        <v>20230522</v>
      </c>
      <c r="D62" s="44">
        <v>285</v>
      </c>
      <c r="E62" s="40">
        <v>29138.199048046354</v>
      </c>
      <c r="F62" s="40">
        <v>175.22955300000007</v>
      </c>
      <c r="G62" s="126">
        <v>0.10364583640443627</v>
      </c>
      <c r="H62" s="126">
        <v>0</v>
      </c>
      <c r="I62" s="40">
        <v>0</v>
      </c>
      <c r="J62" s="40">
        <v>102.43270369783127</v>
      </c>
      <c r="K62" s="44">
        <v>0</v>
      </c>
      <c r="L62" s="44">
        <v>0</v>
      </c>
      <c r="M62" s="126">
        <v>0</v>
      </c>
      <c r="N62" s="126">
        <v>0.80703686955753451</v>
      </c>
    </row>
    <row r="63" spans="1:14" x14ac:dyDescent="0.2">
      <c r="A63" s="44">
        <v>61</v>
      </c>
      <c r="B63" t="s">
        <v>110</v>
      </c>
      <c r="C63" s="44">
        <v>20230522</v>
      </c>
      <c r="D63" s="44">
        <v>329</v>
      </c>
      <c r="E63" s="40">
        <v>30032.215919256967</v>
      </c>
      <c r="F63" s="40">
        <v>164.98386514285716</v>
      </c>
      <c r="G63" s="126">
        <v>0.10056044548205395</v>
      </c>
      <c r="H63" s="129">
        <v>0</v>
      </c>
      <c r="I63" s="40">
        <v>1025.0048217837752</v>
      </c>
      <c r="J63" s="40">
        <v>196.97615970229978</v>
      </c>
      <c r="K63" s="44">
        <v>0</v>
      </c>
      <c r="L63" s="44">
        <v>0</v>
      </c>
      <c r="M63" s="129">
        <v>0.92244467131295771</v>
      </c>
      <c r="N63" s="129">
        <v>5.9985062433417169E-2</v>
      </c>
    </row>
    <row r="64" spans="1:14" x14ac:dyDescent="0.2">
      <c r="A64" s="44">
        <v>62</v>
      </c>
      <c r="B64" t="s">
        <v>110</v>
      </c>
      <c r="C64" s="44">
        <v>20230522</v>
      </c>
      <c r="D64" s="44">
        <v>339</v>
      </c>
      <c r="E64" s="40">
        <v>29446.030709307255</v>
      </c>
      <c r="F64" s="40">
        <v>166.42467385714292</v>
      </c>
      <c r="G64" s="126">
        <v>0.10256231277715604</v>
      </c>
      <c r="H64" s="126">
        <v>0</v>
      </c>
      <c r="I64" s="40">
        <v>1045.4096998669484</v>
      </c>
      <c r="J64" s="40">
        <v>101.36186227753815</v>
      </c>
      <c r="K64" s="44">
        <v>0</v>
      </c>
      <c r="L64" s="44">
        <v>0</v>
      </c>
      <c r="M64" s="126">
        <v>0.98586453580251099</v>
      </c>
      <c r="N64" s="126">
        <v>0.3428512589452658</v>
      </c>
    </row>
    <row r="65" spans="1:14" x14ac:dyDescent="0.2">
      <c r="A65" s="44">
        <v>63</v>
      </c>
      <c r="B65" t="s">
        <v>110</v>
      </c>
      <c r="C65" s="44">
        <v>20230522</v>
      </c>
      <c r="D65" s="44">
        <v>345</v>
      </c>
      <c r="E65" s="40">
        <v>28849.089807431861</v>
      </c>
      <c r="F65" s="40">
        <v>165.60941871428571</v>
      </c>
      <c r="G65" s="126">
        <v>0.10468451628154007</v>
      </c>
      <c r="H65" s="126">
        <v>0</v>
      </c>
      <c r="I65" s="40">
        <v>1067.0411555985984</v>
      </c>
      <c r="J65" s="40">
        <v>0</v>
      </c>
      <c r="K65" s="44">
        <v>0</v>
      </c>
      <c r="L65" s="44">
        <v>0</v>
      </c>
      <c r="M65" s="126">
        <v>1.0000340996359804</v>
      </c>
      <c r="N65" s="126">
        <v>0</v>
      </c>
    </row>
    <row r="66" spans="1:14" x14ac:dyDescent="0.2">
      <c r="A66" s="44">
        <v>64</v>
      </c>
      <c r="B66" t="s">
        <v>110</v>
      </c>
      <c r="C66" s="44">
        <v>20230522</v>
      </c>
      <c r="D66" s="44">
        <v>350</v>
      </c>
      <c r="E66" s="40">
        <v>28693.038952669089</v>
      </c>
      <c r="F66" s="40">
        <v>163.12060509523812</v>
      </c>
      <c r="G66" s="126">
        <v>0.10525385675025478</v>
      </c>
      <c r="H66" s="126">
        <v>0</v>
      </c>
      <c r="I66" s="40">
        <v>528.98128618754674</v>
      </c>
      <c r="J66" s="40">
        <v>0</v>
      </c>
      <c r="K66" s="44">
        <v>0</v>
      </c>
      <c r="L66" s="44">
        <v>0</v>
      </c>
      <c r="M66" s="126">
        <v>0.99962748502041787</v>
      </c>
      <c r="N66" s="126">
        <v>0</v>
      </c>
    </row>
    <row r="67" spans="1:14" x14ac:dyDescent="0.2">
      <c r="A67" s="44">
        <v>65</v>
      </c>
      <c r="B67" t="s">
        <v>110</v>
      </c>
      <c r="C67" s="44">
        <v>20230522</v>
      </c>
      <c r="D67" s="44">
        <v>361</v>
      </c>
      <c r="E67" s="40">
        <v>29295.35770050732</v>
      </c>
      <c r="F67" s="40">
        <v>162.71594199999996</v>
      </c>
      <c r="G67" s="126">
        <v>0.10308981520308978</v>
      </c>
      <c r="H67" s="126">
        <v>0</v>
      </c>
      <c r="I67" s="40">
        <v>518.10531910827046</v>
      </c>
      <c r="J67" s="40">
        <v>102.80105708144384</v>
      </c>
      <c r="K67" s="44">
        <v>0</v>
      </c>
      <c r="L67" s="44">
        <v>0</v>
      </c>
      <c r="M67" s="126">
        <v>0.99926685191672027</v>
      </c>
      <c r="N67" s="126">
        <v>0.49751317221289149</v>
      </c>
    </row>
    <row r="68" spans="1:14" x14ac:dyDescent="0.2">
      <c r="A68" s="44">
        <v>66</v>
      </c>
      <c r="B68" t="s">
        <v>110</v>
      </c>
      <c r="C68" s="44">
        <v>20230522</v>
      </c>
      <c r="D68" s="44">
        <v>367</v>
      </c>
      <c r="E68" s="40">
        <v>29886.920756419877</v>
      </c>
      <c r="F68" s="40">
        <v>162.34537157142864</v>
      </c>
      <c r="G68" s="126">
        <v>0.10104931974315182</v>
      </c>
      <c r="H68" s="126">
        <v>0</v>
      </c>
      <c r="I68" s="40">
        <v>507.85026579066152</v>
      </c>
      <c r="J68" s="40">
        <v>199.733156433376</v>
      </c>
      <c r="K68" s="44">
        <v>0</v>
      </c>
      <c r="L68" s="44">
        <v>0</v>
      </c>
      <c r="M68" s="126">
        <v>0.99943145948584877</v>
      </c>
      <c r="N68" s="126">
        <v>0.21757960263872367</v>
      </c>
    </row>
    <row r="69" spans="1:14" x14ac:dyDescent="0.2">
      <c r="A69" s="44">
        <v>67</v>
      </c>
      <c r="B69" t="s">
        <v>110</v>
      </c>
      <c r="C69" s="44">
        <v>20230522</v>
      </c>
      <c r="D69" s="44">
        <v>380</v>
      </c>
      <c r="E69" s="40">
        <v>29735.139949921751</v>
      </c>
      <c r="F69" s="40">
        <v>159.10504200000003</v>
      </c>
      <c r="G69" s="126">
        <v>0.1015651184672383</v>
      </c>
      <c r="H69" s="126">
        <v>0</v>
      </c>
      <c r="I69" s="40">
        <v>0</v>
      </c>
      <c r="J69" s="40">
        <v>200.7526794495424</v>
      </c>
      <c r="K69" s="44">
        <v>0</v>
      </c>
      <c r="L69" s="44">
        <v>0</v>
      </c>
      <c r="M69" s="126">
        <v>0</v>
      </c>
      <c r="N69" s="126">
        <v>0.42195302030375048</v>
      </c>
    </row>
    <row r="70" spans="1:14" x14ac:dyDescent="0.2">
      <c r="A70" s="44">
        <v>68</v>
      </c>
      <c r="B70" t="s">
        <v>110</v>
      </c>
      <c r="C70" s="44">
        <v>20230522</v>
      </c>
      <c r="D70" s="44">
        <v>386</v>
      </c>
      <c r="E70" s="40">
        <v>29138.199048046354</v>
      </c>
      <c r="F70" s="40">
        <v>159.56606185714284</v>
      </c>
      <c r="G70" s="126">
        <v>0.10364583640443627</v>
      </c>
      <c r="H70" s="126">
        <v>0</v>
      </c>
      <c r="I70" s="40">
        <v>0</v>
      </c>
      <c r="J70" s="40">
        <v>102.43270369783127</v>
      </c>
      <c r="K70" s="44">
        <v>0</v>
      </c>
      <c r="L70" s="44">
        <v>0</v>
      </c>
      <c r="M70" s="126">
        <v>0</v>
      </c>
      <c r="N70" s="126">
        <v>0.76736944020568654</v>
      </c>
    </row>
    <row r="71" spans="1:14" x14ac:dyDescent="0.2">
      <c r="A71" s="44">
        <v>69</v>
      </c>
      <c r="B71" t="s">
        <v>110</v>
      </c>
      <c r="C71" s="44">
        <v>20230522</v>
      </c>
      <c r="D71" s="44">
        <v>436</v>
      </c>
      <c r="E71" s="40">
        <v>30042.195238770892</v>
      </c>
      <c r="F71" s="40">
        <v>136.8334131428571</v>
      </c>
      <c r="G71" s="126">
        <v>0.10052704163762938</v>
      </c>
      <c r="H71" s="126">
        <v>0</v>
      </c>
      <c r="I71" s="40">
        <v>1022.0800657499017</v>
      </c>
      <c r="J71" s="40">
        <v>198.70082633142982</v>
      </c>
      <c r="K71" s="44">
        <v>0</v>
      </c>
      <c r="L71" s="44">
        <v>0</v>
      </c>
      <c r="M71" s="126">
        <v>0.29377272132886401</v>
      </c>
      <c r="N71" s="126">
        <v>-6.347570620829579E-3</v>
      </c>
    </row>
    <row r="72" spans="1:14" x14ac:dyDescent="0.2">
      <c r="A72" s="44">
        <v>70</v>
      </c>
      <c r="B72" t="s">
        <v>110</v>
      </c>
      <c r="C72" s="44">
        <v>20230522</v>
      </c>
      <c r="D72" s="44">
        <v>455</v>
      </c>
      <c r="E72" s="40">
        <v>29450.632182858335</v>
      </c>
      <c r="F72" s="40">
        <v>142.29571499999997</v>
      </c>
      <c r="G72" s="126">
        <v>0.1025462880695487</v>
      </c>
      <c r="H72" s="126">
        <v>0</v>
      </c>
      <c r="I72" s="40">
        <v>1042.6101787650725</v>
      </c>
      <c r="J72" s="40">
        <v>102.25905238611681</v>
      </c>
      <c r="K72" s="44">
        <v>0</v>
      </c>
      <c r="L72" s="44">
        <v>0</v>
      </c>
      <c r="M72" s="126">
        <v>0.49902458699753527</v>
      </c>
      <c r="N72" s="126">
        <v>1.2537362874211366E-2</v>
      </c>
    </row>
    <row r="73" spans="1:14" x14ac:dyDescent="0.2">
      <c r="A73" s="44">
        <v>71</v>
      </c>
      <c r="B73" t="s">
        <v>110</v>
      </c>
      <c r="C73" s="44">
        <v>20230522</v>
      </c>
      <c r="D73" s="44">
        <v>463</v>
      </c>
      <c r="E73" s="40">
        <v>28848.313435020103</v>
      </c>
      <c r="F73" s="40">
        <v>147.87511771428566</v>
      </c>
      <c r="G73" s="126">
        <v>0.10468733357519443</v>
      </c>
      <c r="H73" s="126">
        <v>0</v>
      </c>
      <c r="I73" s="40">
        <v>1064.3786491739818</v>
      </c>
      <c r="J73" s="40">
        <v>0</v>
      </c>
      <c r="K73" s="44">
        <v>0</v>
      </c>
      <c r="L73" s="44">
        <v>0</v>
      </c>
      <c r="M73" s="126">
        <v>0.99916424644372681</v>
      </c>
      <c r="N73" s="126">
        <v>0</v>
      </c>
    </row>
    <row r="74" spans="1:14" x14ac:dyDescent="0.2">
      <c r="A74" s="44">
        <v>72</v>
      </c>
      <c r="B74" t="s">
        <v>110</v>
      </c>
      <c r="C74" s="44">
        <v>20230522</v>
      </c>
      <c r="D74" s="44">
        <v>468</v>
      </c>
      <c r="E74" s="40">
        <v>28687.6043457868</v>
      </c>
      <c r="F74" s="40">
        <v>145.7020615714286</v>
      </c>
      <c r="G74" s="126">
        <v>0.10527379614036167</v>
      </c>
      <c r="H74" s="126">
        <v>0</v>
      </c>
      <c r="I74" s="40">
        <v>510.13740238414186</v>
      </c>
      <c r="J74" s="40">
        <v>0</v>
      </c>
      <c r="K74" s="44">
        <v>0</v>
      </c>
      <c r="L74" s="44">
        <v>0</v>
      </c>
      <c r="M74" s="126">
        <v>0.99889691503750777</v>
      </c>
      <c r="N74" s="126">
        <v>0</v>
      </c>
    </row>
    <row r="75" spans="1:14" x14ac:dyDescent="0.2">
      <c r="A75" s="44">
        <v>73</v>
      </c>
      <c r="B75" t="s">
        <v>110</v>
      </c>
      <c r="C75" s="44">
        <v>20230522</v>
      </c>
      <c r="D75" s="44">
        <v>478</v>
      </c>
      <c r="E75" s="40">
        <v>29289.923093625031</v>
      </c>
      <c r="F75" s="40">
        <v>146.54103328571435</v>
      </c>
      <c r="G75" s="126">
        <v>0.10310894303136731</v>
      </c>
      <c r="H75" s="126">
        <v>0</v>
      </c>
      <c r="I75" s="40">
        <v>499.64692344203968</v>
      </c>
      <c r="J75" s="40">
        <v>102.82013133201581</v>
      </c>
      <c r="K75" s="44">
        <v>0</v>
      </c>
      <c r="L75" s="44">
        <v>0</v>
      </c>
      <c r="M75" s="126">
        <v>0.98711640539970902</v>
      </c>
      <c r="N75" s="126">
        <v>0.19949506509395154</v>
      </c>
    </row>
    <row r="76" spans="1:14" x14ac:dyDescent="0.2">
      <c r="A76" s="44">
        <v>74</v>
      </c>
      <c r="B76" t="s">
        <v>110</v>
      </c>
      <c r="C76" s="44">
        <v>20230522</v>
      </c>
      <c r="D76" s="44">
        <v>488</v>
      </c>
      <c r="E76" s="40">
        <v>29881.486149537588</v>
      </c>
      <c r="F76" s="40">
        <v>146.3513007142858</v>
      </c>
      <c r="G76" s="126">
        <v>0.10106769778920276</v>
      </c>
      <c r="H76" s="126">
        <v>0</v>
      </c>
      <c r="I76" s="40">
        <v>489.75542542786712</v>
      </c>
      <c r="J76" s="40">
        <v>199.76948231024645</v>
      </c>
      <c r="K76" s="44">
        <v>0</v>
      </c>
      <c r="L76" s="44">
        <v>0</v>
      </c>
      <c r="M76" s="126">
        <v>0.92653267461894784</v>
      </c>
      <c r="N76" s="126">
        <v>5.1677480884706584E-2</v>
      </c>
    </row>
    <row r="77" spans="1:14" x14ac:dyDescent="0.2">
      <c r="A77" s="44">
        <v>75</v>
      </c>
      <c r="B77" t="s">
        <v>110</v>
      </c>
      <c r="C77" s="44">
        <v>20230522</v>
      </c>
      <c r="D77" s="44">
        <v>497</v>
      </c>
      <c r="E77" s="40">
        <v>29735.139949921751</v>
      </c>
      <c r="F77" s="40">
        <v>143.9796185714286</v>
      </c>
      <c r="G77" s="126">
        <v>0.1015651184672383</v>
      </c>
      <c r="H77" s="126">
        <v>0</v>
      </c>
      <c r="I77" s="40">
        <v>0</v>
      </c>
      <c r="J77" s="40">
        <v>200.7526794495424</v>
      </c>
      <c r="K77" s="44">
        <v>0</v>
      </c>
      <c r="L77" s="44">
        <v>0</v>
      </c>
      <c r="M77" s="126">
        <v>0</v>
      </c>
      <c r="N77" s="126">
        <v>0.35570336056211138</v>
      </c>
    </row>
    <row r="78" spans="1:14" x14ac:dyDescent="0.2">
      <c r="A78" s="44">
        <v>76</v>
      </c>
      <c r="B78" t="s">
        <v>110</v>
      </c>
      <c r="C78" s="44">
        <v>20230522</v>
      </c>
      <c r="D78" s="44">
        <v>509</v>
      </c>
      <c r="E78" s="40">
        <v>29132.821202083513</v>
      </c>
      <c r="F78" s="40">
        <v>144.37983471428569</v>
      </c>
      <c r="G78" s="126">
        <v>0.10366496916672545</v>
      </c>
      <c r="H78" s="126">
        <v>0</v>
      </c>
      <c r="I78" s="40">
        <v>0</v>
      </c>
      <c r="J78" s="40">
        <v>101.52862501868576</v>
      </c>
      <c r="K78" s="44">
        <v>0</v>
      </c>
      <c r="L78" s="44">
        <v>0</v>
      </c>
      <c r="M78" s="126">
        <v>0</v>
      </c>
      <c r="N78" s="126">
        <v>0.64431096530289644</v>
      </c>
    </row>
    <row r="79" spans="1:14" x14ac:dyDescent="0.2">
      <c r="A79" s="44">
        <v>77</v>
      </c>
      <c r="B79" t="s">
        <v>110</v>
      </c>
      <c r="C79" s="44">
        <v>20230522</v>
      </c>
      <c r="D79" s="44">
        <v>627</v>
      </c>
      <c r="E79" s="40">
        <v>30041.418866359138</v>
      </c>
      <c r="F79" s="40">
        <v>153.94276464516125</v>
      </c>
      <c r="G79" s="126">
        <v>0.10052963959820209</v>
      </c>
      <c r="H79" s="126">
        <v>0</v>
      </c>
      <c r="I79" s="40">
        <v>1019.5221397494123</v>
      </c>
      <c r="J79" s="40">
        <v>198.70596143641413</v>
      </c>
      <c r="K79" s="44">
        <v>0</v>
      </c>
      <c r="L79" s="44">
        <v>0</v>
      </c>
      <c r="M79" s="126">
        <v>0.73932519316584133</v>
      </c>
      <c r="N79" s="126">
        <v>1.6830348859718236E-2</v>
      </c>
    </row>
    <row r="80" spans="1:14" x14ac:dyDescent="0.2">
      <c r="A80" s="44">
        <v>78</v>
      </c>
      <c r="B80" t="s">
        <v>110</v>
      </c>
      <c r="C80" s="44">
        <v>20230522</v>
      </c>
      <c r="D80" s="44">
        <v>636</v>
      </c>
      <c r="E80" s="40">
        <v>29444.47796448374</v>
      </c>
      <c r="F80" s="40">
        <v>156.50633106451613</v>
      </c>
      <c r="G80" s="126">
        <v>0.10256772136685645</v>
      </c>
      <c r="H80" s="126">
        <v>0</v>
      </c>
      <c r="I80" s="40">
        <v>1040.1913622201942</v>
      </c>
      <c r="J80" s="40">
        <v>101.36720756187783</v>
      </c>
      <c r="K80" s="44">
        <v>0</v>
      </c>
      <c r="L80" s="44">
        <v>0</v>
      </c>
      <c r="M80" s="126">
        <v>0.89155683484318127</v>
      </c>
      <c r="N80" s="126">
        <v>0.13955713559498095</v>
      </c>
    </row>
    <row r="81" spans="1:14" x14ac:dyDescent="0.2">
      <c r="A81" s="44">
        <v>79</v>
      </c>
      <c r="B81" t="s">
        <v>110</v>
      </c>
      <c r="C81" s="44">
        <v>20230522</v>
      </c>
      <c r="D81" s="44">
        <v>648</v>
      </c>
      <c r="E81" s="40">
        <v>29887.697128831631</v>
      </c>
      <c r="F81" s="40">
        <v>153.7308942903226</v>
      </c>
      <c r="G81" s="126">
        <v>0.10104669485359485</v>
      </c>
      <c r="H81" s="126">
        <v>0</v>
      </c>
      <c r="I81" s="40">
        <v>510.43470579976923</v>
      </c>
      <c r="J81" s="40">
        <v>199.72796810080897</v>
      </c>
      <c r="K81" s="44">
        <v>0</v>
      </c>
      <c r="L81" s="44">
        <v>0</v>
      </c>
      <c r="M81" s="126">
        <v>0.98587828201221039</v>
      </c>
      <c r="N81" s="126">
        <v>0.14776526819345281</v>
      </c>
    </row>
    <row r="82" spans="1:14" x14ac:dyDescent="0.2">
      <c r="A82" s="44">
        <v>80</v>
      </c>
      <c r="B82" t="s">
        <v>110</v>
      </c>
      <c r="C82" s="44">
        <v>20230522</v>
      </c>
      <c r="D82" s="44">
        <v>679</v>
      </c>
      <c r="E82" s="40">
        <v>30073.937808663253</v>
      </c>
      <c r="F82" s="40">
        <v>154.45587358064515</v>
      </c>
      <c r="G82" s="126">
        <v>0.10053724514912822</v>
      </c>
      <c r="H82" s="126">
        <v>2.9887507542742532E-2</v>
      </c>
      <c r="I82" s="40">
        <v>507.92113187267819</v>
      </c>
      <c r="J82" s="40">
        <v>198.74443189642318</v>
      </c>
      <c r="K82" s="44">
        <v>0</v>
      </c>
      <c r="L82" s="44">
        <v>0</v>
      </c>
      <c r="M82" s="126">
        <v>0.98730455190930655</v>
      </c>
      <c r="N82" s="126">
        <v>0.10040342704807936</v>
      </c>
    </row>
    <row r="83" spans="1:14" x14ac:dyDescent="0.2">
      <c r="A83" s="44">
        <v>81</v>
      </c>
      <c r="B83" t="s">
        <v>110</v>
      </c>
      <c r="C83" s="44">
        <v>20230522</v>
      </c>
      <c r="D83" s="44">
        <v>720</v>
      </c>
      <c r="E83" s="40">
        <v>30073.937808663253</v>
      </c>
      <c r="F83" s="40">
        <v>137.41357706451609</v>
      </c>
      <c r="G83" s="126">
        <v>0.10053724514912822</v>
      </c>
      <c r="H83" s="126">
        <v>2.9887507542742532E-2</v>
      </c>
      <c r="I83" s="40">
        <v>507.92113187267819</v>
      </c>
      <c r="J83" s="40">
        <v>198.74443189642318</v>
      </c>
      <c r="K83" s="44">
        <v>0</v>
      </c>
      <c r="L83" s="44">
        <v>0</v>
      </c>
      <c r="M83" s="126">
        <v>0.84666910426785069</v>
      </c>
      <c r="N83" s="126">
        <v>7.5442160202841002E-3</v>
      </c>
    </row>
    <row r="84" spans="1:14" x14ac:dyDescent="0.2">
      <c r="A84" s="44">
        <v>82</v>
      </c>
      <c r="B84" t="s">
        <v>110</v>
      </c>
      <c r="C84" s="44">
        <v>20230522</v>
      </c>
      <c r="D84" s="44">
        <v>1015</v>
      </c>
      <c r="E84" s="40">
        <v>26693.06904587859</v>
      </c>
      <c r="F84" s="40">
        <v>122.79326006451616</v>
      </c>
      <c r="G84" s="126">
        <v>0.11361401365531623</v>
      </c>
      <c r="H84" s="126">
        <v>0</v>
      </c>
      <c r="I84" s="40">
        <v>571.5235615944755</v>
      </c>
      <c r="J84" s="40">
        <v>0</v>
      </c>
      <c r="K84" s="44">
        <v>0</v>
      </c>
      <c r="L84" s="44">
        <v>0</v>
      </c>
      <c r="M84" s="126">
        <v>0.9897563995574965</v>
      </c>
      <c r="N84" s="126">
        <v>0</v>
      </c>
    </row>
    <row r="85" spans="1:14" x14ac:dyDescent="0.2">
      <c r="A85" s="44">
        <v>83</v>
      </c>
      <c r="B85" t="s">
        <v>110</v>
      </c>
      <c r="C85" s="44">
        <v>20230522</v>
      </c>
      <c r="D85" s="44">
        <v>1022</v>
      </c>
      <c r="E85" s="40">
        <v>27873.340330723244</v>
      </c>
      <c r="F85" s="40">
        <v>117.71131358064515</v>
      </c>
      <c r="G85" s="126">
        <v>0.10831483260895101</v>
      </c>
      <c r="H85" s="126">
        <v>0</v>
      </c>
      <c r="I85" s="40">
        <v>547.32291537273159</v>
      </c>
      <c r="J85" s="40">
        <v>214.16195360604749</v>
      </c>
      <c r="K85" s="44">
        <v>0</v>
      </c>
      <c r="L85" s="44">
        <v>0</v>
      </c>
      <c r="M85" s="126">
        <v>0.23950305186933851</v>
      </c>
      <c r="N85" s="126">
        <v>3.778065882809134E-2</v>
      </c>
    </row>
    <row r="86" spans="1:14" x14ac:dyDescent="0.2">
      <c r="A86" s="44">
        <v>84</v>
      </c>
      <c r="B86" t="s">
        <v>110</v>
      </c>
      <c r="C86" s="44">
        <v>20230522</v>
      </c>
      <c r="D86" s="44">
        <v>1050</v>
      </c>
      <c r="E86" s="40">
        <v>30073.937808663253</v>
      </c>
      <c r="F86" s="40">
        <v>117.70929351612904</v>
      </c>
      <c r="G86" s="126">
        <v>0.10040987835736169</v>
      </c>
      <c r="H86" s="129">
        <v>2.9473946901599438E-2</v>
      </c>
      <c r="I86" s="40">
        <v>507.27370615873048</v>
      </c>
      <c r="J86" s="40">
        <v>198.49110072424048</v>
      </c>
      <c r="K86" s="44">
        <v>0</v>
      </c>
      <c r="L86" s="44">
        <v>0</v>
      </c>
      <c r="M86" s="129">
        <v>0.37684118201731331</v>
      </c>
      <c r="N86" s="129">
        <v>3.7906775139107118E-4</v>
      </c>
    </row>
    <row r="87" spans="1:14" x14ac:dyDescent="0.2">
      <c r="A87" s="44">
        <v>85</v>
      </c>
      <c r="B87" t="s">
        <v>110</v>
      </c>
      <c r="C87" s="44">
        <v>20230522</v>
      </c>
      <c r="D87" s="44">
        <v>1128</v>
      </c>
      <c r="E87" s="40">
        <v>30073.937808663253</v>
      </c>
      <c r="F87" s="40">
        <v>149.04655148387099</v>
      </c>
      <c r="G87" s="126">
        <v>0.10040987835736169</v>
      </c>
      <c r="H87" s="129">
        <v>2.9473946901599438E-2</v>
      </c>
      <c r="I87" s="40">
        <v>507.27370615873048</v>
      </c>
      <c r="J87" s="40">
        <v>198.49110072424048</v>
      </c>
      <c r="K87" s="44">
        <v>0</v>
      </c>
      <c r="L87" s="44">
        <v>0</v>
      </c>
      <c r="M87" s="129">
        <v>0.94679016266752658</v>
      </c>
      <c r="N87" s="129">
        <v>8.7117218639410576E-2</v>
      </c>
    </row>
    <row r="88" spans="1:14" x14ac:dyDescent="0.2">
      <c r="A88" s="44">
        <v>86</v>
      </c>
      <c r="B88" t="s">
        <v>110</v>
      </c>
      <c r="C88" s="44">
        <v>20230522</v>
      </c>
      <c r="D88" s="44">
        <v>1154</v>
      </c>
      <c r="E88" s="40">
        <v>30073.937808663253</v>
      </c>
      <c r="F88" s="40">
        <v>162.20584606451612</v>
      </c>
      <c r="G88" s="126">
        <v>0.10040987835736169</v>
      </c>
      <c r="H88" s="129">
        <v>2.9473946901599438E-2</v>
      </c>
      <c r="I88" s="40">
        <v>507.27370615873048</v>
      </c>
      <c r="J88" s="40">
        <v>198.49110072424048</v>
      </c>
      <c r="K88" s="44">
        <v>0</v>
      </c>
      <c r="L88" s="44">
        <v>0</v>
      </c>
      <c r="M88" s="129">
        <v>0.99986105796309843</v>
      </c>
      <c r="N88" s="129">
        <v>0.25876398879211593</v>
      </c>
    </row>
    <row r="89" spans="1:14" x14ac:dyDescent="0.2">
      <c r="A89" s="44">
        <v>87</v>
      </c>
      <c r="B89" t="s">
        <v>110</v>
      </c>
      <c r="C89" s="44">
        <v>20230522</v>
      </c>
      <c r="D89" s="44">
        <v>1177</v>
      </c>
      <c r="E89" s="40">
        <v>30073.937808663253</v>
      </c>
      <c r="F89" s="40">
        <v>174.04970438709671</v>
      </c>
      <c r="G89" s="126">
        <v>0.10040987835736169</v>
      </c>
      <c r="H89" s="129">
        <v>2.9473946901599438E-2</v>
      </c>
      <c r="I89" s="40">
        <v>507.27370615873048</v>
      </c>
      <c r="J89" s="40">
        <v>198.49110072424048</v>
      </c>
      <c r="K89" s="44">
        <v>0</v>
      </c>
      <c r="L89" s="44">
        <v>0</v>
      </c>
      <c r="M89" s="129">
        <v>1.0033763474282413</v>
      </c>
      <c r="N89" s="129">
        <v>0.40507501420151171</v>
      </c>
    </row>
    <row r="90" spans="1:14" x14ac:dyDescent="0.2">
      <c r="A90" s="44">
        <v>88</v>
      </c>
      <c r="B90" t="s">
        <v>110</v>
      </c>
      <c r="C90" s="44">
        <v>20230522</v>
      </c>
      <c r="D90" s="44">
        <v>1198</v>
      </c>
      <c r="E90" s="40">
        <v>30073.937808663253</v>
      </c>
      <c r="F90" s="40">
        <v>156.3657530967742</v>
      </c>
      <c r="G90" s="126">
        <v>0.10040987835736169</v>
      </c>
      <c r="H90" s="129">
        <v>2.9473946901599438E-2</v>
      </c>
      <c r="I90" s="40">
        <v>507.27370615873048</v>
      </c>
      <c r="J90" s="40">
        <v>198.49110072424048</v>
      </c>
      <c r="K90" s="44">
        <v>0</v>
      </c>
      <c r="L90" s="44">
        <v>0</v>
      </c>
      <c r="M90" s="129">
        <v>0.98790264406465778</v>
      </c>
      <c r="N90" s="129">
        <v>0.11262385862747637</v>
      </c>
    </row>
    <row r="91" spans="1:14" x14ac:dyDescent="0.2">
      <c r="A91" s="44">
        <v>89</v>
      </c>
      <c r="B91" t="s">
        <v>110</v>
      </c>
      <c r="C91" s="44">
        <v>20230522</v>
      </c>
      <c r="D91" s="44">
        <v>1219</v>
      </c>
      <c r="E91" s="40">
        <v>30073.937808663253</v>
      </c>
      <c r="F91" s="40">
        <v>137.92167793548387</v>
      </c>
      <c r="G91" s="126">
        <v>0.10040987835736169</v>
      </c>
      <c r="H91" s="129">
        <v>2.9473946901599438E-2</v>
      </c>
      <c r="I91" s="40">
        <v>507.27370615873048</v>
      </c>
      <c r="J91" s="40">
        <v>198.49110072424048</v>
      </c>
      <c r="K91" s="44">
        <v>0</v>
      </c>
      <c r="L91" s="44">
        <v>0</v>
      </c>
      <c r="M91" s="129">
        <v>0.67262606428497396</v>
      </c>
      <c r="N91" s="129">
        <v>-5.1539253018069164E-3</v>
      </c>
    </row>
    <row r="92" spans="1:14" x14ac:dyDescent="0.2">
      <c r="A92" s="44">
        <v>90</v>
      </c>
      <c r="B92" t="s">
        <v>110</v>
      </c>
      <c r="C92" s="44">
        <v>20230522</v>
      </c>
      <c r="D92" s="44">
        <v>1240</v>
      </c>
      <c r="E92" s="40">
        <v>30073.937808663253</v>
      </c>
      <c r="F92" s="40">
        <v>122.41972493548386</v>
      </c>
      <c r="G92" s="126">
        <v>0.10040987835736169</v>
      </c>
      <c r="H92" s="129">
        <v>2.9473946901599438E-2</v>
      </c>
      <c r="I92" s="40">
        <v>507.27370615873048</v>
      </c>
      <c r="J92" s="40">
        <v>198.49110072424048</v>
      </c>
      <c r="K92" s="44">
        <v>0</v>
      </c>
      <c r="L92" s="44">
        <v>0</v>
      </c>
      <c r="M92" s="129">
        <v>0.28012218488626095</v>
      </c>
      <c r="N92" s="129">
        <v>1.38610846746412E-3</v>
      </c>
    </row>
    <row r="93" spans="1:14" x14ac:dyDescent="0.2">
      <c r="A93" s="44">
        <v>91</v>
      </c>
      <c r="B93" t="s">
        <v>110</v>
      </c>
      <c r="C93" s="44">
        <v>20230522</v>
      </c>
      <c r="D93" s="44">
        <f>+D92+1</f>
        <v>1241</v>
      </c>
      <c r="E93" s="40">
        <v>30073.937808663253</v>
      </c>
      <c r="F93" s="40">
        <v>135.40428403225806</v>
      </c>
      <c r="G93" s="126">
        <v>0.10040987835736169</v>
      </c>
      <c r="H93" s="129">
        <v>2.9473946901599438E-2</v>
      </c>
      <c r="I93" s="40">
        <v>507.27370615873048</v>
      </c>
      <c r="J93" s="40">
        <v>198.49110072424048</v>
      </c>
      <c r="K93" s="44">
        <v>0</v>
      </c>
      <c r="L93" s="44">
        <v>0</v>
      </c>
      <c r="M93" s="129">
        <v>0.73511897472689069</v>
      </c>
      <c r="N93" s="129">
        <v>3.1270239081751194E-2</v>
      </c>
    </row>
    <row r="94" spans="1:14" x14ac:dyDescent="0.2">
      <c r="A94" s="44">
        <v>92</v>
      </c>
      <c r="B94" t="s">
        <v>185</v>
      </c>
      <c r="C94" s="44">
        <v>20230627</v>
      </c>
      <c r="D94" s="44">
        <v>286</v>
      </c>
      <c r="E94" s="40">
        <v>30000</v>
      </c>
      <c r="F94" s="40">
        <v>104.661469</v>
      </c>
      <c r="G94" s="126">
        <v>0.1007341517288763</v>
      </c>
      <c r="H94" s="129">
        <v>3.0134664323283822E-2</v>
      </c>
      <c r="I94" s="40">
        <v>508.92066141212803</v>
      </c>
      <c r="J94" s="40">
        <v>198.23853082839383</v>
      </c>
      <c r="K94" s="44">
        <v>0</v>
      </c>
      <c r="L94" s="44">
        <v>0</v>
      </c>
      <c r="M94" s="129">
        <v>0.11401706226524977</v>
      </c>
      <c r="N94" s="129">
        <v>2.6118636391655459E-3</v>
      </c>
    </row>
    <row r="95" spans="1:14" x14ac:dyDescent="0.2">
      <c r="A95" s="44">
        <v>93</v>
      </c>
      <c r="B95" t="s">
        <v>185</v>
      </c>
      <c r="C95" s="44">
        <v>20230627</v>
      </c>
      <c r="D95" s="44">
        <v>317</v>
      </c>
      <c r="E95" s="40">
        <v>30000</v>
      </c>
      <c r="F95" s="40">
        <v>133.98443599999999</v>
      </c>
      <c r="G95" s="126">
        <v>0.1007341517288763</v>
      </c>
      <c r="H95" s="129">
        <v>3.0134664323283822E-2</v>
      </c>
      <c r="I95" s="40">
        <v>508.92066141212803</v>
      </c>
      <c r="J95" s="40">
        <v>198.23853082839383</v>
      </c>
      <c r="K95" s="44">
        <v>0</v>
      </c>
      <c r="L95" s="44">
        <v>0</v>
      </c>
      <c r="M95" s="129">
        <v>0.82647307000452552</v>
      </c>
      <c r="N95" s="129">
        <v>1.2725364069458234E-2</v>
      </c>
    </row>
    <row r="96" spans="1:14" x14ac:dyDescent="0.2">
      <c r="A96" s="44">
        <v>94</v>
      </c>
      <c r="B96" t="s">
        <v>185</v>
      </c>
      <c r="C96" s="44">
        <v>20230627</v>
      </c>
      <c r="D96" s="44">
        <v>333</v>
      </c>
      <c r="E96" s="40">
        <v>30000</v>
      </c>
      <c r="F96" s="40">
        <v>153.28402700000001</v>
      </c>
      <c r="G96" s="126">
        <v>0.1007341517288763</v>
      </c>
      <c r="H96" s="129">
        <v>3.0134664323283822E-2</v>
      </c>
      <c r="I96" s="40">
        <v>508.92066141212803</v>
      </c>
      <c r="J96" s="40">
        <v>198.23853082839383</v>
      </c>
      <c r="K96" s="44">
        <v>0</v>
      </c>
      <c r="L96" s="44">
        <v>0</v>
      </c>
      <c r="M96" s="129">
        <v>0.88450973186803428</v>
      </c>
      <c r="N96" s="129">
        <v>1.7678041427623192E-2</v>
      </c>
    </row>
    <row r="97" spans="1:14" x14ac:dyDescent="0.2">
      <c r="A97" s="44">
        <v>95</v>
      </c>
      <c r="B97" t="s">
        <v>185</v>
      </c>
      <c r="C97" s="44">
        <v>20230627</v>
      </c>
      <c r="D97" s="44">
        <v>368</v>
      </c>
      <c r="E97" s="40">
        <v>30000</v>
      </c>
      <c r="F97" s="40">
        <v>169.626465</v>
      </c>
      <c r="G97" s="126">
        <v>0.1007341517288763</v>
      </c>
      <c r="H97" s="126">
        <v>3.0134664323283822E-2</v>
      </c>
      <c r="I97" s="40">
        <v>508.92066141212803</v>
      </c>
      <c r="J97" s="40">
        <v>198.23853082839383</v>
      </c>
      <c r="K97" s="44">
        <v>0</v>
      </c>
      <c r="L97" s="44">
        <v>0</v>
      </c>
      <c r="M97" s="126">
        <v>0.9334365290727421</v>
      </c>
      <c r="N97" s="126">
        <v>1.6513436178743457E-2</v>
      </c>
    </row>
    <row r="98" spans="1:14" x14ac:dyDescent="0.2">
      <c r="A98" s="44">
        <v>96</v>
      </c>
      <c r="B98" t="s">
        <v>185</v>
      </c>
      <c r="C98" s="44">
        <v>20230627</v>
      </c>
      <c r="D98" s="44">
        <v>384</v>
      </c>
      <c r="E98" s="40">
        <v>30000</v>
      </c>
      <c r="F98" s="40">
        <v>187.276276</v>
      </c>
      <c r="G98" s="126">
        <v>0.1007341517288763</v>
      </c>
      <c r="H98" s="129">
        <v>3.0134664323283822E-2</v>
      </c>
      <c r="I98" s="40">
        <v>508.92066141212803</v>
      </c>
      <c r="J98" s="40">
        <v>198.23853082839383</v>
      </c>
      <c r="K98" s="44">
        <v>0</v>
      </c>
      <c r="L98" s="44">
        <v>0</v>
      </c>
      <c r="M98" s="129">
        <v>0.95656845305523153</v>
      </c>
      <c r="N98" s="129">
        <v>2.2892249874703285E-2</v>
      </c>
    </row>
    <row r="99" spans="1:14" x14ac:dyDescent="0.2">
      <c r="A99" s="44">
        <v>97</v>
      </c>
      <c r="B99" t="s">
        <v>185</v>
      </c>
      <c r="C99" s="44">
        <v>20230627</v>
      </c>
      <c r="D99" s="44">
        <v>401</v>
      </c>
      <c r="E99" s="40">
        <v>30000</v>
      </c>
      <c r="F99" s="40">
        <v>159.073914</v>
      </c>
      <c r="G99" s="126">
        <v>0.1007341517288763</v>
      </c>
      <c r="H99" s="129">
        <v>3.0134664323283822E-2</v>
      </c>
      <c r="I99" s="40">
        <v>508.92066141212803</v>
      </c>
      <c r="J99" s="40">
        <v>198.23853082839383</v>
      </c>
      <c r="K99" s="44">
        <v>0</v>
      </c>
      <c r="L99" s="44">
        <v>0</v>
      </c>
      <c r="M99" s="129">
        <v>0.89420714329688356</v>
      </c>
      <c r="N99" s="129">
        <v>1.094026386080027E-2</v>
      </c>
    </row>
    <row r="100" spans="1:14" x14ac:dyDescent="0.2">
      <c r="A100" s="44">
        <v>98</v>
      </c>
      <c r="B100" t="s">
        <v>185</v>
      </c>
      <c r="C100" s="44">
        <v>20230627</v>
      </c>
      <c r="D100" s="44">
        <v>414</v>
      </c>
      <c r="E100" s="40">
        <v>30000</v>
      </c>
      <c r="F100" s="40">
        <v>142.887146</v>
      </c>
      <c r="G100" s="126">
        <v>0.1007341517288763</v>
      </c>
      <c r="H100" s="126">
        <v>3.0134664323283822E-2</v>
      </c>
      <c r="I100" s="40">
        <v>508.92066141212803</v>
      </c>
      <c r="J100" s="40">
        <v>198.23853082839383</v>
      </c>
      <c r="K100" s="44">
        <v>0</v>
      </c>
      <c r="L100" s="44">
        <v>0</v>
      </c>
      <c r="M100" s="126">
        <v>0.85362323066166224</v>
      </c>
      <c r="N100" s="126">
        <v>1.3237698865951275E-2</v>
      </c>
    </row>
    <row r="101" spans="1:14" x14ac:dyDescent="0.2">
      <c r="A101" s="44">
        <v>99</v>
      </c>
      <c r="B101" t="s">
        <v>185</v>
      </c>
      <c r="C101" s="44">
        <v>20230627</v>
      </c>
      <c r="D101" s="44">
        <v>446</v>
      </c>
      <c r="E101" s="40">
        <v>30000</v>
      </c>
      <c r="F101" s="40">
        <v>126.108948</v>
      </c>
      <c r="G101" s="126">
        <v>0.1007341517288763</v>
      </c>
      <c r="H101" s="129">
        <v>3.0134664323283822E-2</v>
      </c>
      <c r="I101" s="40">
        <v>508.92066141212803</v>
      </c>
      <c r="J101" s="40">
        <v>198.23853082839383</v>
      </c>
      <c r="K101" s="44">
        <v>0</v>
      </c>
      <c r="L101" s="44">
        <v>0</v>
      </c>
      <c r="M101" s="129">
        <v>0.50279455235662973</v>
      </c>
      <c r="N101" s="129">
        <v>1.0759258555737006E-3</v>
      </c>
    </row>
    <row r="102" spans="1:14" x14ac:dyDescent="0.2">
      <c r="A102" s="44">
        <v>100</v>
      </c>
      <c r="B102" t="s">
        <v>185</v>
      </c>
      <c r="C102" s="44">
        <v>20230627</v>
      </c>
      <c r="D102" s="44">
        <v>620</v>
      </c>
      <c r="E102" s="40">
        <v>30000</v>
      </c>
      <c r="F102" s="40">
        <v>170.34240700000007</v>
      </c>
      <c r="G102" s="126">
        <v>0.10017346338736316</v>
      </c>
      <c r="H102" s="126">
        <v>0</v>
      </c>
      <c r="I102" s="40">
        <v>1010.7422989567643</v>
      </c>
      <c r="J102" s="40">
        <v>197.998555984674</v>
      </c>
      <c r="K102" s="44">
        <v>0</v>
      </c>
      <c r="L102" s="44">
        <v>0</v>
      </c>
      <c r="M102" s="126">
        <v>0.88535728861602214</v>
      </c>
      <c r="N102" s="126">
        <v>4.6944308058326945E-2</v>
      </c>
    </row>
    <row r="103" spans="1:14" x14ac:dyDescent="0.2">
      <c r="A103" s="44">
        <v>101</v>
      </c>
      <c r="B103" t="s">
        <v>185</v>
      </c>
      <c r="C103" s="44">
        <v>20230627</v>
      </c>
      <c r="D103" s="44">
        <v>630</v>
      </c>
      <c r="E103" s="40">
        <v>30000</v>
      </c>
      <c r="F103" s="40">
        <v>171.89883399999994</v>
      </c>
      <c r="G103" s="126">
        <v>0.10219694820441463</v>
      </c>
      <c r="H103" s="126">
        <v>0</v>
      </c>
      <c r="I103" s="40">
        <v>1031.1591002405733</v>
      </c>
      <c r="J103" s="40">
        <v>100.9990444887984</v>
      </c>
      <c r="K103" s="44">
        <v>0</v>
      </c>
      <c r="L103" s="44">
        <v>0</v>
      </c>
      <c r="M103" s="126">
        <v>0.89501490935131511</v>
      </c>
      <c r="N103" s="126">
        <v>4.9276204605624985E-2</v>
      </c>
    </row>
    <row r="104" spans="1:14" x14ac:dyDescent="0.2">
      <c r="A104" s="44">
        <v>102</v>
      </c>
      <c r="B104" t="s">
        <v>185</v>
      </c>
      <c r="C104" s="44">
        <v>20230627</v>
      </c>
      <c r="D104" s="44">
        <v>642</v>
      </c>
      <c r="E104" s="40">
        <v>30000</v>
      </c>
      <c r="F104" s="40">
        <v>173.56772345161284</v>
      </c>
      <c r="G104" s="126">
        <v>0.10430386637243529</v>
      </c>
      <c r="H104" s="129">
        <v>0</v>
      </c>
      <c r="I104" s="40">
        <v>1052.4177374170094</v>
      </c>
      <c r="J104" s="40">
        <v>0</v>
      </c>
      <c r="K104" s="44">
        <v>0</v>
      </c>
      <c r="L104" s="44">
        <v>0</v>
      </c>
      <c r="M104" s="129">
        <v>0.92001961877035798</v>
      </c>
      <c r="N104" s="129">
        <v>0</v>
      </c>
    </row>
    <row r="105" spans="1:14" x14ac:dyDescent="0.2">
      <c r="A105" s="44">
        <v>103</v>
      </c>
      <c r="B105" t="s">
        <v>185</v>
      </c>
      <c r="C105" s="44">
        <v>20230627</v>
      </c>
      <c r="D105" s="44">
        <v>648</v>
      </c>
      <c r="E105" s="40">
        <v>30000</v>
      </c>
      <c r="F105" s="40">
        <v>169.59031635483873</v>
      </c>
      <c r="G105" s="126">
        <v>0.10486057238553539</v>
      </c>
      <c r="H105" s="126">
        <v>0</v>
      </c>
      <c r="I105" s="40">
        <v>524.30007559796013</v>
      </c>
      <c r="J105" s="40">
        <v>0</v>
      </c>
      <c r="K105" s="44">
        <v>0</v>
      </c>
      <c r="L105" s="44">
        <v>0</v>
      </c>
      <c r="M105" s="126">
        <v>0.97353763229929668</v>
      </c>
      <c r="N105" s="126">
        <v>0</v>
      </c>
    </row>
    <row r="106" spans="1:14" x14ac:dyDescent="0.2">
      <c r="A106" s="44">
        <v>104</v>
      </c>
      <c r="B106" t="s">
        <v>185</v>
      </c>
      <c r="C106" s="44">
        <v>20230627</v>
      </c>
      <c r="D106" s="44">
        <v>661</v>
      </c>
      <c r="E106" s="40">
        <v>30000</v>
      </c>
      <c r="F106" s="40">
        <v>167.65834609677418</v>
      </c>
      <c r="G106" s="126">
        <v>0.1027313330475346</v>
      </c>
      <c r="H106" s="126">
        <v>0</v>
      </c>
      <c r="I106" s="40">
        <v>513.65393548558779</v>
      </c>
      <c r="J106" s="40">
        <v>101.52716552854274</v>
      </c>
      <c r="K106" s="44">
        <v>0</v>
      </c>
      <c r="L106" s="44">
        <v>0</v>
      </c>
      <c r="M106" s="126">
        <v>0.9251467203659286</v>
      </c>
      <c r="N106" s="126">
        <v>6.3094580657070076E-2</v>
      </c>
    </row>
    <row r="107" spans="1:14" x14ac:dyDescent="0.2">
      <c r="A107" s="44">
        <v>105</v>
      </c>
      <c r="B107" t="s">
        <v>185</v>
      </c>
      <c r="C107" s="44">
        <v>20230627</v>
      </c>
      <c r="D107" s="44">
        <v>667</v>
      </c>
      <c r="E107" s="40">
        <v>30000</v>
      </c>
      <c r="F107" s="40">
        <v>166.19229070967745</v>
      </c>
      <c r="G107" s="126">
        <v>0.10070489859702385</v>
      </c>
      <c r="H107" s="129">
        <v>0</v>
      </c>
      <c r="I107" s="40">
        <v>503.52181707895915</v>
      </c>
      <c r="J107" s="40">
        <v>198.15235097289954</v>
      </c>
      <c r="K107" s="44">
        <v>0</v>
      </c>
      <c r="L107" s="44">
        <v>0</v>
      </c>
      <c r="M107" s="129">
        <v>0.91372940362074506</v>
      </c>
      <c r="N107" s="129">
        <v>4.1137467940109973E-2</v>
      </c>
    </row>
    <row r="108" spans="1:14" x14ac:dyDescent="0.2">
      <c r="A108" s="44">
        <v>106</v>
      </c>
      <c r="B108" t="s">
        <v>185</v>
      </c>
      <c r="C108" s="44">
        <v>20230627</v>
      </c>
      <c r="D108" s="44">
        <v>675</v>
      </c>
      <c r="E108" s="40">
        <v>30000</v>
      </c>
      <c r="F108" s="40">
        <v>161.98795045161293</v>
      </c>
      <c r="G108" s="126">
        <v>0.10121453586717025</v>
      </c>
      <c r="H108" s="126">
        <v>0</v>
      </c>
      <c r="I108" s="40">
        <v>0</v>
      </c>
      <c r="J108" s="40">
        <v>199.15514055543036</v>
      </c>
      <c r="K108" s="44">
        <v>0</v>
      </c>
      <c r="L108" s="44">
        <v>0</v>
      </c>
      <c r="M108" s="126">
        <v>0</v>
      </c>
      <c r="N108" s="126">
        <v>5.4589741071980891E-2</v>
      </c>
    </row>
    <row r="109" spans="1:14" x14ac:dyDescent="0.2">
      <c r="A109" s="44">
        <v>107</v>
      </c>
      <c r="B109" t="s">
        <v>185</v>
      </c>
      <c r="C109" s="44">
        <v>20230627</v>
      </c>
      <c r="D109" s="44">
        <v>682</v>
      </c>
      <c r="E109" s="40">
        <v>30000</v>
      </c>
      <c r="F109" s="40">
        <v>163.342547516129</v>
      </c>
      <c r="G109" s="126">
        <v>0.10328073192493752</v>
      </c>
      <c r="H109" s="126">
        <v>0</v>
      </c>
      <c r="I109" s="40">
        <v>0</v>
      </c>
      <c r="J109" s="40">
        <v>101.15057394303642</v>
      </c>
      <c r="K109" s="44">
        <v>0</v>
      </c>
      <c r="L109" s="44">
        <v>0</v>
      </c>
      <c r="M109" s="126">
        <v>0</v>
      </c>
      <c r="N109" s="126">
        <v>3.1512458099261176E-2</v>
      </c>
    </row>
    <row r="110" spans="1:14" x14ac:dyDescent="0.2">
      <c r="A110" s="44">
        <v>108</v>
      </c>
      <c r="B110" t="s">
        <v>185</v>
      </c>
      <c r="C110" s="44">
        <v>20230627</v>
      </c>
      <c r="D110" s="44">
        <v>770</v>
      </c>
      <c r="E110" s="40">
        <v>30000</v>
      </c>
      <c r="F110" s="40">
        <v>158.20132787096767</v>
      </c>
      <c r="G110" s="126">
        <v>0.10016443557815004</v>
      </c>
      <c r="H110" s="126">
        <v>0</v>
      </c>
      <c r="I110" s="40">
        <v>1019.6633854646499</v>
      </c>
      <c r="J110" s="40">
        <v>197.98071200556558</v>
      </c>
      <c r="K110" s="44">
        <v>0</v>
      </c>
      <c r="L110" s="44">
        <v>0</v>
      </c>
      <c r="M110" s="126">
        <v>0.86419054595241074</v>
      </c>
      <c r="N110" s="126">
        <v>4.7213295885350837E-2</v>
      </c>
    </row>
    <row r="111" spans="1:14" x14ac:dyDescent="0.2">
      <c r="A111" s="44">
        <v>109</v>
      </c>
      <c r="B111" t="s">
        <v>185</v>
      </c>
      <c r="C111" s="44">
        <v>20230627</v>
      </c>
      <c r="D111" s="44">
        <v>777</v>
      </c>
      <c r="E111" s="40">
        <v>30000</v>
      </c>
      <c r="F111" s="40">
        <v>159.58404054838704</v>
      </c>
      <c r="G111" s="126">
        <v>0.10220614980030035</v>
      </c>
      <c r="H111" s="126">
        <v>0</v>
      </c>
      <c r="I111" s="40">
        <v>1040.4478208173036</v>
      </c>
      <c r="J111" s="40">
        <v>100.09815500070191</v>
      </c>
      <c r="K111" s="44">
        <v>0</v>
      </c>
      <c r="L111" s="44">
        <v>0</v>
      </c>
      <c r="M111" s="126">
        <v>0.87093001342650955</v>
      </c>
      <c r="N111" s="126">
        <v>3.2699342060963699E-2</v>
      </c>
    </row>
    <row r="112" spans="1:14" x14ac:dyDescent="0.2">
      <c r="A112" s="44">
        <v>110</v>
      </c>
      <c r="B112" t="s">
        <v>185</v>
      </c>
      <c r="C112" s="44">
        <v>20230627</v>
      </c>
      <c r="D112" s="44">
        <v>786</v>
      </c>
      <c r="E112" s="40">
        <v>30000</v>
      </c>
      <c r="F112" s="40">
        <v>160.81811212903236</v>
      </c>
      <c r="G112" s="126">
        <v>0.10429407877283202</v>
      </c>
      <c r="H112" s="126">
        <v>0</v>
      </c>
      <c r="I112" s="40">
        <v>1061.7027174525499</v>
      </c>
      <c r="J112" s="40">
        <v>0</v>
      </c>
      <c r="K112" s="44">
        <v>0</v>
      </c>
      <c r="L112" s="44">
        <v>0</v>
      </c>
      <c r="M112" s="126">
        <v>0.88376644975446117</v>
      </c>
      <c r="N112" s="126">
        <v>0</v>
      </c>
    </row>
    <row r="113" spans="1:14" x14ac:dyDescent="0.2">
      <c r="A113" s="44">
        <v>111</v>
      </c>
      <c r="B113" t="s">
        <v>185</v>
      </c>
      <c r="C113" s="44">
        <v>20230627</v>
      </c>
      <c r="D113" s="44">
        <v>794</v>
      </c>
      <c r="E113" s="40">
        <v>30000</v>
      </c>
      <c r="F113" s="40">
        <v>156.30349699999991</v>
      </c>
      <c r="G113" s="126">
        <v>0.10485068003241785</v>
      </c>
      <c r="H113" s="126">
        <v>0</v>
      </c>
      <c r="I113" s="40">
        <v>533.68442977303573</v>
      </c>
      <c r="J113" s="40">
        <v>0</v>
      </c>
      <c r="K113" s="44">
        <v>0</v>
      </c>
      <c r="L113" s="44">
        <v>0</v>
      </c>
      <c r="M113" s="126">
        <v>0.94804021337889099</v>
      </c>
      <c r="N113" s="126">
        <v>0</v>
      </c>
    </row>
    <row r="114" spans="1:14" x14ac:dyDescent="0.2">
      <c r="A114" s="44">
        <v>112</v>
      </c>
      <c r="B114" t="s">
        <v>185</v>
      </c>
      <c r="C114" s="44">
        <v>20230627</v>
      </c>
      <c r="D114" s="44">
        <v>807</v>
      </c>
      <c r="E114" s="40">
        <v>30000</v>
      </c>
      <c r="F114" s="40">
        <v>154.74707000000001</v>
      </c>
      <c r="G114" s="126">
        <v>0.10272183833453599</v>
      </c>
      <c r="H114" s="126">
        <v>0</v>
      </c>
      <c r="I114" s="40">
        <v>522.84873784180672</v>
      </c>
      <c r="J114" s="40">
        <v>101.51778210802574</v>
      </c>
      <c r="K114" s="44">
        <v>0</v>
      </c>
      <c r="L114" s="44">
        <v>0</v>
      </c>
      <c r="M114" s="126">
        <v>0.89320294456264338</v>
      </c>
      <c r="N114" s="126">
        <v>6.5486017592518153E-2</v>
      </c>
    </row>
    <row r="115" spans="1:14" x14ac:dyDescent="0.2">
      <c r="A115" s="44">
        <v>113</v>
      </c>
      <c r="B115" t="s">
        <v>185</v>
      </c>
      <c r="C115" s="44">
        <v>20230627</v>
      </c>
      <c r="D115" s="44">
        <v>812</v>
      </c>
      <c r="E115" s="40">
        <v>30000</v>
      </c>
      <c r="F115" s="40">
        <v>153.4125855161291</v>
      </c>
      <c r="G115" s="126">
        <v>0.1006777225150529</v>
      </c>
      <c r="H115" s="126">
        <v>0</v>
      </c>
      <c r="I115" s="40">
        <v>512.44429616175671</v>
      </c>
      <c r="J115" s="40">
        <v>198.99525287173856</v>
      </c>
      <c r="K115" s="44">
        <v>0</v>
      </c>
      <c r="L115" s="44">
        <v>0</v>
      </c>
      <c r="M115" s="126">
        <v>0.88718901433692454</v>
      </c>
      <c r="N115" s="126">
        <v>4.3173437715706475E-2</v>
      </c>
    </row>
    <row r="116" spans="1:14" x14ac:dyDescent="0.2">
      <c r="A116" s="44">
        <v>114</v>
      </c>
      <c r="B116" t="s">
        <v>185</v>
      </c>
      <c r="C116" s="44">
        <v>20230627</v>
      </c>
      <c r="D116" s="44">
        <v>823</v>
      </c>
      <c r="E116" s="40">
        <v>30000</v>
      </c>
      <c r="F116" s="40">
        <v>148.82263070967741</v>
      </c>
      <c r="G116" s="126">
        <v>0.10119629716781627</v>
      </c>
      <c r="H116" s="126">
        <v>0</v>
      </c>
      <c r="I116" s="40">
        <v>0</v>
      </c>
      <c r="J116" s="40">
        <v>200.02024520948328</v>
      </c>
      <c r="K116" s="44">
        <v>0</v>
      </c>
      <c r="L116" s="44">
        <v>0</v>
      </c>
      <c r="M116" s="126">
        <v>0</v>
      </c>
      <c r="N116" s="126">
        <v>5.1954793212362738E-2</v>
      </c>
    </row>
    <row r="117" spans="1:14" x14ac:dyDescent="0.2">
      <c r="A117" s="44">
        <v>115</v>
      </c>
      <c r="B117" t="s">
        <v>185</v>
      </c>
      <c r="C117" s="44">
        <v>20230627</v>
      </c>
      <c r="D117" s="44">
        <v>830</v>
      </c>
      <c r="E117" s="40">
        <v>30000</v>
      </c>
      <c r="F117" s="40">
        <v>150.0707910967742</v>
      </c>
      <c r="G117" s="126">
        <v>0.10326174104425936</v>
      </c>
      <c r="H117" s="126">
        <v>0</v>
      </c>
      <c r="I117" s="40">
        <v>0</v>
      </c>
      <c r="J117" s="40">
        <v>102.051356336582</v>
      </c>
      <c r="K117" s="44">
        <v>0</v>
      </c>
      <c r="L117" s="44">
        <v>0</v>
      </c>
      <c r="M117" s="126">
        <v>0</v>
      </c>
      <c r="N117" s="126">
        <v>4.8050992928188152E-2</v>
      </c>
    </row>
    <row r="118" spans="1:14" x14ac:dyDescent="0.2">
      <c r="A118" s="44">
        <v>116</v>
      </c>
      <c r="B118" t="s">
        <v>185</v>
      </c>
      <c r="C118" s="44">
        <v>20230627</v>
      </c>
      <c r="D118" s="44">
        <v>852</v>
      </c>
      <c r="E118" s="40">
        <v>30000</v>
      </c>
      <c r="F118" s="40">
        <v>131.3967501612903</v>
      </c>
      <c r="G118" s="126">
        <v>0.10326174104425936</v>
      </c>
      <c r="H118" s="126">
        <v>0</v>
      </c>
      <c r="I118" s="40">
        <v>0</v>
      </c>
      <c r="J118" s="40">
        <v>102.051356336582</v>
      </c>
      <c r="K118" s="44">
        <v>0</v>
      </c>
      <c r="L118" s="44">
        <v>0</v>
      </c>
      <c r="M118" s="126">
        <v>0</v>
      </c>
      <c r="N118" s="126">
        <v>4.0090709763205168E-2</v>
      </c>
    </row>
    <row r="119" spans="1:14" x14ac:dyDescent="0.2">
      <c r="A119" s="44">
        <v>117</v>
      </c>
      <c r="B119" t="s">
        <v>185</v>
      </c>
      <c r="C119" s="44">
        <v>20230627</v>
      </c>
      <c r="D119" s="44">
        <v>862</v>
      </c>
      <c r="E119" s="40">
        <v>30000</v>
      </c>
      <c r="F119" s="40">
        <v>131.35960235483873</v>
      </c>
      <c r="G119" s="126">
        <v>0.10119629716781627</v>
      </c>
      <c r="H119" s="126">
        <v>0</v>
      </c>
      <c r="I119" s="40">
        <v>0</v>
      </c>
      <c r="J119" s="40">
        <v>200.02024520948328</v>
      </c>
      <c r="K119" s="44">
        <v>0</v>
      </c>
      <c r="L119" s="44">
        <v>0</v>
      </c>
      <c r="M119" s="126">
        <v>0</v>
      </c>
      <c r="N119" s="126">
        <v>1.9303926925739123E-2</v>
      </c>
    </row>
    <row r="120" spans="1:14" x14ac:dyDescent="0.2">
      <c r="A120" s="44">
        <v>118</v>
      </c>
      <c r="B120" t="s">
        <v>185</v>
      </c>
      <c r="C120" s="44">
        <v>20230627</v>
      </c>
      <c r="D120" s="44">
        <v>883</v>
      </c>
      <c r="E120" s="40">
        <v>30000</v>
      </c>
      <c r="F120" s="40">
        <v>135.7537381290322</v>
      </c>
      <c r="G120" s="126">
        <v>0.1006777225150529</v>
      </c>
      <c r="H120" s="126">
        <v>0</v>
      </c>
      <c r="I120" s="40">
        <v>512.44429616175671</v>
      </c>
      <c r="J120" s="40">
        <v>198.99525287173856</v>
      </c>
      <c r="K120" s="44">
        <v>0</v>
      </c>
      <c r="L120" s="44">
        <v>0</v>
      </c>
      <c r="M120" s="126">
        <v>0.81614784865327206</v>
      </c>
      <c r="N120" s="126">
        <v>1.7672307141770927E-2</v>
      </c>
    </row>
    <row r="121" spans="1:14" x14ac:dyDescent="0.2">
      <c r="A121" s="44">
        <v>119</v>
      </c>
      <c r="B121" t="s">
        <v>185</v>
      </c>
      <c r="C121" s="44">
        <v>20230627</v>
      </c>
      <c r="D121" s="44">
        <v>890</v>
      </c>
      <c r="E121" s="40">
        <v>30000</v>
      </c>
      <c r="F121" s="40">
        <v>137.4296528064516</v>
      </c>
      <c r="G121" s="126">
        <v>0.10271995943319186</v>
      </c>
      <c r="H121" s="126">
        <v>0</v>
      </c>
      <c r="I121" s="40">
        <v>522.83917433309</v>
      </c>
      <c r="J121" s="40">
        <v>101.60738101875967</v>
      </c>
      <c r="K121" s="44">
        <v>0</v>
      </c>
      <c r="L121" s="44">
        <v>0</v>
      </c>
      <c r="M121" s="126">
        <v>0.84578134909943936</v>
      </c>
      <c r="N121" s="126">
        <v>8.2945221563428539E-3</v>
      </c>
    </row>
    <row r="122" spans="1:14" x14ac:dyDescent="0.2">
      <c r="A122" s="44">
        <v>120</v>
      </c>
      <c r="B122" t="s">
        <v>185</v>
      </c>
      <c r="C122" s="44">
        <v>20230627</v>
      </c>
      <c r="D122" s="44">
        <v>897</v>
      </c>
      <c r="E122" s="40">
        <v>30000</v>
      </c>
      <c r="F122" s="40">
        <v>139.39574993548388</v>
      </c>
      <c r="G122" s="126">
        <v>0.10485068003241785</v>
      </c>
      <c r="H122" s="126">
        <v>0</v>
      </c>
      <c r="I122" s="40">
        <v>533.68442977303573</v>
      </c>
      <c r="J122" s="40">
        <v>0</v>
      </c>
      <c r="K122" s="44">
        <v>0</v>
      </c>
      <c r="L122" s="44">
        <v>0</v>
      </c>
      <c r="M122" s="126">
        <v>0.86892364854634818</v>
      </c>
      <c r="N122" s="126">
        <v>0</v>
      </c>
    </row>
    <row r="123" spans="1:14" x14ac:dyDescent="0.2">
      <c r="A123" s="44">
        <v>121</v>
      </c>
      <c r="B123" t="s">
        <v>185</v>
      </c>
      <c r="C123" s="44">
        <v>20230627</v>
      </c>
      <c r="D123" s="44">
        <v>908</v>
      </c>
      <c r="E123" s="40">
        <v>30000</v>
      </c>
      <c r="F123" s="40">
        <v>141.74846667741932</v>
      </c>
      <c r="G123" s="126">
        <v>0.10429827323344253</v>
      </c>
      <c r="H123" s="126">
        <v>0</v>
      </c>
      <c r="I123" s="40">
        <v>1057.7236536772532</v>
      </c>
      <c r="J123" s="40">
        <v>0</v>
      </c>
      <c r="K123" s="44">
        <v>0</v>
      </c>
      <c r="L123" s="44">
        <v>0</v>
      </c>
      <c r="M123" s="126">
        <v>0.75457592675662999</v>
      </c>
      <c r="N123" s="126">
        <v>0</v>
      </c>
    </row>
    <row r="124" spans="1:14" x14ac:dyDescent="0.2">
      <c r="A124" s="44">
        <v>122</v>
      </c>
      <c r="B124" t="s">
        <v>185</v>
      </c>
      <c r="C124" s="44">
        <v>20230627</v>
      </c>
      <c r="D124" s="44">
        <v>916</v>
      </c>
      <c r="E124" s="40">
        <v>30000</v>
      </c>
      <c r="F124" s="40">
        <v>136.07405451612905</v>
      </c>
      <c r="G124" s="126">
        <v>0.10218971918463872</v>
      </c>
      <c r="H124" s="126">
        <v>0</v>
      </c>
      <c r="I124" s="40">
        <v>1036.340102221086</v>
      </c>
      <c r="J124" s="40">
        <v>101.0828838980101</v>
      </c>
      <c r="K124" s="44">
        <v>0</v>
      </c>
      <c r="L124" s="44">
        <v>0</v>
      </c>
      <c r="M124" s="126">
        <v>0.47403075649595905</v>
      </c>
      <c r="N124" s="126">
        <v>4.5471742384235125E-2</v>
      </c>
    </row>
    <row r="125" spans="1:14" x14ac:dyDescent="0.2">
      <c r="A125" s="44">
        <v>123</v>
      </c>
      <c r="B125" t="s">
        <v>185</v>
      </c>
      <c r="C125" s="44">
        <v>20230627</v>
      </c>
      <c r="D125" s="44">
        <v>924</v>
      </c>
      <c r="E125" s="40">
        <v>30000</v>
      </c>
      <c r="F125" s="40">
        <v>136.99886490322581</v>
      </c>
      <c r="G125" s="126">
        <v>0.10018617443662775</v>
      </c>
      <c r="H125" s="126">
        <v>0</v>
      </c>
      <c r="I125" s="40">
        <v>1016.0214851867577</v>
      </c>
      <c r="J125" s="40">
        <v>197.13168153853331</v>
      </c>
      <c r="K125" s="44">
        <v>0</v>
      </c>
      <c r="L125" s="44">
        <v>0</v>
      </c>
      <c r="M125" s="126">
        <v>0.38524215733563316</v>
      </c>
      <c r="N125" s="126">
        <v>1.3767134362973943E-2</v>
      </c>
    </row>
    <row r="126" spans="1:14" x14ac:dyDescent="0.2">
      <c r="A126" s="44">
        <v>124</v>
      </c>
      <c r="B126" t="s">
        <v>185</v>
      </c>
      <c r="C126" s="44">
        <v>20230627</v>
      </c>
      <c r="D126" s="44">
        <v>946</v>
      </c>
      <c r="E126" s="40">
        <v>30000</v>
      </c>
      <c r="F126" s="40">
        <v>112.7387860322581</v>
      </c>
      <c r="G126" s="126">
        <v>0.10018617443662775</v>
      </c>
      <c r="H126" s="126">
        <v>0</v>
      </c>
      <c r="I126" s="40">
        <v>1016.0214851867577</v>
      </c>
      <c r="J126" s="40">
        <v>197.13168153853331</v>
      </c>
      <c r="K126" s="44">
        <v>0</v>
      </c>
      <c r="L126" s="44">
        <v>0</v>
      </c>
      <c r="M126" s="126">
        <v>3.5189783701410127E-2</v>
      </c>
      <c r="N126" s="126">
        <v>-1.3906926152590593E-2</v>
      </c>
    </row>
    <row r="127" spans="1:14" x14ac:dyDescent="0.2">
      <c r="A127" s="44">
        <v>125</v>
      </c>
      <c r="B127" t="s">
        <v>185</v>
      </c>
      <c r="C127" s="44">
        <v>20230627</v>
      </c>
      <c r="D127" s="44">
        <v>952</v>
      </c>
      <c r="E127" s="40">
        <v>30000</v>
      </c>
      <c r="F127" s="40">
        <v>114.29521306451615</v>
      </c>
      <c r="G127" s="126">
        <v>0.10219157873810208</v>
      </c>
      <c r="H127" s="126">
        <v>0</v>
      </c>
      <c r="I127" s="40">
        <v>1036.3589605743691</v>
      </c>
      <c r="J127" s="40">
        <v>100.99373796080016</v>
      </c>
      <c r="K127" s="44">
        <v>0</v>
      </c>
      <c r="L127" s="44">
        <v>0</v>
      </c>
      <c r="M127" s="126">
        <v>5.552658771484642E-2</v>
      </c>
      <c r="N127" s="126">
        <v>-2.2679316769736779E-2</v>
      </c>
    </row>
    <row r="128" spans="1:14" x14ac:dyDescent="0.2">
      <c r="A128" s="44">
        <v>126</v>
      </c>
      <c r="B128" t="s">
        <v>185</v>
      </c>
      <c r="C128" s="44">
        <v>20230627</v>
      </c>
      <c r="D128" s="44">
        <v>958</v>
      </c>
      <c r="E128" s="40">
        <v>30000</v>
      </c>
      <c r="F128" s="40">
        <v>115.84360690322578</v>
      </c>
      <c r="G128" s="126">
        <v>0.10429827323344253</v>
      </c>
      <c r="H128" s="126">
        <v>0</v>
      </c>
      <c r="I128" s="40">
        <v>1057.7236536772532</v>
      </c>
      <c r="J128" s="40">
        <v>0</v>
      </c>
      <c r="K128" s="44">
        <v>0</v>
      </c>
      <c r="L128" s="44">
        <v>0</v>
      </c>
      <c r="M128" s="126">
        <v>8.8605746603428348E-2</v>
      </c>
      <c r="N128" s="126">
        <v>0</v>
      </c>
    </row>
    <row r="129" spans="1:14" x14ac:dyDescent="0.2">
      <c r="A129" s="44">
        <v>127</v>
      </c>
      <c r="B129" t="s">
        <v>185</v>
      </c>
      <c r="C129" s="44">
        <v>20230627</v>
      </c>
      <c r="D129" s="44">
        <v>969</v>
      </c>
      <c r="E129" s="40">
        <v>30000</v>
      </c>
      <c r="F129" s="40">
        <v>118.46742106451606</v>
      </c>
      <c r="G129" s="126">
        <v>0.10485350622856335</v>
      </c>
      <c r="H129" s="126">
        <v>0</v>
      </c>
      <c r="I129" s="40">
        <v>531.00336640189937</v>
      </c>
      <c r="J129" s="40">
        <v>0</v>
      </c>
      <c r="K129" s="44">
        <v>0</v>
      </c>
      <c r="L129" s="44">
        <v>0</v>
      </c>
      <c r="M129" s="126">
        <v>0.56751364691947948</v>
      </c>
      <c r="N129" s="126">
        <v>0</v>
      </c>
    </row>
    <row r="130" spans="1:14" x14ac:dyDescent="0.2">
      <c r="A130" s="44">
        <v>128</v>
      </c>
      <c r="B130" t="s">
        <v>185</v>
      </c>
      <c r="C130" s="44">
        <v>20230627</v>
      </c>
      <c r="D130" s="44">
        <v>979</v>
      </c>
      <c r="E130" s="40">
        <v>30000</v>
      </c>
      <c r="F130" s="40">
        <v>116.3476786774193</v>
      </c>
      <c r="G130" s="126">
        <v>0.10272455093058645</v>
      </c>
      <c r="H130" s="126">
        <v>0</v>
      </c>
      <c r="I130" s="40">
        <v>520.22182488929957</v>
      </c>
      <c r="J130" s="40">
        <v>101.52046290832355</v>
      </c>
      <c r="K130" s="44">
        <v>0</v>
      </c>
      <c r="L130" s="44">
        <v>0</v>
      </c>
      <c r="M130" s="126">
        <v>0.37338555520003069</v>
      </c>
      <c r="N130" s="126">
        <v>2.9309454471053265E-2</v>
      </c>
    </row>
    <row r="131" spans="1:14" x14ac:dyDescent="0.2">
      <c r="A131" s="44">
        <v>129</v>
      </c>
      <c r="B131" t="s">
        <v>185</v>
      </c>
      <c r="C131" s="44">
        <v>20230627</v>
      </c>
      <c r="D131" s="44">
        <v>986</v>
      </c>
      <c r="E131" s="40">
        <v>30000</v>
      </c>
      <c r="F131" s="40">
        <v>115.02320548387091</v>
      </c>
      <c r="G131" s="126">
        <v>0.10068032822515059</v>
      </c>
      <c r="H131" s="126">
        <v>0</v>
      </c>
      <c r="I131" s="40">
        <v>509.86938959833799</v>
      </c>
      <c r="J131" s="40">
        <v>199.00040320616057</v>
      </c>
      <c r="K131" s="44">
        <v>0</v>
      </c>
      <c r="L131" s="44">
        <v>0</v>
      </c>
      <c r="M131" s="126">
        <v>0.28066510874279182</v>
      </c>
      <c r="N131" s="126">
        <v>6.1982554752937347E-3</v>
      </c>
    </row>
    <row r="132" spans="1:14" x14ac:dyDescent="0.2">
      <c r="A132" s="44">
        <v>130</v>
      </c>
      <c r="B132" t="s">
        <v>185</v>
      </c>
      <c r="C132" s="44">
        <v>20230627</v>
      </c>
      <c r="D132" s="44">
        <v>996</v>
      </c>
      <c r="E132" s="40">
        <v>30000</v>
      </c>
      <c r="F132" s="40">
        <v>114.28015099999996</v>
      </c>
      <c r="G132" s="126">
        <v>0.10119629716781627</v>
      </c>
      <c r="H132" s="126">
        <v>0</v>
      </c>
      <c r="I132" s="40">
        <v>0</v>
      </c>
      <c r="J132" s="40">
        <v>200.02024520948328</v>
      </c>
      <c r="K132" s="44">
        <v>0</v>
      </c>
      <c r="L132" s="44">
        <v>0</v>
      </c>
      <c r="M132" s="126">
        <v>0</v>
      </c>
      <c r="N132" s="126">
        <v>6.4633066849353216E-2</v>
      </c>
    </row>
    <row r="133" spans="1:14" x14ac:dyDescent="0.2">
      <c r="A133" s="44">
        <v>131</v>
      </c>
      <c r="B133" t="s">
        <v>185</v>
      </c>
      <c r="C133" s="44">
        <v>20230627</v>
      </c>
      <c r="D133" s="44">
        <v>1002</v>
      </c>
      <c r="E133" s="40">
        <v>30000</v>
      </c>
      <c r="F133" s="40">
        <v>115.28026151612904</v>
      </c>
      <c r="G133" s="126">
        <v>0.10326174104425936</v>
      </c>
      <c r="H133" s="126">
        <v>0</v>
      </c>
      <c r="I133" s="40">
        <v>0</v>
      </c>
      <c r="J133" s="40">
        <v>102.051356336582</v>
      </c>
      <c r="K133" s="44">
        <v>0</v>
      </c>
      <c r="L133" s="44">
        <v>0</v>
      </c>
      <c r="M133" s="126">
        <v>0</v>
      </c>
      <c r="N133" s="126">
        <v>5.3079441675065619E-2</v>
      </c>
    </row>
    <row r="134" spans="1:14" x14ac:dyDescent="0.2">
      <c r="A134" s="44">
        <v>132</v>
      </c>
      <c r="B134" t="s">
        <v>185</v>
      </c>
      <c r="C134" s="44">
        <v>20230627</v>
      </c>
      <c r="D134" s="44">
        <v>1068</v>
      </c>
      <c r="E134" s="40">
        <v>30000</v>
      </c>
      <c r="F134" s="40">
        <v>98.324767799999961</v>
      </c>
      <c r="G134" s="126">
        <v>0.10014915162319186</v>
      </c>
      <c r="H134" s="126">
        <v>0</v>
      </c>
      <c r="I134" s="40">
        <v>1016.9332817784287</v>
      </c>
      <c r="J134" s="40">
        <v>198.84217132778051</v>
      </c>
      <c r="K134" s="44">
        <v>0</v>
      </c>
      <c r="L134" s="44">
        <v>0</v>
      </c>
      <c r="M134" s="126">
        <v>7.8067920567822524E-3</v>
      </c>
      <c r="N134" s="126">
        <v>-4.1560209260713687E-3</v>
      </c>
    </row>
    <row r="135" spans="1:14" x14ac:dyDescent="0.2">
      <c r="A135" s="44">
        <v>133</v>
      </c>
      <c r="B135" t="s">
        <v>185</v>
      </c>
      <c r="C135" s="44">
        <v>20230627</v>
      </c>
      <c r="D135" s="44">
        <v>1074</v>
      </c>
      <c r="E135" s="40">
        <v>30000</v>
      </c>
      <c r="F135" s="40">
        <v>97.452118200000044</v>
      </c>
      <c r="G135" s="126">
        <v>0.10220883522858019</v>
      </c>
      <c r="H135" s="129">
        <v>0</v>
      </c>
      <c r="I135" s="40">
        <v>1037.8476956731515</v>
      </c>
      <c r="J135" s="40">
        <v>100.10078504220846</v>
      </c>
      <c r="K135" s="44">
        <v>0</v>
      </c>
      <c r="L135" s="44">
        <v>0</v>
      </c>
      <c r="M135" s="129">
        <v>2.5095006288211597E-3</v>
      </c>
      <c r="N135" s="129">
        <v>-1.9072179037181725E-2</v>
      </c>
    </row>
    <row r="136" spans="1:14" x14ac:dyDescent="0.2">
      <c r="A136" s="44">
        <v>134</v>
      </c>
      <c r="B136" t="s">
        <v>185</v>
      </c>
      <c r="C136" s="44">
        <v>20230627</v>
      </c>
      <c r="D136" s="44">
        <v>1080</v>
      </c>
      <c r="E136" s="40">
        <v>30000</v>
      </c>
      <c r="F136" s="40">
        <v>97.378448599999956</v>
      </c>
      <c r="G136" s="126">
        <v>0.10429687504241925</v>
      </c>
      <c r="H136" s="126">
        <v>0</v>
      </c>
      <c r="I136" s="40">
        <v>1059.0500438304339</v>
      </c>
      <c r="J136" s="40">
        <v>0</v>
      </c>
      <c r="K136" s="44">
        <v>0</v>
      </c>
      <c r="L136" s="44">
        <v>0</v>
      </c>
      <c r="M136" s="126">
        <v>8.1813052172963197E-3</v>
      </c>
      <c r="N136" s="126">
        <v>0</v>
      </c>
    </row>
    <row r="137" spans="1:14" x14ac:dyDescent="0.2">
      <c r="A137" s="44">
        <v>135</v>
      </c>
      <c r="B137" t="s">
        <v>185</v>
      </c>
      <c r="C137" s="44">
        <v>20230627</v>
      </c>
      <c r="D137" s="44">
        <v>1095</v>
      </c>
      <c r="E137" s="40">
        <v>30000</v>
      </c>
      <c r="F137" s="40">
        <v>114.12658719999993</v>
      </c>
      <c r="G137" s="126">
        <v>0.10429687504241925</v>
      </c>
      <c r="H137" s="126">
        <v>0</v>
      </c>
      <c r="I137" s="40">
        <v>1059.0500438304339</v>
      </c>
      <c r="J137" s="40">
        <v>0</v>
      </c>
      <c r="K137" s="44">
        <v>0</v>
      </c>
      <c r="L137" s="44">
        <v>0</v>
      </c>
      <c r="M137" s="126">
        <v>6.1279240252464451E-2</v>
      </c>
      <c r="N137" s="126">
        <v>0</v>
      </c>
    </row>
    <row r="138" spans="1:14" x14ac:dyDescent="0.2">
      <c r="A138" s="44">
        <v>136</v>
      </c>
      <c r="B138" t="s">
        <v>185</v>
      </c>
      <c r="C138" s="44">
        <v>20230627</v>
      </c>
      <c r="D138" s="44">
        <v>1101</v>
      </c>
      <c r="E138" s="40">
        <v>30000</v>
      </c>
      <c r="F138" s="40">
        <v>114.73565639999991</v>
      </c>
      <c r="G138" s="126">
        <v>0.10486763949495889</v>
      </c>
      <c r="H138" s="126">
        <v>0</v>
      </c>
      <c r="I138" s="40">
        <v>517.59588125347068</v>
      </c>
      <c r="J138" s="40">
        <v>0</v>
      </c>
      <c r="K138" s="44">
        <v>0</v>
      </c>
      <c r="L138" s="44">
        <v>0</v>
      </c>
      <c r="M138" s="126">
        <v>0.42821162710937677</v>
      </c>
      <c r="N138" s="126">
        <v>0</v>
      </c>
    </row>
    <row r="139" spans="1:14" x14ac:dyDescent="0.2">
      <c r="A139" s="44">
        <v>137</v>
      </c>
      <c r="B139" t="s">
        <v>185</v>
      </c>
      <c r="C139" s="44">
        <v>20230627</v>
      </c>
      <c r="D139" s="44">
        <v>1111</v>
      </c>
      <c r="E139" s="40">
        <v>30000</v>
      </c>
      <c r="F139" s="40">
        <v>111.98703</v>
      </c>
      <c r="G139" s="126">
        <v>0.10275691481167158</v>
      </c>
      <c r="H139" s="126">
        <v>0</v>
      </c>
      <c r="I139" s="40">
        <v>507.17796388839014</v>
      </c>
      <c r="J139" s="40">
        <v>100.63756052165071</v>
      </c>
      <c r="K139" s="44">
        <v>0</v>
      </c>
      <c r="L139" s="44">
        <v>0</v>
      </c>
      <c r="M139" s="126">
        <v>0.19733505185475009</v>
      </c>
      <c r="N139" s="126">
        <v>3.3002666759837318E-2</v>
      </c>
    </row>
    <row r="140" spans="1:14" x14ac:dyDescent="0.2">
      <c r="A140" s="44">
        <v>138</v>
      </c>
      <c r="B140" t="s">
        <v>185</v>
      </c>
      <c r="C140" s="44">
        <v>20230627</v>
      </c>
      <c r="D140" s="44">
        <v>1120</v>
      </c>
      <c r="E140" s="40">
        <v>30000</v>
      </c>
      <c r="F140" s="40">
        <v>110.19299360000004</v>
      </c>
      <c r="G140" s="126">
        <v>0.10065726253185479</v>
      </c>
      <c r="H140" s="126">
        <v>0</v>
      </c>
      <c r="I140" s="40">
        <v>496.81469665617715</v>
      </c>
      <c r="J140" s="40">
        <v>200.7471982482493</v>
      </c>
      <c r="K140" s="44">
        <v>0</v>
      </c>
      <c r="L140" s="44">
        <v>0</v>
      </c>
      <c r="M140" s="126">
        <v>0.12898701147241398</v>
      </c>
      <c r="N140" s="126">
        <v>6.753050942449379E-3</v>
      </c>
    </row>
    <row r="141" spans="1:14" x14ac:dyDescent="0.2">
      <c r="A141" s="44">
        <v>139</v>
      </c>
      <c r="B141" t="s">
        <v>185</v>
      </c>
      <c r="C141" s="44">
        <v>20230627</v>
      </c>
      <c r="D141" s="44">
        <v>1132</v>
      </c>
      <c r="E141" s="40">
        <v>30000</v>
      </c>
      <c r="F141" s="40">
        <v>109.45211819999993</v>
      </c>
      <c r="G141" s="126">
        <v>0.10115983948151276</v>
      </c>
      <c r="H141" s="126">
        <v>0</v>
      </c>
      <c r="I141" s="40">
        <v>0</v>
      </c>
      <c r="J141" s="40">
        <v>201.74951951161628</v>
      </c>
      <c r="K141" s="44">
        <v>0</v>
      </c>
      <c r="L141" s="44">
        <v>0</v>
      </c>
      <c r="M141" s="126">
        <v>0</v>
      </c>
      <c r="N141" s="126">
        <v>5.2000990153417526E-2</v>
      </c>
    </row>
    <row r="142" spans="1:14" x14ac:dyDescent="0.2">
      <c r="A142" s="44">
        <v>140</v>
      </c>
      <c r="B142" t="s">
        <v>185</v>
      </c>
      <c r="C142" s="44">
        <v>20230627</v>
      </c>
      <c r="D142" s="44">
        <v>1138</v>
      </c>
      <c r="E142" s="40">
        <v>30000</v>
      </c>
      <c r="F142" s="40">
        <v>110.10894800000004</v>
      </c>
      <c r="G142" s="126">
        <v>0.10326174104425936</v>
      </c>
      <c r="H142" s="126">
        <v>0</v>
      </c>
      <c r="I142" s="40">
        <v>0</v>
      </c>
      <c r="J142" s="40">
        <v>102.051356336582</v>
      </c>
      <c r="K142" s="44">
        <v>0</v>
      </c>
      <c r="L142" s="44">
        <v>0</v>
      </c>
      <c r="M142" s="126">
        <v>0</v>
      </c>
      <c r="N142" s="126">
        <v>5.0146084570909077E-2</v>
      </c>
    </row>
    <row r="143" spans="1:14" x14ac:dyDescent="0.2">
      <c r="A143" s="44">
        <v>141</v>
      </c>
      <c r="B143" t="s">
        <v>185</v>
      </c>
      <c r="C143" s="44">
        <v>20230627</v>
      </c>
      <c r="D143" s="44">
        <v>1150</v>
      </c>
      <c r="E143" s="40">
        <v>30000</v>
      </c>
      <c r="F143" s="40">
        <v>128.39480579999992</v>
      </c>
      <c r="G143" s="126">
        <v>0.10326174104425936</v>
      </c>
      <c r="H143" s="126">
        <v>0</v>
      </c>
      <c r="I143" s="40">
        <v>0</v>
      </c>
      <c r="J143" s="40">
        <v>102.051356336582</v>
      </c>
      <c r="K143" s="44">
        <v>0</v>
      </c>
      <c r="L143" s="44">
        <v>0</v>
      </c>
      <c r="M143" s="126">
        <v>0</v>
      </c>
      <c r="N143" s="126">
        <v>6.4619633645335961E-2</v>
      </c>
    </row>
    <row r="144" spans="1:14" x14ac:dyDescent="0.2">
      <c r="A144" s="44">
        <v>142</v>
      </c>
      <c r="B144" t="s">
        <v>185</v>
      </c>
      <c r="C144" s="44">
        <v>20230627</v>
      </c>
      <c r="D144" s="44">
        <v>1156</v>
      </c>
      <c r="E144" s="40">
        <v>30000</v>
      </c>
      <c r="F144" s="40">
        <v>126.5789798</v>
      </c>
      <c r="G144" s="126">
        <v>0.1011780650404476</v>
      </c>
      <c r="H144" s="126">
        <v>0</v>
      </c>
      <c r="I144" s="40">
        <v>0</v>
      </c>
      <c r="J144" s="40">
        <v>200.88503813872651</v>
      </c>
      <c r="K144" s="44">
        <v>0</v>
      </c>
      <c r="L144" s="44">
        <v>0</v>
      </c>
      <c r="M144" s="126">
        <v>0</v>
      </c>
      <c r="N144" s="126">
        <v>4.4105681300734445E-2</v>
      </c>
    </row>
    <row r="145" spans="1:14" x14ac:dyDescent="0.2">
      <c r="A145" s="44">
        <v>143</v>
      </c>
      <c r="B145" t="s">
        <v>185</v>
      </c>
      <c r="C145" s="44">
        <v>20230627</v>
      </c>
      <c r="D145" s="44">
        <v>1165</v>
      </c>
      <c r="E145" s="40">
        <v>30000</v>
      </c>
      <c r="F145" s="40">
        <v>128.27029380000002</v>
      </c>
      <c r="G145" s="126">
        <v>0.10067530742997921</v>
      </c>
      <c r="H145" s="126">
        <v>0</v>
      </c>
      <c r="I145" s="40">
        <v>496.90376097565468</v>
      </c>
      <c r="J145" s="40">
        <v>199.88683282897779</v>
      </c>
      <c r="K145" s="44">
        <v>0</v>
      </c>
      <c r="L145" s="44">
        <v>0</v>
      </c>
      <c r="M145" s="126">
        <v>0.60269083544295809</v>
      </c>
      <c r="N145" s="126">
        <v>-5.3228360871431235E-3</v>
      </c>
    </row>
    <row r="146" spans="1:14" x14ac:dyDescent="0.2">
      <c r="A146" s="44">
        <v>144</v>
      </c>
      <c r="B146" t="s">
        <v>185</v>
      </c>
      <c r="C146" s="44">
        <v>20230627</v>
      </c>
      <c r="D146" s="44">
        <v>1173</v>
      </c>
      <c r="E146" s="40">
        <v>30000</v>
      </c>
      <c r="F146" s="40">
        <v>129.56524660000008</v>
      </c>
      <c r="G146" s="126">
        <v>0.10273811606008454</v>
      </c>
      <c r="H146" s="126">
        <v>0</v>
      </c>
      <c r="I146" s="40">
        <v>507.08517876953908</v>
      </c>
      <c r="J146" s="40">
        <v>101.5338690338659</v>
      </c>
      <c r="K146" s="44">
        <v>0</v>
      </c>
      <c r="L146" s="44">
        <v>0</v>
      </c>
      <c r="M146" s="126">
        <v>0.6903231441281632</v>
      </c>
      <c r="N146" s="126">
        <v>-8.3650636134628975E-3</v>
      </c>
    </row>
    <row r="147" spans="1:14" x14ac:dyDescent="0.2">
      <c r="A147" s="44">
        <v>145</v>
      </c>
      <c r="B147" t="s">
        <v>185</v>
      </c>
      <c r="C147" s="44">
        <v>20230627</v>
      </c>
      <c r="D147" s="44">
        <v>1186</v>
      </c>
      <c r="E147" s="40">
        <v>30000</v>
      </c>
      <c r="F147" s="40">
        <v>131.36962899999992</v>
      </c>
      <c r="G147" s="126">
        <v>0.10486763949495889</v>
      </c>
      <c r="H147" s="126">
        <v>0</v>
      </c>
      <c r="I147" s="40">
        <v>517.59588125347068</v>
      </c>
      <c r="J147" s="40">
        <v>0</v>
      </c>
      <c r="K147" s="44">
        <v>0</v>
      </c>
      <c r="L147" s="44">
        <v>0</v>
      </c>
      <c r="M147" s="126">
        <v>0.8285385046363194</v>
      </c>
      <c r="N147" s="126">
        <v>0</v>
      </c>
    </row>
    <row r="148" spans="1:14" x14ac:dyDescent="0.2">
      <c r="A148" s="44">
        <v>146</v>
      </c>
      <c r="B148" t="s">
        <v>185</v>
      </c>
      <c r="C148" s="44">
        <v>20230627</v>
      </c>
      <c r="D148" s="44">
        <v>1196</v>
      </c>
      <c r="E148" s="40">
        <v>30000</v>
      </c>
      <c r="F148" s="40">
        <v>129.84436000000002</v>
      </c>
      <c r="G148" s="126">
        <v>0.10429547688888291</v>
      </c>
      <c r="H148" s="126">
        <v>0</v>
      </c>
      <c r="I148" s="40">
        <v>1060.3763984217223</v>
      </c>
      <c r="J148" s="40">
        <v>0</v>
      </c>
      <c r="K148" s="44">
        <v>0</v>
      </c>
      <c r="L148" s="44">
        <v>0</v>
      </c>
      <c r="M148" s="126">
        <v>0.35225186535378672</v>
      </c>
      <c r="N148" s="126">
        <v>0</v>
      </c>
    </row>
    <row r="149" spans="1:14" x14ac:dyDescent="0.2">
      <c r="A149" s="44">
        <v>147</v>
      </c>
      <c r="B149" t="s">
        <v>185</v>
      </c>
      <c r="C149" s="44">
        <v>20230627</v>
      </c>
      <c r="D149" s="44">
        <v>1203</v>
      </c>
      <c r="E149" s="40">
        <v>30000</v>
      </c>
      <c r="F149" s="40">
        <v>127.10400423333336</v>
      </c>
      <c r="G149" s="126">
        <v>0.10217030270352526</v>
      </c>
      <c r="H149" s="126">
        <v>0</v>
      </c>
      <c r="I149" s="40">
        <v>1038.7696651681867</v>
      </c>
      <c r="J149" s="40">
        <v>101.88237537960732</v>
      </c>
      <c r="K149" s="44">
        <v>0</v>
      </c>
      <c r="L149" s="44">
        <v>0</v>
      </c>
      <c r="M149" s="126">
        <v>0.17517733796120438</v>
      </c>
      <c r="N149" s="126">
        <v>2.4161074754828538E-2</v>
      </c>
    </row>
    <row r="150" spans="1:14" x14ac:dyDescent="0.2">
      <c r="A150" s="44">
        <v>148</v>
      </c>
      <c r="B150" t="s">
        <v>185</v>
      </c>
      <c r="C150" s="44">
        <v>20230627</v>
      </c>
      <c r="D150" s="44">
        <v>1209</v>
      </c>
      <c r="E150" s="40">
        <v>30000</v>
      </c>
      <c r="F150" s="40">
        <v>125.5330810000001</v>
      </c>
      <c r="G150" s="126">
        <v>0.10014786246250279</v>
      </c>
      <c r="H150" s="126">
        <v>0</v>
      </c>
      <c r="I150" s="40">
        <v>1018.2074321474456</v>
      </c>
      <c r="J150" s="40">
        <v>198.83961175032576</v>
      </c>
      <c r="K150" s="44">
        <v>0</v>
      </c>
      <c r="L150" s="44">
        <v>0</v>
      </c>
      <c r="M150" s="126">
        <v>0.12712397062325587</v>
      </c>
      <c r="N150" s="126">
        <v>1.110422993511273E-3</v>
      </c>
    </row>
    <row r="151" spans="1:14" x14ac:dyDescent="0.2">
      <c r="A151" s="44">
        <v>149</v>
      </c>
      <c r="B151" t="s">
        <v>184</v>
      </c>
      <c r="C151" s="44">
        <v>20230707</v>
      </c>
      <c r="D151" s="44">
        <v>96</v>
      </c>
      <c r="E151" s="40">
        <v>30066.634722571234</v>
      </c>
      <c r="F151" s="125">
        <v>295.64666733333337</v>
      </c>
      <c r="G151" s="45"/>
      <c r="H151" s="129">
        <v>2.9856661516555062E-2</v>
      </c>
      <c r="I151" s="40">
        <v>1021.2492740952973</v>
      </c>
      <c r="J151" s="44"/>
      <c r="K151" s="44">
        <v>0</v>
      </c>
      <c r="L151" s="44">
        <v>0</v>
      </c>
      <c r="M151" s="129">
        <v>0.99960913714553867</v>
      </c>
      <c r="N151" s="44"/>
    </row>
    <row r="152" spans="1:14" x14ac:dyDescent="0.2">
      <c r="A152" s="44">
        <v>150</v>
      </c>
      <c r="B152" t="s">
        <v>184</v>
      </c>
      <c r="C152" s="44">
        <v>20230707</v>
      </c>
      <c r="D152" s="44">
        <v>112</v>
      </c>
      <c r="E152" s="40">
        <v>30066.634722571234</v>
      </c>
      <c r="F152" s="125">
        <v>271.85418719999996</v>
      </c>
      <c r="G152" s="45"/>
      <c r="H152" s="129">
        <v>2.9856661516555062E-2</v>
      </c>
      <c r="I152" s="40">
        <v>1021.2492740952973</v>
      </c>
      <c r="J152" s="44"/>
      <c r="K152" s="44">
        <v>0</v>
      </c>
      <c r="L152" s="44">
        <v>0</v>
      </c>
      <c r="M152" s="129">
        <v>1.0000322957734873</v>
      </c>
      <c r="N152" s="44"/>
    </row>
    <row r="153" spans="1:14" x14ac:dyDescent="0.2">
      <c r="A153" s="44">
        <v>151</v>
      </c>
      <c r="B153" t="s">
        <v>184</v>
      </c>
      <c r="C153" s="44">
        <v>20230707</v>
      </c>
      <c r="D153" s="44">
        <v>125</v>
      </c>
      <c r="E153" s="40">
        <v>30066.634722571234</v>
      </c>
      <c r="F153" s="125">
        <v>248.32940700000003</v>
      </c>
      <c r="G153" s="45"/>
      <c r="H153" s="129">
        <v>2.9856661516555062E-2</v>
      </c>
      <c r="I153" s="40">
        <v>1021.2492740952973</v>
      </c>
      <c r="J153" s="44"/>
      <c r="K153" s="44">
        <v>0</v>
      </c>
      <c r="L153" s="44">
        <v>0</v>
      </c>
      <c r="M153" s="129">
        <v>0.99961506872411743</v>
      </c>
      <c r="N153" s="44"/>
    </row>
    <row r="154" spans="1:14" x14ac:dyDescent="0.2">
      <c r="A154" s="44">
        <v>152</v>
      </c>
      <c r="B154" t="s">
        <v>184</v>
      </c>
      <c r="C154" s="44">
        <v>20230707</v>
      </c>
      <c r="D154" s="44">
        <v>146</v>
      </c>
      <c r="E154" s="40">
        <v>30066.634722571234</v>
      </c>
      <c r="F154" s="125">
        <v>226.8176268</v>
      </c>
      <c r="G154" s="45"/>
      <c r="H154" s="129">
        <v>2.9856661516555062E-2</v>
      </c>
      <c r="I154" s="40">
        <v>1021.2492740952973</v>
      </c>
      <c r="J154" s="44"/>
      <c r="K154" s="44">
        <v>0</v>
      </c>
      <c r="L154" s="44">
        <v>0</v>
      </c>
      <c r="M154" s="129">
        <v>0.97013819840115556</v>
      </c>
      <c r="N154" s="44"/>
    </row>
    <row r="155" spans="1:14" x14ac:dyDescent="0.2">
      <c r="A155" s="44">
        <v>153</v>
      </c>
      <c r="B155" t="s">
        <v>184</v>
      </c>
      <c r="C155" s="44">
        <v>20230707</v>
      </c>
      <c r="D155" s="44">
        <v>166</v>
      </c>
      <c r="E155" s="40">
        <v>30066.634722571234</v>
      </c>
      <c r="F155" s="125">
        <v>213.45733620000004</v>
      </c>
      <c r="G155" s="45"/>
      <c r="H155" s="129">
        <v>2.9856661516555062E-2</v>
      </c>
      <c r="I155" s="40">
        <v>1021.2492740952973</v>
      </c>
      <c r="J155" s="44"/>
      <c r="K155" s="44">
        <v>0</v>
      </c>
      <c r="L155" s="44">
        <v>0</v>
      </c>
      <c r="M155" s="129">
        <v>0.81481808847528359</v>
      </c>
      <c r="N155" s="44"/>
    </row>
    <row r="156" spans="1:14" x14ac:dyDescent="0.2">
      <c r="A156" s="44">
        <v>154</v>
      </c>
      <c r="B156" t="s">
        <v>184</v>
      </c>
      <c r="C156" s="44">
        <v>20230707</v>
      </c>
      <c r="D156" s="44">
        <v>180</v>
      </c>
      <c r="E156" s="40">
        <v>30066.634722571234</v>
      </c>
      <c r="F156" s="125">
        <v>197.18029593333341</v>
      </c>
      <c r="G156" s="45"/>
      <c r="H156" s="129">
        <v>2.9856661516555062E-2</v>
      </c>
      <c r="I156" s="40">
        <v>1021.2492740952973</v>
      </c>
      <c r="J156" s="44"/>
      <c r="K156" s="44">
        <v>0</v>
      </c>
      <c r="L156" s="44">
        <v>0</v>
      </c>
      <c r="M156" s="129">
        <v>0.55963982976300608</v>
      </c>
      <c r="N156" s="44"/>
    </row>
    <row r="157" spans="1:14" x14ac:dyDescent="0.2">
      <c r="A157" s="44">
        <v>155</v>
      </c>
      <c r="B157" t="s">
        <v>184</v>
      </c>
      <c r="C157" s="44">
        <v>20230707</v>
      </c>
      <c r="D157" s="44">
        <v>190</v>
      </c>
      <c r="E157" s="40">
        <v>30066.634722571234</v>
      </c>
      <c r="F157" s="125">
        <v>181.77587900000006</v>
      </c>
      <c r="G157" s="45"/>
      <c r="H157" s="129">
        <v>2.9856661516555062E-2</v>
      </c>
      <c r="I157" s="40">
        <v>1021.2492740952973</v>
      </c>
      <c r="J157" s="44"/>
      <c r="K157" s="44">
        <v>0</v>
      </c>
      <c r="L157" s="44">
        <v>0</v>
      </c>
      <c r="M157" s="129">
        <v>0.32372032395198669</v>
      </c>
      <c r="N157" s="44"/>
    </row>
    <row r="158" spans="1:14" x14ac:dyDescent="0.2">
      <c r="A158" s="44">
        <v>156</v>
      </c>
      <c r="B158" t="s">
        <v>184</v>
      </c>
      <c r="C158" s="44">
        <v>20230707</v>
      </c>
      <c r="D158" s="44">
        <v>204</v>
      </c>
      <c r="E158" s="40">
        <v>30066.634722571234</v>
      </c>
      <c r="F158" s="125">
        <v>168.62100259999994</v>
      </c>
      <c r="G158" s="45"/>
      <c r="H158" s="129">
        <v>2.9856661516555062E-2</v>
      </c>
      <c r="I158" s="40">
        <v>1021.2492740952973</v>
      </c>
      <c r="J158" s="44"/>
      <c r="K158" s="44">
        <v>0</v>
      </c>
      <c r="L158" s="44">
        <v>0</v>
      </c>
      <c r="M158" s="129">
        <v>0.18564799955534672</v>
      </c>
      <c r="N158" s="44"/>
    </row>
    <row r="159" spans="1:14" x14ac:dyDescent="0.2">
      <c r="A159" s="44">
        <v>157</v>
      </c>
      <c r="B159" t="s">
        <v>184</v>
      </c>
      <c r="C159" s="44">
        <v>20230707</v>
      </c>
      <c r="D159" s="44">
        <v>223</v>
      </c>
      <c r="E159" s="40">
        <v>30066.634722571234</v>
      </c>
      <c r="F159" s="125">
        <v>157.06509436666678</v>
      </c>
      <c r="G159" s="45"/>
      <c r="H159" s="129">
        <v>2.9856661516555062E-2</v>
      </c>
      <c r="I159" s="40">
        <v>1021.2492740952973</v>
      </c>
      <c r="J159" s="44"/>
      <c r="K159" s="44">
        <v>0</v>
      </c>
      <c r="L159" s="44">
        <v>0</v>
      </c>
      <c r="M159" s="129">
        <v>0.1172346126249556</v>
      </c>
      <c r="N159" s="44"/>
    </row>
    <row r="160" spans="1:14" x14ac:dyDescent="0.2">
      <c r="A160" s="44">
        <v>158</v>
      </c>
      <c r="B160" t="s">
        <v>184</v>
      </c>
      <c r="C160" s="44">
        <v>20230707</v>
      </c>
      <c r="D160" s="44">
        <v>268</v>
      </c>
      <c r="E160" s="40">
        <v>29890.302888742834</v>
      </c>
      <c r="F160" s="40">
        <v>168.09182760000004</v>
      </c>
      <c r="G160" s="126">
        <v>0.10105444457646556</v>
      </c>
      <c r="H160" s="126">
        <v>0</v>
      </c>
      <c r="I160" s="40">
        <v>1027.2739289128624</v>
      </c>
      <c r="J160" s="40">
        <v>0</v>
      </c>
      <c r="K160" s="44">
        <v>0</v>
      </c>
      <c r="L160" s="44">
        <v>0</v>
      </c>
      <c r="M160" s="126">
        <v>1.0000994513308314</v>
      </c>
      <c r="N160" s="126">
        <v>0</v>
      </c>
    </row>
    <row r="161" spans="1:14" x14ac:dyDescent="0.2">
      <c r="A161" s="44">
        <v>159</v>
      </c>
      <c r="B161" t="s">
        <v>184</v>
      </c>
      <c r="C161" s="44">
        <v>20230707</v>
      </c>
      <c r="D161" s="44">
        <v>294</v>
      </c>
      <c r="E161" s="40">
        <v>29890.302888742834</v>
      </c>
      <c r="F161" s="40">
        <v>143.21710180000005</v>
      </c>
      <c r="G161" s="126">
        <v>0.10105444457646556</v>
      </c>
      <c r="H161" s="126">
        <v>0</v>
      </c>
      <c r="I161" s="40">
        <v>1027.2739289128624</v>
      </c>
      <c r="J161" s="40">
        <v>0</v>
      </c>
      <c r="K161" s="44">
        <v>0</v>
      </c>
      <c r="L161" s="44">
        <v>0</v>
      </c>
      <c r="M161" s="126">
        <v>0.96534872692563567</v>
      </c>
      <c r="N161" s="126">
        <v>0</v>
      </c>
    </row>
    <row r="162" spans="1:14" x14ac:dyDescent="0.2">
      <c r="A162" s="44">
        <v>160</v>
      </c>
      <c r="B162" t="s">
        <v>184</v>
      </c>
      <c r="C162" s="44">
        <v>20230707</v>
      </c>
      <c r="D162" s="44">
        <v>314</v>
      </c>
      <c r="E162" s="40">
        <v>29890.302888742834</v>
      </c>
      <c r="F162" s="40">
        <v>111.22747780000005</v>
      </c>
      <c r="G162" s="126">
        <v>0.10105444457646556</v>
      </c>
      <c r="H162" s="126">
        <v>0</v>
      </c>
      <c r="I162" s="40">
        <v>1027.2739289128624</v>
      </c>
      <c r="J162" s="40">
        <v>0</v>
      </c>
      <c r="K162" s="44">
        <v>0</v>
      </c>
      <c r="L162" s="44">
        <v>0</v>
      </c>
      <c r="M162" s="126">
        <v>0.14930041957456663</v>
      </c>
      <c r="N162" s="126">
        <v>0</v>
      </c>
    </row>
    <row r="163" spans="1:14" x14ac:dyDescent="0.2">
      <c r="A163" s="44">
        <v>161</v>
      </c>
      <c r="B163" t="s">
        <v>184</v>
      </c>
      <c r="C163" s="44">
        <v>20230707</v>
      </c>
      <c r="D163" s="44">
        <v>328</v>
      </c>
      <c r="E163" s="40">
        <v>29890.302888742834</v>
      </c>
      <c r="F163" s="40">
        <v>100.40414436666667</v>
      </c>
      <c r="G163" s="126">
        <v>0.10105444457646556</v>
      </c>
      <c r="H163" s="126">
        <v>0</v>
      </c>
      <c r="I163" s="40">
        <v>1027.2739289128624</v>
      </c>
      <c r="J163" s="40">
        <v>0</v>
      </c>
      <c r="K163" s="44">
        <v>0</v>
      </c>
      <c r="L163" s="44">
        <v>0</v>
      </c>
      <c r="M163" s="126">
        <v>8.632887825964064E-2</v>
      </c>
      <c r="N163" s="126">
        <v>0</v>
      </c>
    </row>
    <row r="164" spans="1:14" x14ac:dyDescent="0.2">
      <c r="A164" s="44">
        <v>162</v>
      </c>
      <c r="B164" t="s">
        <v>184</v>
      </c>
      <c r="C164" s="44">
        <v>20230707</v>
      </c>
      <c r="D164" s="44">
        <v>354</v>
      </c>
      <c r="E164" s="40">
        <v>29890.302888742834</v>
      </c>
      <c r="F164" s="40">
        <v>79.399719400000023</v>
      </c>
      <c r="G164" s="126">
        <v>0.10105444457646556</v>
      </c>
      <c r="H164" s="126">
        <v>0</v>
      </c>
      <c r="I164" s="40">
        <v>1027.2739289128624</v>
      </c>
      <c r="J164" s="40">
        <v>0</v>
      </c>
      <c r="K164" s="44">
        <v>0</v>
      </c>
      <c r="L164" s="44">
        <v>0</v>
      </c>
      <c r="M164" s="126">
        <v>7.4169513981755975E-2</v>
      </c>
      <c r="N164" s="126">
        <v>0</v>
      </c>
    </row>
    <row r="165" spans="1:14" x14ac:dyDescent="0.2">
      <c r="A165" s="44">
        <v>163</v>
      </c>
      <c r="B165" t="s">
        <v>184</v>
      </c>
      <c r="C165" s="44">
        <v>20230707</v>
      </c>
      <c r="D165" s="44">
        <v>395</v>
      </c>
      <c r="E165" s="40">
        <v>30074.085620290865</v>
      </c>
      <c r="F165" s="40">
        <v>79.390381000000005</v>
      </c>
      <c r="G165" s="126">
        <v>0.10040938485116718</v>
      </c>
      <c r="H165" s="129">
        <v>2.9849264485968061E-2</v>
      </c>
      <c r="I165" s="40">
        <v>505.98044650552066</v>
      </c>
      <c r="J165" s="40">
        <v>196.70192583126311</v>
      </c>
      <c r="K165" s="44">
        <v>0</v>
      </c>
      <c r="L165" s="44">
        <v>0</v>
      </c>
      <c r="M165" s="129">
        <v>0.1423878782398933</v>
      </c>
      <c r="N165" s="129">
        <v>1.458405695612397E-4</v>
      </c>
    </row>
    <row r="166" spans="1:14" x14ac:dyDescent="0.2">
      <c r="A166" s="44">
        <v>164</v>
      </c>
      <c r="B166" t="s">
        <v>184</v>
      </c>
      <c r="C166" s="44">
        <v>20230707</v>
      </c>
      <c r="D166" s="44">
        <v>409</v>
      </c>
      <c r="E166" s="40">
        <v>30074.085620290865</v>
      </c>
      <c r="F166" s="40">
        <v>98.355895800000056</v>
      </c>
      <c r="G166" s="126">
        <v>0.10040938485116718</v>
      </c>
      <c r="H166" s="129">
        <v>2.9849264485968061E-2</v>
      </c>
      <c r="I166" s="40">
        <v>505.98044650552066</v>
      </c>
      <c r="J166" s="40">
        <v>196.70192583126311</v>
      </c>
      <c r="K166" s="44">
        <v>0</v>
      </c>
      <c r="L166" s="44">
        <v>0</v>
      </c>
      <c r="M166" s="129">
        <v>0.21416868387384524</v>
      </c>
      <c r="N166" s="129">
        <v>2.5278848499054041E-3</v>
      </c>
    </row>
    <row r="167" spans="1:14" x14ac:dyDescent="0.2">
      <c r="A167" s="44">
        <v>165</v>
      </c>
      <c r="B167" t="s">
        <v>184</v>
      </c>
      <c r="C167" s="44">
        <v>20230707</v>
      </c>
      <c r="D167" s="44">
        <v>426</v>
      </c>
      <c r="E167" s="40">
        <v>30074.085620290865</v>
      </c>
      <c r="F167" s="40">
        <v>115.32293700000005</v>
      </c>
      <c r="G167" s="126">
        <v>0.10040938485116718</v>
      </c>
      <c r="H167" s="129">
        <v>2.9849264485968061E-2</v>
      </c>
      <c r="I167" s="40">
        <v>505.98044650552066</v>
      </c>
      <c r="J167" s="40">
        <v>196.70192583126311</v>
      </c>
      <c r="K167" s="44">
        <v>0</v>
      </c>
      <c r="L167" s="44">
        <v>0</v>
      </c>
      <c r="M167" s="129">
        <v>0.30704478680233316</v>
      </c>
      <c r="N167" s="129">
        <v>3.4321971694893927E-3</v>
      </c>
    </row>
    <row r="168" spans="1:14" x14ac:dyDescent="0.2">
      <c r="A168" s="44">
        <v>166</v>
      </c>
      <c r="B168" t="s">
        <v>184</v>
      </c>
      <c r="C168" s="44">
        <v>20230707</v>
      </c>
      <c r="D168" s="44">
        <v>442</v>
      </c>
      <c r="E168" s="40">
        <v>30074.085620290865</v>
      </c>
      <c r="F168" s="40">
        <v>132.29208339999988</v>
      </c>
      <c r="G168" s="126">
        <v>0.10040938485116718</v>
      </c>
      <c r="H168" s="126">
        <v>2.9849264485968061E-2</v>
      </c>
      <c r="I168" s="40">
        <v>505.98044650552066</v>
      </c>
      <c r="J168" s="40">
        <v>196.70192583126311</v>
      </c>
      <c r="K168" s="44">
        <v>0</v>
      </c>
      <c r="L168" s="44">
        <v>0</v>
      </c>
      <c r="M168" s="126">
        <v>0.51269564550380575</v>
      </c>
      <c r="N168" s="126">
        <v>1.0019357013103525E-2</v>
      </c>
    </row>
    <row r="169" spans="1:14" x14ac:dyDescent="0.2">
      <c r="A169" s="44">
        <v>167</v>
      </c>
      <c r="B169" t="s">
        <v>184</v>
      </c>
      <c r="C169" s="44">
        <v>20230707</v>
      </c>
      <c r="D169" s="44">
        <v>458</v>
      </c>
      <c r="E169" s="40">
        <v>30074.085620290865</v>
      </c>
      <c r="F169" s="40">
        <v>149.40338099999997</v>
      </c>
      <c r="G169" s="126">
        <v>0.10040938485116718</v>
      </c>
      <c r="H169" s="129">
        <v>2.9849264485968061E-2</v>
      </c>
      <c r="I169" s="40">
        <v>505.98044650552066</v>
      </c>
      <c r="J169" s="40">
        <v>196.70192583126311</v>
      </c>
      <c r="K169" s="44">
        <v>0</v>
      </c>
      <c r="L169" s="44">
        <v>0</v>
      </c>
      <c r="M169" s="129">
        <v>0.80829747562158971</v>
      </c>
      <c r="N169" s="129">
        <v>2.1914526868540674E-2</v>
      </c>
    </row>
    <row r="170" spans="1:14" x14ac:dyDescent="0.2">
      <c r="A170" s="44">
        <v>168</v>
      </c>
      <c r="B170" t="s">
        <v>184</v>
      </c>
      <c r="C170" s="44">
        <v>20230707</v>
      </c>
      <c r="D170" s="44">
        <v>478</v>
      </c>
      <c r="E170" s="40">
        <v>30074.085620290865</v>
      </c>
      <c r="F170" s="40">
        <v>165.74786420000001</v>
      </c>
      <c r="G170" s="126">
        <v>0.10040938485116718</v>
      </c>
      <c r="H170" s="129">
        <v>2.9849264485968061E-2</v>
      </c>
      <c r="I170" s="40">
        <v>505.98044650552066</v>
      </c>
      <c r="J170" s="40">
        <v>196.70192583126311</v>
      </c>
      <c r="K170" s="44">
        <v>0</v>
      </c>
      <c r="L170" s="44">
        <v>0</v>
      </c>
      <c r="M170" s="129">
        <v>0.97172972736119811</v>
      </c>
      <c r="N170" s="129">
        <v>9.0059746809261099E-2</v>
      </c>
    </row>
    <row r="171" spans="1:14" x14ac:dyDescent="0.2">
      <c r="A171" s="44">
        <v>169</v>
      </c>
      <c r="B171" t="s">
        <v>184</v>
      </c>
      <c r="C171" s="44">
        <v>20230707</v>
      </c>
      <c r="D171" s="44">
        <v>490</v>
      </c>
      <c r="E171" s="40">
        <v>30074.085620290865</v>
      </c>
      <c r="F171" s="40">
        <v>183.25448640000002</v>
      </c>
      <c r="G171" s="126">
        <v>0.10040938485116718</v>
      </c>
      <c r="H171" s="126">
        <v>2.9849264485968061E-2</v>
      </c>
      <c r="I171" s="40">
        <v>505.98044650552066</v>
      </c>
      <c r="J171" s="40">
        <v>196.70192583126311</v>
      </c>
      <c r="K171" s="44">
        <v>0</v>
      </c>
      <c r="L171" s="44">
        <v>0</v>
      </c>
      <c r="M171" s="126">
        <v>0.99918105246313049</v>
      </c>
      <c r="N171" s="126">
        <v>0.22894490524705169</v>
      </c>
    </row>
    <row r="172" spans="1:14" x14ac:dyDescent="0.2">
      <c r="A172" s="44">
        <v>170</v>
      </c>
      <c r="B172" t="s">
        <v>184</v>
      </c>
      <c r="C172" s="44">
        <v>20230707</v>
      </c>
      <c r="D172" s="44">
        <v>513</v>
      </c>
      <c r="E172" s="40">
        <v>30074.085620290865</v>
      </c>
      <c r="F172" s="40">
        <v>196.30868933333338</v>
      </c>
      <c r="G172" s="126">
        <v>0.10040938485116718</v>
      </c>
      <c r="H172" s="129">
        <v>2.9849264485968061E-2</v>
      </c>
      <c r="I172" s="40">
        <v>505.98044650552066</v>
      </c>
      <c r="J172" s="40">
        <v>196.70192583126311</v>
      </c>
      <c r="K172" s="44">
        <v>0</v>
      </c>
      <c r="L172" s="44">
        <v>0</v>
      </c>
      <c r="M172" s="129">
        <v>1.0004020596659737</v>
      </c>
      <c r="N172" s="129">
        <v>0.26506238774477131</v>
      </c>
    </row>
    <row r="173" spans="1:14" x14ac:dyDescent="0.2">
      <c r="A173" s="44">
        <v>171</v>
      </c>
      <c r="B173" t="s">
        <v>186</v>
      </c>
      <c r="C173" s="44">
        <v>20230801</v>
      </c>
      <c r="D173" s="44">
        <v>233</v>
      </c>
      <c r="E173" s="40">
        <v>30130.025197608411</v>
      </c>
      <c r="F173" s="40">
        <v>280.76934840000007</v>
      </c>
      <c r="G173" s="126">
        <v>0</v>
      </c>
      <c r="H173" s="126">
        <v>2.9793846170595484E-2</v>
      </c>
      <c r="I173" s="40">
        <v>993.33327061189698</v>
      </c>
      <c r="J173" s="40"/>
      <c r="K173" s="44">
        <v>0</v>
      </c>
      <c r="L173" s="44">
        <v>0</v>
      </c>
      <c r="M173" s="126">
        <v>4.7515125247648796E-2</v>
      </c>
      <c r="N173" s="126"/>
    </row>
    <row r="174" spans="1:14" x14ac:dyDescent="0.2">
      <c r="A174" s="44">
        <v>172</v>
      </c>
      <c r="B174" t="s">
        <v>186</v>
      </c>
      <c r="C174" s="44">
        <v>20230801</v>
      </c>
      <c r="D174" s="44">
        <v>241</v>
      </c>
      <c r="E174" s="40">
        <v>30130.025197608411</v>
      </c>
      <c r="F174" s="40">
        <v>229.81322733333337</v>
      </c>
      <c r="G174" s="126">
        <v>0</v>
      </c>
      <c r="H174" s="126">
        <v>2.9793846170595484E-2</v>
      </c>
      <c r="I174" s="40">
        <v>993.33327061189698</v>
      </c>
      <c r="J174" s="40"/>
      <c r="K174" s="44">
        <v>0</v>
      </c>
      <c r="L174" s="44">
        <v>0</v>
      </c>
      <c r="M174" s="126">
        <v>1.045688466080835E-2</v>
      </c>
      <c r="N174" s="126"/>
    </row>
    <row r="175" spans="1:14" x14ac:dyDescent="0.2">
      <c r="A175" s="44">
        <v>173</v>
      </c>
      <c r="B175" t="s">
        <v>186</v>
      </c>
      <c r="C175" s="44">
        <v>20230801</v>
      </c>
      <c r="D175" s="44">
        <v>290</v>
      </c>
      <c r="E175" s="40">
        <v>30024.664855736544</v>
      </c>
      <c r="F175" s="125">
        <v>141.6119386</v>
      </c>
      <c r="G175" s="126">
        <v>0.10015137310894343</v>
      </c>
      <c r="H175" s="129">
        <v>0</v>
      </c>
      <c r="I175" s="125">
        <v>996.81900254220272</v>
      </c>
      <c r="J175" s="125">
        <v>0</v>
      </c>
      <c r="K175" s="44">
        <v>0</v>
      </c>
      <c r="L175" s="44">
        <v>0</v>
      </c>
      <c r="M175" s="129">
        <v>2.3269639842906583E-2</v>
      </c>
      <c r="N175" s="129">
        <v>0</v>
      </c>
    </row>
    <row r="176" spans="1:14" x14ac:dyDescent="0.2">
      <c r="A176" s="44">
        <v>174</v>
      </c>
      <c r="B176" t="s">
        <v>186</v>
      </c>
      <c r="C176" s="44">
        <v>20230801</v>
      </c>
      <c r="D176" s="44">
        <v>329</v>
      </c>
      <c r="E176" s="40">
        <v>30024.664855736544</v>
      </c>
      <c r="F176" s="125">
        <v>195.82101443333329</v>
      </c>
      <c r="G176" s="126">
        <v>0.10015137310894343</v>
      </c>
      <c r="H176" s="129">
        <v>0</v>
      </c>
      <c r="I176" s="125">
        <v>996.81900254220272</v>
      </c>
      <c r="J176" s="125">
        <v>0</v>
      </c>
      <c r="K176" s="44">
        <v>0</v>
      </c>
      <c r="L176" s="44">
        <v>0</v>
      </c>
      <c r="M176" s="129">
        <v>2.8624508052085204E-2</v>
      </c>
      <c r="N176" s="44">
        <v>0</v>
      </c>
    </row>
    <row r="177" spans="1:14" x14ac:dyDescent="0.2">
      <c r="A177" s="44">
        <v>175</v>
      </c>
      <c r="B177" t="s">
        <v>186</v>
      </c>
      <c r="C177" s="44">
        <v>20230801</v>
      </c>
      <c r="D177" s="44">
        <v>343</v>
      </c>
      <c r="E177" s="40">
        <v>30024.664855736544</v>
      </c>
      <c r="F177" s="125">
        <v>203.60623180000005</v>
      </c>
      <c r="G177" s="126">
        <v>0.10015137310894343</v>
      </c>
      <c r="H177" s="129">
        <v>0</v>
      </c>
      <c r="I177" s="125">
        <v>996.81900254220272</v>
      </c>
      <c r="J177" s="125">
        <v>0</v>
      </c>
      <c r="K177" s="44">
        <v>0</v>
      </c>
      <c r="L177" s="44">
        <v>0</v>
      </c>
      <c r="M177" s="129">
        <v>4.0188350098566923E-2</v>
      </c>
      <c r="N177" s="44">
        <v>0</v>
      </c>
    </row>
    <row r="178" spans="1:14" x14ac:dyDescent="0.2">
      <c r="A178" s="44">
        <v>176</v>
      </c>
      <c r="B178" t="s">
        <v>110</v>
      </c>
      <c r="C178" s="44">
        <v>20230804</v>
      </c>
      <c r="D178" s="44">
        <v>168</v>
      </c>
      <c r="E178" s="40">
        <v>30130.025197608411</v>
      </c>
      <c r="F178" s="125">
        <v>280.48297079999986</v>
      </c>
      <c r="G178" s="45">
        <v>0</v>
      </c>
      <c r="H178" s="126">
        <v>2.9793846170595484E-2</v>
      </c>
      <c r="I178" s="130">
        <v>993.33327061189698</v>
      </c>
      <c r="J178" s="44"/>
      <c r="K178" s="44">
        <v>0</v>
      </c>
      <c r="L178" s="44">
        <v>0</v>
      </c>
      <c r="M178" s="129">
        <v>0.97286873195731827</v>
      </c>
      <c r="N178" s="44"/>
    </row>
    <row r="179" spans="1:14" x14ac:dyDescent="0.2">
      <c r="A179" s="44">
        <v>177</v>
      </c>
      <c r="B179" t="s">
        <v>110</v>
      </c>
      <c r="C179" s="44">
        <v>20230804</v>
      </c>
      <c r="D179" s="44">
        <v>184</v>
      </c>
      <c r="E179" s="40">
        <v>30130.025197608411</v>
      </c>
      <c r="F179" s="125">
        <v>268.85650643333338</v>
      </c>
      <c r="G179" s="45">
        <v>0</v>
      </c>
      <c r="H179" s="126">
        <v>2.9793846170595484E-2</v>
      </c>
      <c r="I179" s="130">
        <v>993.33327061189698</v>
      </c>
      <c r="J179" s="44"/>
      <c r="K179" s="44">
        <v>0</v>
      </c>
      <c r="L179" s="44">
        <v>0</v>
      </c>
      <c r="M179" s="129">
        <v>0.97098829465294312</v>
      </c>
      <c r="N179" s="44"/>
    </row>
    <row r="180" spans="1:14" x14ac:dyDescent="0.2">
      <c r="A180" s="44">
        <v>178</v>
      </c>
      <c r="B180" t="s">
        <v>110</v>
      </c>
      <c r="C180" s="44">
        <v>20230804</v>
      </c>
      <c r="D180" s="44">
        <v>200</v>
      </c>
      <c r="E180" s="40">
        <v>30130.025197608411</v>
      </c>
      <c r="F180" s="125">
        <v>256.42071539999989</v>
      </c>
      <c r="G180" s="45">
        <v>0</v>
      </c>
      <c r="H180" s="126">
        <v>2.9793846170595484E-2</v>
      </c>
      <c r="I180" s="130">
        <v>993.33327061189698</v>
      </c>
      <c r="J180" s="44"/>
      <c r="K180" s="44">
        <v>0</v>
      </c>
      <c r="L180" s="44">
        <v>0</v>
      </c>
      <c r="M180" s="129">
        <v>0.96903228397040575</v>
      </c>
      <c r="N180" s="44"/>
    </row>
    <row r="181" spans="1:14" x14ac:dyDescent="0.2">
      <c r="A181" s="44">
        <v>179</v>
      </c>
      <c r="B181" t="s">
        <v>110</v>
      </c>
      <c r="C181" s="44">
        <v>20230804</v>
      </c>
      <c r="D181" s="44">
        <v>235</v>
      </c>
      <c r="E181" s="40">
        <v>30130.025197608411</v>
      </c>
      <c r="F181" s="125">
        <v>231.15695199999985</v>
      </c>
      <c r="G181" s="45">
        <v>0</v>
      </c>
      <c r="H181" s="126">
        <v>2.9793846170595484E-2</v>
      </c>
      <c r="I181" s="130">
        <v>993.33327061189698</v>
      </c>
      <c r="J181" s="44"/>
      <c r="K181" s="44">
        <v>0</v>
      </c>
      <c r="L181" s="44">
        <v>0</v>
      </c>
      <c r="M181" s="129">
        <v>0.9554608018637909</v>
      </c>
      <c r="N181" s="44"/>
    </row>
    <row r="182" spans="1:14" x14ac:dyDescent="0.2">
      <c r="A182" s="44">
        <v>180</v>
      </c>
      <c r="B182" t="s">
        <v>110</v>
      </c>
      <c r="C182" s="44">
        <v>20230804</v>
      </c>
      <c r="D182" s="44">
        <v>253</v>
      </c>
      <c r="E182" s="40">
        <v>30130.025197608411</v>
      </c>
      <c r="F182" s="125">
        <v>217.84020960000009</v>
      </c>
      <c r="G182" s="45">
        <v>0</v>
      </c>
      <c r="H182" s="129">
        <v>2.9793846170595484E-2</v>
      </c>
      <c r="I182" s="40">
        <v>993.33327061189698</v>
      </c>
      <c r="J182" s="44"/>
      <c r="K182" s="44">
        <v>0</v>
      </c>
      <c r="L182" s="44">
        <v>0</v>
      </c>
      <c r="M182" s="129">
        <v>0.89190856821657449</v>
      </c>
      <c r="N182" s="44"/>
    </row>
    <row r="183" spans="1:14" x14ac:dyDescent="0.2">
      <c r="A183" s="44">
        <v>181</v>
      </c>
      <c r="B183" t="s">
        <v>110</v>
      </c>
      <c r="C183" s="44">
        <v>20230804</v>
      </c>
      <c r="D183" s="44">
        <v>266</v>
      </c>
      <c r="E183" s="40">
        <v>30130.025197608411</v>
      </c>
      <c r="F183" s="125">
        <v>204.26614343333324</v>
      </c>
      <c r="G183" s="45">
        <v>0</v>
      </c>
      <c r="H183" s="126">
        <v>2.9793846170595484E-2</v>
      </c>
      <c r="I183" s="130">
        <v>993.33327061189698</v>
      </c>
      <c r="J183" s="44"/>
      <c r="K183" s="44">
        <v>0</v>
      </c>
      <c r="L183" s="44">
        <v>0</v>
      </c>
      <c r="M183" s="129">
        <v>0.7833759624092872</v>
      </c>
      <c r="N183" s="44"/>
    </row>
    <row r="184" spans="1:14" x14ac:dyDescent="0.2">
      <c r="A184" s="44">
        <v>182</v>
      </c>
      <c r="B184" t="s">
        <v>110</v>
      </c>
      <c r="C184" s="44">
        <v>20230804</v>
      </c>
      <c r="D184" s="44">
        <v>281</v>
      </c>
      <c r="E184" s="40">
        <v>30130.025197608411</v>
      </c>
      <c r="F184" s="125">
        <v>191.22231976666677</v>
      </c>
      <c r="G184" s="45">
        <v>0</v>
      </c>
      <c r="H184" s="126">
        <v>2.9793846170595484E-2</v>
      </c>
      <c r="I184" s="130">
        <v>993.33327061189698</v>
      </c>
      <c r="J184" s="44"/>
      <c r="K184" s="44">
        <v>0</v>
      </c>
      <c r="L184" s="44">
        <v>0</v>
      </c>
      <c r="M184" s="129">
        <v>0.64923025744377605</v>
      </c>
      <c r="N184" s="44"/>
    </row>
    <row r="185" spans="1:14" x14ac:dyDescent="0.2">
      <c r="A185" s="44">
        <v>183</v>
      </c>
      <c r="B185" t="s">
        <v>110</v>
      </c>
      <c r="C185" s="44">
        <v>20230804</v>
      </c>
      <c r="D185" s="44">
        <v>296</v>
      </c>
      <c r="E185" s="40">
        <v>30130.025197608411</v>
      </c>
      <c r="F185" s="125">
        <v>177.61920180000004</v>
      </c>
      <c r="G185" s="45">
        <v>0</v>
      </c>
      <c r="H185" s="126">
        <v>2.9793846170595484E-2</v>
      </c>
      <c r="I185" s="130">
        <v>993.33327061189698</v>
      </c>
      <c r="J185" s="44"/>
      <c r="K185" s="44">
        <v>0</v>
      </c>
      <c r="L185" s="44">
        <v>0</v>
      </c>
      <c r="M185" s="129">
        <v>0.47607190082591366</v>
      </c>
      <c r="N185" s="44"/>
    </row>
    <row r="186" spans="1:14" x14ac:dyDescent="0.2">
      <c r="A186" s="44">
        <v>184</v>
      </c>
      <c r="B186" t="s">
        <v>110</v>
      </c>
      <c r="C186" s="44">
        <v>20230804</v>
      </c>
      <c r="D186" s="44">
        <v>313</v>
      </c>
      <c r="E186" s="40">
        <v>30130.025197608411</v>
      </c>
      <c r="F186" s="125">
        <v>164.6728818</v>
      </c>
      <c r="G186" s="45">
        <v>0</v>
      </c>
      <c r="H186" s="126">
        <v>2.9793846170595484E-2</v>
      </c>
      <c r="I186" s="130">
        <v>993.33327061189698</v>
      </c>
      <c r="J186" s="44"/>
      <c r="K186" s="44">
        <v>0</v>
      </c>
      <c r="L186" s="44">
        <v>0</v>
      </c>
      <c r="M186" s="129">
        <v>0.32987815095291745</v>
      </c>
      <c r="N186" s="44"/>
    </row>
    <row r="187" spans="1:14" x14ac:dyDescent="0.2">
      <c r="A187" s="44">
        <v>185</v>
      </c>
      <c r="B187" t="s">
        <v>110</v>
      </c>
      <c r="C187" s="44">
        <v>20230804</v>
      </c>
      <c r="D187" s="44">
        <v>327</v>
      </c>
      <c r="E187" s="40">
        <v>30130.025197608411</v>
      </c>
      <c r="F187" s="125">
        <v>151.49417100000002</v>
      </c>
      <c r="G187" s="45">
        <v>0</v>
      </c>
      <c r="H187" s="126">
        <v>2.9793846170595484E-2</v>
      </c>
      <c r="I187" s="130">
        <v>993.33327061189698</v>
      </c>
      <c r="J187" s="44"/>
      <c r="K187" s="44">
        <v>0</v>
      </c>
      <c r="L187" s="44">
        <v>0</v>
      </c>
      <c r="M187" s="129">
        <v>0.23338089361577763</v>
      </c>
      <c r="N187" s="44"/>
    </row>
    <row r="188" spans="1:14" x14ac:dyDescent="0.2">
      <c r="A188" s="44">
        <v>186</v>
      </c>
      <c r="B188" t="s">
        <v>110</v>
      </c>
      <c r="C188" s="44">
        <v>20230804</v>
      </c>
      <c r="D188" s="44">
        <v>338</v>
      </c>
      <c r="E188" s="40">
        <v>30130.025197608411</v>
      </c>
      <c r="F188" s="125">
        <v>138.72112999999996</v>
      </c>
      <c r="G188" s="45">
        <v>0</v>
      </c>
      <c r="H188" s="126">
        <v>2.9793846170595484E-2</v>
      </c>
      <c r="I188" s="130">
        <v>993.33327061189698</v>
      </c>
      <c r="J188" s="44"/>
      <c r="K188" s="44">
        <v>0</v>
      </c>
      <c r="L188" s="44">
        <v>0</v>
      </c>
      <c r="M188" s="129">
        <v>0.16780652071387628</v>
      </c>
      <c r="N188" s="44"/>
    </row>
    <row r="189" spans="1:14" x14ac:dyDescent="0.2">
      <c r="A189" s="44">
        <v>187</v>
      </c>
      <c r="B189" t="s">
        <v>110</v>
      </c>
      <c r="C189" s="44">
        <v>20230804</v>
      </c>
      <c r="D189" s="44">
        <v>352</v>
      </c>
      <c r="E189" s="40">
        <v>30130.025197608411</v>
      </c>
      <c r="F189" s="125">
        <v>126.9276124000001</v>
      </c>
      <c r="G189" s="45">
        <v>0</v>
      </c>
      <c r="H189" s="126">
        <v>2.9793846170595484E-2</v>
      </c>
      <c r="I189" s="130">
        <v>993.33327061189698</v>
      </c>
      <c r="J189" s="44"/>
      <c r="K189" s="44">
        <v>0</v>
      </c>
      <c r="L189" s="44">
        <v>0</v>
      </c>
      <c r="M189" s="129">
        <v>0.11555701962737314</v>
      </c>
      <c r="N189" s="44"/>
    </row>
    <row r="190" spans="1:14" x14ac:dyDescent="0.2">
      <c r="A190" s="44">
        <v>188</v>
      </c>
      <c r="B190" t="s">
        <v>110</v>
      </c>
      <c r="C190" s="44">
        <v>20230804</v>
      </c>
      <c r="D190" s="44">
        <v>365</v>
      </c>
      <c r="E190" s="40">
        <v>30130.025197608411</v>
      </c>
      <c r="F190" s="125">
        <v>115.686127</v>
      </c>
      <c r="G190" s="45">
        <v>0</v>
      </c>
      <c r="H190" s="126">
        <v>2.9793846170595484E-2</v>
      </c>
      <c r="I190" s="130">
        <v>993.33327061189698</v>
      </c>
      <c r="J190" s="44"/>
      <c r="K190" s="44">
        <v>0</v>
      </c>
      <c r="L190" s="44">
        <v>0</v>
      </c>
      <c r="M190" s="129">
        <v>8.4034977562350746E-2</v>
      </c>
      <c r="N190" s="44"/>
    </row>
    <row r="191" spans="1:14" x14ac:dyDescent="0.2">
      <c r="A191" s="44">
        <v>189</v>
      </c>
      <c r="B191" t="s">
        <v>110</v>
      </c>
      <c r="C191" s="44">
        <v>20230804</v>
      </c>
      <c r="D191" s="44">
        <v>384</v>
      </c>
      <c r="E191" s="40">
        <v>30024.664855736544</v>
      </c>
      <c r="F191" s="40">
        <v>163.92788290000001</v>
      </c>
      <c r="G191" s="126">
        <v>0.10015137310894343</v>
      </c>
      <c r="H191" s="126">
        <v>0</v>
      </c>
      <c r="I191" s="40">
        <v>996.81900254220272</v>
      </c>
      <c r="J191" s="40">
        <v>0</v>
      </c>
      <c r="K191" s="44">
        <v>0</v>
      </c>
      <c r="L191" s="44">
        <v>0</v>
      </c>
      <c r="M191" s="126">
        <v>0.97474478438835221</v>
      </c>
      <c r="N191" s="126">
        <v>0</v>
      </c>
    </row>
    <row r="192" spans="1:14" x14ac:dyDescent="0.2">
      <c r="A192" s="44">
        <v>190</v>
      </c>
      <c r="B192" t="s">
        <v>110</v>
      </c>
      <c r="C192" s="44">
        <v>20230804</v>
      </c>
      <c r="D192" s="44">
        <v>388</v>
      </c>
      <c r="E192" s="40">
        <v>30024.664855736544</v>
      </c>
      <c r="F192" s="40">
        <v>149.67107743333332</v>
      </c>
      <c r="G192" s="126">
        <v>0.10015137310894343</v>
      </c>
      <c r="H192" s="126">
        <v>0</v>
      </c>
      <c r="I192" s="40">
        <v>996.81900254220272</v>
      </c>
      <c r="J192" s="40">
        <v>0</v>
      </c>
      <c r="K192" s="44">
        <v>0</v>
      </c>
      <c r="L192" s="44">
        <v>0</v>
      </c>
      <c r="M192" s="126">
        <v>0.96953183506145058</v>
      </c>
      <c r="N192" s="126">
        <v>0</v>
      </c>
    </row>
    <row r="193" spans="1:14" x14ac:dyDescent="0.2">
      <c r="A193" s="44">
        <v>191</v>
      </c>
      <c r="B193" t="s">
        <v>110</v>
      </c>
      <c r="C193" s="44">
        <v>20230804</v>
      </c>
      <c r="D193" s="44">
        <v>401</v>
      </c>
      <c r="E193" s="40">
        <v>30024.664855736544</v>
      </c>
      <c r="F193" s="40">
        <v>144.60128786666667</v>
      </c>
      <c r="G193" s="126">
        <v>0.10015137310894343</v>
      </c>
      <c r="H193" s="126">
        <v>0</v>
      </c>
      <c r="I193" s="40">
        <v>996.81900254220272</v>
      </c>
      <c r="J193" s="40">
        <v>0</v>
      </c>
      <c r="K193" s="44">
        <v>0</v>
      </c>
      <c r="L193" s="44">
        <v>0</v>
      </c>
      <c r="M193" s="126">
        <v>0.96251547496541379</v>
      </c>
      <c r="N193" s="126">
        <v>0</v>
      </c>
    </row>
    <row r="194" spans="1:14" x14ac:dyDescent="0.2">
      <c r="A194" s="44">
        <v>192</v>
      </c>
      <c r="B194" t="s">
        <v>110</v>
      </c>
      <c r="C194" s="44">
        <v>20230804</v>
      </c>
      <c r="D194" s="44">
        <v>417</v>
      </c>
      <c r="E194" s="40">
        <v>30024.664855736544</v>
      </c>
      <c r="F194" s="40">
        <v>127.55538940000007</v>
      </c>
      <c r="G194" s="126">
        <v>0.10015137310894343</v>
      </c>
      <c r="H194" s="126">
        <v>0</v>
      </c>
      <c r="I194" s="40">
        <v>996.81900254220272</v>
      </c>
      <c r="J194" s="40">
        <v>0</v>
      </c>
      <c r="K194" s="44">
        <v>0</v>
      </c>
      <c r="L194" s="44">
        <v>0</v>
      </c>
      <c r="M194" s="126">
        <v>0.82318862797384018</v>
      </c>
      <c r="N194" s="126">
        <v>0</v>
      </c>
    </row>
    <row r="195" spans="1:14" x14ac:dyDescent="0.2">
      <c r="A195" s="44">
        <v>193</v>
      </c>
      <c r="B195" t="s">
        <v>110</v>
      </c>
      <c r="C195" s="44">
        <v>20230804</v>
      </c>
      <c r="D195" s="44">
        <v>438</v>
      </c>
      <c r="E195" s="40">
        <v>30024.664855736544</v>
      </c>
      <c r="F195" s="40">
        <v>110.11309840000004</v>
      </c>
      <c r="G195" s="126">
        <v>0.10015137310894343</v>
      </c>
      <c r="H195" s="126">
        <v>0</v>
      </c>
      <c r="I195" s="40">
        <v>996.81900254220272</v>
      </c>
      <c r="J195" s="40">
        <v>0</v>
      </c>
      <c r="K195" s="44">
        <v>0</v>
      </c>
      <c r="L195" s="44">
        <v>0</v>
      </c>
      <c r="M195" s="126">
        <v>0.55167533374684696</v>
      </c>
      <c r="N195" s="126">
        <v>0</v>
      </c>
    </row>
    <row r="196" spans="1:14" x14ac:dyDescent="0.2">
      <c r="A196" s="44">
        <v>194</v>
      </c>
      <c r="B196" t="s">
        <v>110</v>
      </c>
      <c r="C196" s="44">
        <v>20230804</v>
      </c>
      <c r="D196" s="44">
        <v>456</v>
      </c>
      <c r="E196" s="40">
        <v>30024.664855736544</v>
      </c>
      <c r="F196" s="40">
        <v>93.535140200000015</v>
      </c>
      <c r="G196" s="126">
        <v>0.10015137310894343</v>
      </c>
      <c r="H196" s="126">
        <v>0</v>
      </c>
      <c r="I196" s="40">
        <v>996.81900254220272</v>
      </c>
      <c r="J196" s="40">
        <v>0</v>
      </c>
      <c r="K196" s="44">
        <v>0</v>
      </c>
      <c r="L196" s="44">
        <v>0</v>
      </c>
      <c r="M196" s="126">
        <v>0.28053880597067554</v>
      </c>
      <c r="N196" s="126">
        <v>0</v>
      </c>
    </row>
    <row r="197" spans="1:14" x14ac:dyDescent="0.2">
      <c r="A197" s="44">
        <v>195</v>
      </c>
      <c r="B197" t="s">
        <v>110</v>
      </c>
      <c r="C197" s="44">
        <v>20230804</v>
      </c>
      <c r="D197" s="44">
        <v>468</v>
      </c>
      <c r="E197" s="40">
        <v>30024.664855736544</v>
      </c>
      <c r="F197" s="40">
        <v>80.649017366666627</v>
      </c>
      <c r="G197" s="126">
        <v>0.10015137310894343</v>
      </c>
      <c r="H197" s="126">
        <v>0</v>
      </c>
      <c r="I197" s="40">
        <v>996.81900254220272</v>
      </c>
      <c r="J197" s="40">
        <v>0</v>
      </c>
      <c r="K197" s="44">
        <v>0</v>
      </c>
      <c r="L197" s="44">
        <v>0</v>
      </c>
      <c r="M197" s="126">
        <v>0.18184834507624575</v>
      </c>
      <c r="N197" s="126">
        <v>0</v>
      </c>
    </row>
    <row r="198" spans="1:14" x14ac:dyDescent="0.2">
      <c r="A198" s="44">
        <v>196</v>
      </c>
      <c r="B198" t="s">
        <v>110</v>
      </c>
      <c r="C198" s="44">
        <v>20230804</v>
      </c>
      <c r="D198" s="44">
        <v>477</v>
      </c>
      <c r="E198" s="40">
        <v>30024.664855736544</v>
      </c>
      <c r="F198" s="40">
        <v>69.568337133333344</v>
      </c>
      <c r="G198" s="126">
        <v>0.10015137310894343</v>
      </c>
      <c r="H198" s="126">
        <v>0</v>
      </c>
      <c r="I198" s="40">
        <v>996.81900254220272</v>
      </c>
      <c r="J198" s="40">
        <v>0</v>
      </c>
      <c r="K198" s="44">
        <v>0</v>
      </c>
      <c r="L198" s="44">
        <v>0</v>
      </c>
      <c r="M198" s="126">
        <v>0.12007429959657419</v>
      </c>
      <c r="N198" s="126">
        <v>0</v>
      </c>
    </row>
    <row r="199" spans="1:14" x14ac:dyDescent="0.2">
      <c r="A199" s="44">
        <v>197</v>
      </c>
      <c r="B199" t="s">
        <v>185</v>
      </c>
      <c r="C199" s="44">
        <v>20230811</v>
      </c>
      <c r="D199" s="44">
        <v>170</v>
      </c>
      <c r="E199" s="40">
        <v>30130.025197608411</v>
      </c>
      <c r="F199" s="125">
        <v>280.60437003333334</v>
      </c>
      <c r="G199" s="45">
        <v>0</v>
      </c>
      <c r="H199" s="126">
        <v>2.9793846170595484E-2</v>
      </c>
      <c r="I199" s="130">
        <v>993.33327061189698</v>
      </c>
      <c r="J199" s="44"/>
      <c r="K199" s="44">
        <v>0</v>
      </c>
      <c r="L199" s="44">
        <v>0</v>
      </c>
      <c r="M199" s="129">
        <v>0.99949617245635658</v>
      </c>
      <c r="N199" s="44"/>
    </row>
    <row r="200" spans="1:14" x14ac:dyDescent="0.2">
      <c r="A200" s="44">
        <v>198</v>
      </c>
      <c r="B200" t="s">
        <v>185</v>
      </c>
      <c r="C200" s="44">
        <v>20230811</v>
      </c>
      <c r="D200" s="44">
        <v>182</v>
      </c>
      <c r="E200" s="40">
        <v>30130.025197608411</v>
      </c>
      <c r="F200" s="125">
        <v>268.55664040000005</v>
      </c>
      <c r="G200" s="45">
        <v>0</v>
      </c>
      <c r="H200" s="126">
        <v>2.9793846170595484E-2</v>
      </c>
      <c r="I200" s="130">
        <v>993.33327061189698</v>
      </c>
      <c r="J200" s="44"/>
      <c r="K200" s="44">
        <v>0</v>
      </c>
      <c r="L200" s="44">
        <v>0</v>
      </c>
      <c r="M200" s="129">
        <v>0.99400172179591406</v>
      </c>
      <c r="N200" s="44"/>
    </row>
    <row r="201" spans="1:14" x14ac:dyDescent="0.2">
      <c r="A201" s="44">
        <v>199</v>
      </c>
      <c r="B201" t="s">
        <v>185</v>
      </c>
      <c r="C201" s="44">
        <v>20230811</v>
      </c>
      <c r="D201" s="44">
        <v>200</v>
      </c>
      <c r="E201" s="40">
        <v>30130.025197608411</v>
      </c>
      <c r="F201" s="125">
        <v>256.42071539999989</v>
      </c>
      <c r="G201" s="45">
        <v>0</v>
      </c>
      <c r="H201" s="126">
        <v>2.9793846170595484E-2</v>
      </c>
      <c r="I201" s="130">
        <v>993.33327061189698</v>
      </c>
      <c r="J201" s="44"/>
      <c r="K201" s="44">
        <v>0</v>
      </c>
      <c r="L201" s="44">
        <v>0</v>
      </c>
      <c r="M201" s="129">
        <v>0.91542103018950005</v>
      </c>
      <c r="N201" s="44"/>
    </row>
    <row r="202" spans="1:14" x14ac:dyDescent="0.2">
      <c r="A202" s="44">
        <v>200</v>
      </c>
      <c r="B202" t="s">
        <v>185</v>
      </c>
      <c r="C202" s="44">
        <v>20230811</v>
      </c>
      <c r="D202" s="44">
        <v>212</v>
      </c>
      <c r="E202" s="40">
        <v>30130.025197608411</v>
      </c>
      <c r="F202" s="125">
        <v>241.40335083333332</v>
      </c>
      <c r="G202" s="45">
        <v>0</v>
      </c>
      <c r="H202" s="126">
        <v>2.9793846170595484E-2</v>
      </c>
      <c r="I202" s="130">
        <v>993.33327061189698</v>
      </c>
      <c r="J202" s="44"/>
      <c r="K202" s="44">
        <v>0</v>
      </c>
      <c r="L202" s="44">
        <v>0</v>
      </c>
      <c r="M202" s="129">
        <v>0.67842630941265614</v>
      </c>
      <c r="N202" s="44"/>
    </row>
    <row r="203" spans="1:14" x14ac:dyDescent="0.2">
      <c r="A203" s="44">
        <v>201</v>
      </c>
      <c r="B203" t="s">
        <v>185</v>
      </c>
      <c r="C203" s="44">
        <v>20230811</v>
      </c>
      <c r="D203" s="44">
        <v>236</v>
      </c>
      <c r="E203" s="40">
        <v>30130.025197608411</v>
      </c>
      <c r="F203" s="125">
        <v>231.07601220000001</v>
      </c>
      <c r="G203" s="45">
        <v>0</v>
      </c>
      <c r="H203" s="129">
        <v>2.9793846170595484E-2</v>
      </c>
      <c r="I203" s="40">
        <v>993.33327061189698</v>
      </c>
      <c r="J203" s="44"/>
      <c r="K203" s="44">
        <v>0</v>
      </c>
      <c r="L203" s="44">
        <v>0</v>
      </c>
      <c r="M203" s="129">
        <v>0.18182511876745297</v>
      </c>
      <c r="N203" s="44"/>
    </row>
    <row r="204" spans="1:14" x14ac:dyDescent="0.2">
      <c r="A204" s="44">
        <v>202</v>
      </c>
      <c r="B204" t="s">
        <v>185</v>
      </c>
      <c r="C204" s="44">
        <v>20230811</v>
      </c>
      <c r="D204" s="44">
        <v>254</v>
      </c>
      <c r="E204" s="40">
        <v>30130.025197608411</v>
      </c>
      <c r="F204" s="125">
        <v>216.98624890000008</v>
      </c>
      <c r="G204" s="45">
        <v>0</v>
      </c>
      <c r="H204" s="126">
        <v>2.9793846170595484E-2</v>
      </c>
      <c r="I204" s="130">
        <v>993.33327061189698</v>
      </c>
      <c r="J204" s="44"/>
      <c r="K204" s="44">
        <v>0</v>
      </c>
      <c r="L204" s="44">
        <v>0</v>
      </c>
      <c r="M204" s="129">
        <v>6.2082925484397068E-2</v>
      </c>
      <c r="N204" s="44"/>
    </row>
    <row r="205" spans="1:14" x14ac:dyDescent="0.2">
      <c r="A205" s="44">
        <v>203</v>
      </c>
      <c r="B205" t="s">
        <v>185</v>
      </c>
      <c r="C205" s="44">
        <v>20230811</v>
      </c>
      <c r="D205" s="44">
        <v>266</v>
      </c>
      <c r="E205" s="40">
        <v>30130.025197608411</v>
      </c>
      <c r="F205" s="125">
        <v>204.26614343333324</v>
      </c>
      <c r="G205" s="45">
        <v>0</v>
      </c>
      <c r="H205" s="126">
        <v>2.9793846170595484E-2</v>
      </c>
      <c r="I205" s="130">
        <v>993.33327061189698</v>
      </c>
      <c r="J205" s="44"/>
      <c r="K205" s="44">
        <v>0</v>
      </c>
      <c r="L205" s="44">
        <v>0</v>
      </c>
      <c r="M205" s="129">
        <v>2.887703811675868E-2</v>
      </c>
      <c r="N205" s="44"/>
    </row>
    <row r="206" spans="1:14" s="56" customFormat="1" x14ac:dyDescent="0.2">
      <c r="A206" s="58">
        <v>1000</v>
      </c>
      <c r="B206" s="56" t="s">
        <v>112</v>
      </c>
      <c r="C206" s="56" t="s">
        <v>112</v>
      </c>
      <c r="D206" s="56" t="s">
        <v>112</v>
      </c>
      <c r="E206" s="56" t="s">
        <v>112</v>
      </c>
      <c r="F206" s="56" t="s">
        <v>112</v>
      </c>
      <c r="G206" s="56" t="s">
        <v>112</v>
      </c>
      <c r="H206" s="56" t="s">
        <v>112</v>
      </c>
      <c r="I206" s="56" t="s">
        <v>112</v>
      </c>
      <c r="J206" s="56" t="s">
        <v>112</v>
      </c>
      <c r="K206" s="44">
        <v>0</v>
      </c>
      <c r="L206" s="44">
        <v>0</v>
      </c>
      <c r="M206" s="56" t="s">
        <v>112</v>
      </c>
      <c r="N206" s="56" t="s">
        <v>112</v>
      </c>
    </row>
    <row r="208" spans="1:14" x14ac:dyDescent="0.2">
      <c r="A208" s="118"/>
      <c r="B208" s="33"/>
      <c r="C208" s="118"/>
      <c r="D208" s="118"/>
      <c r="E208" s="119"/>
      <c r="F208" s="120"/>
      <c r="G208" s="121"/>
      <c r="H208" s="122"/>
      <c r="I208" s="118"/>
      <c r="J208" s="118"/>
      <c r="K208" s="118"/>
      <c r="L208" s="118"/>
      <c r="M208" s="123"/>
      <c r="N208" s="124"/>
    </row>
    <row r="212" spans="13:13" x14ac:dyDescent="0.2">
      <c r="M212" s="115"/>
    </row>
  </sheetData>
  <autoFilter ref="A2:N206" xr:uid="{64A53E14-E627-40AA-AFF8-F41F38BFEBC2}">
    <sortState xmlns:xlrd2="http://schemas.microsoft.com/office/spreadsheetml/2017/richdata2" ref="A3:N206">
      <sortCondition ref="A2:A206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T131"/>
  <sheetViews>
    <sheetView zoomScale="90" zoomScaleNormal="90" workbookViewId="0">
      <pane xSplit="1" ySplit="2" topLeftCell="AA3" activePane="bottomRight" state="frozen"/>
      <selection pane="topRight" activeCell="B1" sqref="B1"/>
      <selection pane="bottomLeft" activeCell="A3" sqref="A3"/>
      <selection pane="bottomRight" activeCell="AG25" sqref="AG25"/>
    </sheetView>
  </sheetViews>
  <sheetFormatPr baseColWidth="10" defaultColWidth="8.83203125" defaultRowHeight="15" x14ac:dyDescent="0.2"/>
  <cols>
    <col min="1" max="1" width="22.6640625" bestFit="1" customWidth="1"/>
    <col min="2" max="2" width="9.1640625" customWidth="1"/>
    <col min="3" max="3" width="9.1640625" style="3" customWidth="1"/>
    <col min="4" max="12" width="7.83203125" style="3" customWidth="1"/>
    <col min="13" max="13" width="9.1640625" customWidth="1"/>
    <col min="14" max="14" width="9.83203125" style="14" bestFit="1" customWidth="1"/>
    <col min="15" max="16" width="9.33203125" style="16" customWidth="1"/>
    <col min="17" max="17" width="3.33203125" style="38" customWidth="1"/>
    <col min="22" max="22" width="9.6640625" style="8" bestFit="1" customWidth="1"/>
    <col min="23" max="23" width="7.1640625" style="40" customWidth="1"/>
    <col min="25" max="26" width="9.33203125" style="16" customWidth="1"/>
    <col min="27" max="27" width="9.1640625" customWidth="1"/>
    <col min="28" max="28" width="3.33203125" style="38" customWidth="1"/>
    <col min="29" max="29" width="9.83203125" style="14" customWidth="1"/>
    <col min="30" max="30" width="7.1640625" style="40" customWidth="1"/>
    <col min="31" max="32" width="11.33203125" style="18" customWidth="1"/>
    <col min="33" max="33" width="9.33203125" customWidth="1"/>
    <col min="34" max="34" width="9" customWidth="1"/>
  </cols>
  <sheetData>
    <row r="1" spans="1:32" ht="19.25" customHeight="1" thickTop="1" x14ac:dyDescent="0.25">
      <c r="A1" s="76">
        <v>42</v>
      </c>
      <c r="E1" s="3" t="s">
        <v>44</v>
      </c>
      <c r="M1" t="s">
        <v>12</v>
      </c>
      <c r="N1" s="14" t="s">
        <v>11</v>
      </c>
      <c r="O1" s="14" t="s">
        <v>44</v>
      </c>
      <c r="P1" s="14" t="s">
        <v>77</v>
      </c>
      <c r="Q1" s="164" t="s">
        <v>80</v>
      </c>
      <c r="R1" s="81">
        <f>VLOOKUP(Case,Cases,13,FALSE)</f>
        <v>0.89461536134032194</v>
      </c>
      <c r="S1" s="81">
        <f>VLOOKUP(Case,Cases,14,FALSE)</f>
        <v>3.8625355623184254E-2</v>
      </c>
      <c r="V1" s="8" t="s">
        <v>20</v>
      </c>
      <c r="W1" s="40" t="s">
        <v>62</v>
      </c>
      <c r="X1" s="18" t="s">
        <v>20</v>
      </c>
      <c r="Y1" s="14" t="s">
        <v>44</v>
      </c>
      <c r="Z1" s="14" t="s">
        <v>77</v>
      </c>
      <c r="AA1" t="s">
        <v>24</v>
      </c>
      <c r="AB1" s="164" t="s">
        <v>79</v>
      </c>
      <c r="AC1" s="14" t="s">
        <v>20</v>
      </c>
      <c r="AD1" s="40" t="s">
        <v>62</v>
      </c>
      <c r="AE1" s="18" t="s">
        <v>20</v>
      </c>
    </row>
    <row r="2" spans="1:32" s="1" customFormat="1" ht="30" customHeight="1" x14ac:dyDescent="0.2">
      <c r="A2" s="1" t="s">
        <v>4</v>
      </c>
      <c r="B2" s="1" t="s">
        <v>5</v>
      </c>
      <c r="C2" s="2" t="s">
        <v>6</v>
      </c>
      <c r="D2" s="4" t="s">
        <v>7</v>
      </c>
      <c r="E2" s="4" t="s">
        <v>45</v>
      </c>
      <c r="F2" s="4" t="s">
        <v>46</v>
      </c>
      <c r="G2" s="4" t="s">
        <v>47</v>
      </c>
      <c r="H2" s="4" t="s">
        <v>48</v>
      </c>
      <c r="I2" s="4" t="s">
        <v>49</v>
      </c>
      <c r="J2" s="4" t="s">
        <v>50</v>
      </c>
      <c r="K2" s="4" t="s">
        <v>51</v>
      </c>
      <c r="L2" s="4" t="s">
        <v>61</v>
      </c>
      <c r="M2" s="1" t="s">
        <v>13</v>
      </c>
      <c r="N2" s="15" t="s">
        <v>22</v>
      </c>
      <c r="O2" s="1" t="s">
        <v>68</v>
      </c>
      <c r="P2" s="1" t="s">
        <v>78</v>
      </c>
      <c r="Q2" s="164"/>
      <c r="R2" s="37" t="s">
        <v>14</v>
      </c>
      <c r="S2" s="37" t="s">
        <v>15</v>
      </c>
      <c r="T2" s="37" t="s">
        <v>16</v>
      </c>
      <c r="U2" s="37" t="s">
        <v>17</v>
      </c>
      <c r="V2" s="82" t="s">
        <v>23</v>
      </c>
      <c r="W2" s="41" t="s">
        <v>28</v>
      </c>
      <c r="X2" s="26" t="s">
        <v>13</v>
      </c>
      <c r="Y2" s="1" t="s">
        <v>68</v>
      </c>
      <c r="Z2" s="1" t="s">
        <v>78</v>
      </c>
      <c r="AA2" s="75" t="s">
        <v>23</v>
      </c>
      <c r="AB2" s="164"/>
      <c r="AC2" s="75" t="s">
        <v>23</v>
      </c>
      <c r="AD2" s="41" t="s">
        <v>28</v>
      </c>
      <c r="AE2" s="26" t="s">
        <v>13</v>
      </c>
      <c r="AF2" s="96" t="s">
        <v>115</v>
      </c>
    </row>
    <row r="3" spans="1:32" x14ac:dyDescent="0.2">
      <c r="A3" t="s">
        <v>10</v>
      </c>
      <c r="B3" t="s">
        <v>32</v>
      </c>
      <c r="C3" s="3">
        <v>-252.9</v>
      </c>
      <c r="D3" s="3">
        <f>2*1.00794</f>
        <v>2.0158800000000001</v>
      </c>
      <c r="E3" s="35">
        <v>33.066178000000001</v>
      </c>
      <c r="F3" s="35">
        <v>-11.363417</v>
      </c>
      <c r="G3" s="35">
        <v>11.432816000000001</v>
      </c>
      <c r="H3" s="35">
        <v>-2.7728739999999998</v>
      </c>
      <c r="I3" s="35">
        <v>-0.158558</v>
      </c>
      <c r="J3" s="35">
        <v>-9.9807970000000008</v>
      </c>
      <c r="K3" s="35">
        <v>172.70797400000001</v>
      </c>
      <c r="L3" s="35">
        <v>0</v>
      </c>
      <c r="N3" s="73">
        <f t="shared" ref="N3:N10" si="0">$M$17/$M$11/22.4*M3</f>
        <v>0</v>
      </c>
      <c r="O3" s="48">
        <f t="shared" ref="O3:O10" si="1">$E3+$F3*$O$14+$G3*$O$14^2+$H3*$O$14^3+$I3*$O$14^-2</f>
        <v>29.195929466866733</v>
      </c>
      <c r="P3" s="48">
        <f t="shared" ref="P3:P10" si="2">$E3*O$14+$F3/2*O$14^2+$G3/3*O$14^3+$H3/4*O$14^4-$I3/O$14+$J3</f>
        <v>3.2811053515489874</v>
      </c>
      <c r="Q3" s="164"/>
      <c r="R3" s="30"/>
      <c r="S3" s="30"/>
      <c r="T3" s="30"/>
      <c r="U3" s="30"/>
      <c r="V3" s="73">
        <f>SUM(N3,R3:U3)</f>
        <v>0</v>
      </c>
      <c r="W3" s="42"/>
      <c r="X3" s="7">
        <f>+V3/$V$11</f>
        <v>0</v>
      </c>
      <c r="Y3" s="48">
        <f t="shared" ref="Y3:Y10" si="3">$E3+$F3*$O$14+$G3*$O$14^2+$H3*$O$14^3+$I3*$O$14^-2</f>
        <v>29.195929466866733</v>
      </c>
      <c r="Z3" s="48">
        <f t="shared" ref="Z3:Z10" si="4">$E3*X$14+$F3/2*X$14^2+$G3/3*X$14^3+$H3/4*X$14^4-$I3/X$14+$J3</f>
        <v>3.3927356317827151</v>
      </c>
      <c r="AB3" s="164"/>
      <c r="AC3" s="73">
        <f>+Model!C2</f>
        <v>0</v>
      </c>
      <c r="AD3" s="42"/>
      <c r="AE3" s="7">
        <f>+AC3/AC$11</f>
        <v>0</v>
      </c>
      <c r="AF3" s="7"/>
    </row>
    <row r="4" spans="1:32" x14ac:dyDescent="0.2">
      <c r="A4" t="s">
        <v>29</v>
      </c>
      <c r="B4" t="s">
        <v>31</v>
      </c>
      <c r="C4" s="3">
        <v>-195.8</v>
      </c>
      <c r="D4" s="3">
        <v>28</v>
      </c>
      <c r="E4" s="35">
        <v>19.50583</v>
      </c>
      <c r="F4" s="35">
        <v>19.887049999999999</v>
      </c>
      <c r="G4" s="35">
        <v>-8.598535</v>
      </c>
      <c r="H4" s="35">
        <v>1.3697839999999999</v>
      </c>
      <c r="I4" s="35">
        <v>0.52760099999999999</v>
      </c>
      <c r="J4" s="35">
        <v>-4.9352020000000003</v>
      </c>
      <c r="K4" s="35">
        <v>212.39</v>
      </c>
      <c r="L4" s="35">
        <v>0</v>
      </c>
      <c r="M4" s="78">
        <f>1-SUM(M5:M10,M3)</f>
        <v>0.89742582078876143</v>
      </c>
      <c r="N4" s="73">
        <f t="shared" si="0"/>
        <v>26367.361780034658</v>
      </c>
      <c r="O4" s="48">
        <f t="shared" si="1"/>
        <v>29.44534259569393</v>
      </c>
      <c r="P4" s="48">
        <f t="shared" si="2"/>
        <v>3.2893311662115394</v>
      </c>
      <c r="Q4" s="164"/>
      <c r="R4" s="30"/>
      <c r="S4" s="30"/>
      <c r="T4" s="30"/>
      <c r="U4" s="30"/>
      <c r="V4" s="73">
        <f t="shared" ref="V4:V10" si="5">SUM(N4,R4:U4)</f>
        <v>26367.361780034658</v>
      </c>
      <c r="W4" s="42"/>
      <c r="X4" s="7">
        <f>+V4/$V$11</f>
        <v>0.89763456103805894</v>
      </c>
      <c r="Y4" s="48">
        <f t="shared" si="3"/>
        <v>29.44534259569393</v>
      </c>
      <c r="Z4" s="48">
        <f t="shared" si="4"/>
        <v>3.401895013558617</v>
      </c>
      <c r="AB4" s="164"/>
      <c r="AC4" s="73">
        <f>+Model!D2</f>
        <v>26367.361780034662</v>
      </c>
      <c r="AD4" s="42"/>
      <c r="AE4" s="7">
        <f>+AC4/AC$11</f>
        <v>0.89762955642671904</v>
      </c>
      <c r="AF4" s="7"/>
    </row>
    <row r="5" spans="1:32" x14ac:dyDescent="0.2">
      <c r="A5" t="s">
        <v>30</v>
      </c>
      <c r="B5" t="s">
        <v>27</v>
      </c>
      <c r="C5" s="34" t="s">
        <v>37</v>
      </c>
      <c r="D5" s="3">
        <v>28.01</v>
      </c>
      <c r="E5" s="35">
        <v>25.567589999999999</v>
      </c>
      <c r="F5" s="35">
        <v>6.0961299999999996</v>
      </c>
      <c r="G5" s="35">
        <v>4.0546559999999996</v>
      </c>
      <c r="H5" s="35">
        <v>-2.6713010000000001</v>
      </c>
      <c r="I5" s="35">
        <v>0.131021</v>
      </c>
      <c r="J5" s="35">
        <v>-118.0089</v>
      </c>
      <c r="K5" s="35">
        <v>227.3665</v>
      </c>
      <c r="L5" s="35">
        <v>-110.5271</v>
      </c>
      <c r="M5" s="72">
        <f>VLOOKUP(Case,Cases,9,FALSE)/1000000</f>
        <v>5.1126123634426864E-4</v>
      </c>
      <c r="N5" s="73">
        <f t="shared" si="0"/>
        <v>15.021419788154544</v>
      </c>
      <c r="O5" s="48">
        <f t="shared" si="1"/>
        <v>29.348320851324114</v>
      </c>
      <c r="P5" s="48">
        <f t="shared" si="2"/>
        <v>-107.22886455063447</v>
      </c>
      <c r="Q5" s="164"/>
      <c r="R5" s="30">
        <f>-R1*N5</f>
        <v>-13.43839289162454</v>
      </c>
      <c r="S5" s="30"/>
      <c r="T5" s="30"/>
      <c r="U5" s="30"/>
      <c r="V5" s="73">
        <f t="shared" si="5"/>
        <v>1.5830268965300043</v>
      </c>
      <c r="W5" s="45">
        <f t="shared" ref="W5" si="6">1-V5/N5</f>
        <v>0.89461536134032194</v>
      </c>
      <c r="X5" s="51">
        <f>+V5/$V$11</f>
        <v>5.3891612867166545E-5</v>
      </c>
      <c r="Y5" s="48">
        <f t="shared" si="3"/>
        <v>29.348320851324114</v>
      </c>
      <c r="Z5" s="48">
        <f t="shared" si="4"/>
        <v>-107.11662852543178</v>
      </c>
      <c r="AB5" s="164"/>
      <c r="AC5" s="73">
        <f>+Model!E2</f>
        <v>1.6876193269196522</v>
      </c>
      <c r="AD5" s="45">
        <f>1-AC5/N5</f>
        <v>0.88765247555024995</v>
      </c>
      <c r="AE5" s="7">
        <f>+AC5/AC$11</f>
        <v>5.7451974167058825E-5</v>
      </c>
      <c r="AF5" s="97">
        <f>(1-AC5/V5)^2</f>
        <v>4.3653987701295482E-3</v>
      </c>
    </row>
    <row r="6" spans="1:32" x14ac:dyDescent="0.2">
      <c r="A6" t="s">
        <v>36</v>
      </c>
      <c r="B6" t="s">
        <v>35</v>
      </c>
      <c r="C6" s="34">
        <v>-183</v>
      </c>
      <c r="D6" s="3">
        <v>32</v>
      </c>
      <c r="E6" s="35">
        <v>31.322340000000001</v>
      </c>
      <c r="F6" s="35">
        <v>-20.235309999999998</v>
      </c>
      <c r="G6" s="35">
        <v>57.866439999999997</v>
      </c>
      <c r="H6" s="35">
        <v>-36.506239999999998</v>
      </c>
      <c r="I6" s="35">
        <v>-7.3740000000000003E-3</v>
      </c>
      <c r="J6" s="35">
        <v>-8.9034709999999997</v>
      </c>
      <c r="K6" s="35">
        <v>246.7945</v>
      </c>
      <c r="L6" s="35">
        <v>0</v>
      </c>
      <c r="M6" s="36">
        <f>VLOOKUP(Case,Cases,7,FALSE)</f>
        <v>0.10186337433832429</v>
      </c>
      <c r="N6" s="73">
        <f t="shared" si="0"/>
        <v>2992.8584414398101</v>
      </c>
      <c r="O6" s="48">
        <f t="shared" si="1"/>
        <v>30.202601151434166</v>
      </c>
      <c r="P6" s="48">
        <f t="shared" si="2"/>
        <v>3.358510996408036</v>
      </c>
      <c r="Q6" s="164"/>
      <c r="R6" s="30">
        <f>+R5/2</f>
        <v>-6.7191964458122699</v>
      </c>
      <c r="S6" s="30">
        <f>+S8/2</f>
        <v>-0.11322660751364956</v>
      </c>
      <c r="T6" s="30"/>
      <c r="U6" s="30"/>
      <c r="V6" s="73">
        <f t="shared" si="5"/>
        <v>2986.0260183864839</v>
      </c>
      <c r="W6" s="45">
        <f>1-V6/N6</f>
        <v>2.2829088602129843E-3</v>
      </c>
      <c r="X6" s="7">
        <f>+V6/$V$11</f>
        <v>0.10165446875660274</v>
      </c>
      <c r="Y6" s="48">
        <f t="shared" si="3"/>
        <v>30.202601151434166</v>
      </c>
      <c r="Z6" s="48">
        <f t="shared" si="4"/>
        <v>3.4740477136534658</v>
      </c>
      <c r="AB6" s="164"/>
      <c r="AC6" s="73">
        <f>+Model!F2</f>
        <v>2986.1897906395866</v>
      </c>
      <c r="AD6" s="45">
        <f>1-AC6/N6</f>
        <v>2.2281878447332204E-3</v>
      </c>
      <c r="AE6" s="7">
        <f>+AC6/AC$11</f>
        <v>0.10165947733183814</v>
      </c>
      <c r="AF6" s="7"/>
    </row>
    <row r="7" spans="1:32" x14ac:dyDescent="0.2">
      <c r="A7" t="s">
        <v>33</v>
      </c>
      <c r="B7" t="s">
        <v>34</v>
      </c>
      <c r="C7" s="34">
        <v>-78.5</v>
      </c>
      <c r="D7" s="3">
        <v>44.01</v>
      </c>
      <c r="E7" s="35">
        <v>24.997350000000001</v>
      </c>
      <c r="F7" s="35">
        <v>55.186959999999999</v>
      </c>
      <c r="G7" s="35">
        <v>-33.691369999999999</v>
      </c>
      <c r="H7" s="35">
        <v>7.9483870000000003</v>
      </c>
      <c r="I7" s="35">
        <v>-0.13663800000000001</v>
      </c>
      <c r="J7" s="35">
        <v>-403.60750000000002</v>
      </c>
      <c r="K7" s="35">
        <v>228.2431</v>
      </c>
      <c r="L7" s="35">
        <v>-393.5224</v>
      </c>
      <c r="N7" s="73">
        <f t="shared" si="0"/>
        <v>0</v>
      </c>
      <c r="O7" s="48">
        <f t="shared" si="1"/>
        <v>41.732018160908503</v>
      </c>
      <c r="P7" s="48">
        <f t="shared" si="2"/>
        <v>-389.06175540227144</v>
      </c>
      <c r="Q7" s="164"/>
      <c r="R7" s="30">
        <f>-R5</f>
        <v>13.43839289162454</v>
      </c>
      <c r="S7" s="30"/>
      <c r="T7" s="30"/>
      <c r="U7" s="30"/>
      <c r="V7" s="73">
        <f t="shared" si="5"/>
        <v>13.43839289162454</v>
      </c>
      <c r="W7" s="45" t="e">
        <f t="shared" ref="W7:W9" si="7">1-V7/N7</f>
        <v>#DIV/0!</v>
      </c>
      <c r="X7" s="7">
        <f>+V7/$V$11</f>
        <v>4.57488542272905E-4</v>
      </c>
      <c r="Y7" s="48">
        <f t="shared" si="3"/>
        <v>41.732018160908503</v>
      </c>
      <c r="Z7" s="48">
        <f t="shared" si="4"/>
        <v>-388.90194740425096</v>
      </c>
      <c r="AB7" s="164"/>
      <c r="AC7" s="73">
        <f>+Model!G2</f>
        <v>13.333800461234897</v>
      </c>
      <c r="AD7" s="42"/>
      <c r="AE7" s="7">
        <f>+AC7/AC$11</f>
        <v>4.5392532985850085E-4</v>
      </c>
      <c r="AF7" s="7"/>
    </row>
    <row r="8" spans="1:32" x14ac:dyDescent="0.2">
      <c r="A8" t="s">
        <v>85</v>
      </c>
      <c r="B8" t="s">
        <v>86</v>
      </c>
      <c r="C8" s="3">
        <f>212-273</f>
        <v>-61</v>
      </c>
      <c r="D8" s="3">
        <v>30.0061</v>
      </c>
      <c r="E8">
        <v>23.834910000000001</v>
      </c>
      <c r="F8">
        <v>12.58878</v>
      </c>
      <c r="G8">
        <v>-1.139011</v>
      </c>
      <c r="H8">
        <v>-1.4974590000000001</v>
      </c>
      <c r="I8">
        <v>0.214194</v>
      </c>
      <c r="J8">
        <v>83.357830000000007</v>
      </c>
      <c r="K8">
        <v>237.12190000000001</v>
      </c>
      <c r="L8">
        <v>90.291139999999999</v>
      </c>
      <c r="M8" s="72">
        <f>VLOOKUP(Case,Cases,10,FALSE)/1000000</f>
        <v>1.9954363657002184E-4</v>
      </c>
      <c r="N8" s="73">
        <f t="shared" si="0"/>
        <v>5.8628124291333172</v>
      </c>
      <c r="O8" s="48">
        <f t="shared" si="1"/>
        <v>29.980687146532219</v>
      </c>
      <c r="P8" s="48">
        <f t="shared" si="2"/>
        <v>93.659938973004984</v>
      </c>
      <c r="Q8" s="164"/>
      <c r="S8" s="30">
        <f>-S1*N8</f>
        <v>-0.22645321502729912</v>
      </c>
      <c r="V8" s="73">
        <f t="shared" si="5"/>
        <v>5.6363592141060179</v>
      </c>
      <c r="W8" s="45">
        <f t="shared" si="7"/>
        <v>3.8625355623184254E-2</v>
      </c>
      <c r="X8" s="51">
        <f t="shared" ref="X8:X9" si="8">+V8/$V$11</f>
        <v>1.9188081353053077E-4</v>
      </c>
      <c r="Y8" s="48">
        <f t="shared" si="3"/>
        <v>29.980687146532219</v>
      </c>
      <c r="Z8" s="48">
        <f t="shared" si="4"/>
        <v>93.774595837353374</v>
      </c>
      <c r="AB8" s="164"/>
      <c r="AC8" s="73">
        <f>+Model!H2</f>
        <v>5.5187429789007743</v>
      </c>
      <c r="AD8" s="45">
        <f>1-AC8/N8</f>
        <v>5.8686757318518801E-2</v>
      </c>
      <c r="AE8"/>
      <c r="AF8" s="97">
        <f>(1-AC8/V8)^2</f>
        <v>4.3544892285527067E-4</v>
      </c>
    </row>
    <row r="9" spans="1:32" x14ac:dyDescent="0.2">
      <c r="A9" t="s">
        <v>87</v>
      </c>
      <c r="B9" t="s">
        <v>88</v>
      </c>
      <c r="C9" s="3">
        <f>295.08-273.15</f>
        <v>21.930000000000007</v>
      </c>
      <c r="D9" s="3">
        <v>46.005499999999998</v>
      </c>
      <c r="E9">
        <v>16.10857</v>
      </c>
      <c r="F9">
        <v>75.895250000000004</v>
      </c>
      <c r="G9">
        <v>-54.3874</v>
      </c>
      <c r="H9">
        <v>14.30777</v>
      </c>
      <c r="I9">
        <v>0.239423</v>
      </c>
      <c r="J9">
        <v>26.17464</v>
      </c>
      <c r="K9">
        <v>240.5386</v>
      </c>
      <c r="L9">
        <v>33.095019999999998</v>
      </c>
      <c r="N9" s="73">
        <f t="shared" si="0"/>
        <v>0</v>
      </c>
      <c r="O9" s="48">
        <f t="shared" si="1"/>
        <v>40.52599724004979</v>
      </c>
      <c r="P9" s="48">
        <f t="shared" si="2"/>
        <v>37.467515986964663</v>
      </c>
      <c r="Q9" s="164"/>
      <c r="S9" s="30">
        <f>-S8</f>
        <v>0.22645321502729912</v>
      </c>
      <c r="V9" s="73">
        <f t="shared" si="5"/>
        <v>0.22645321502729912</v>
      </c>
      <c r="W9" s="45" t="e">
        <f t="shared" si="7"/>
        <v>#DIV/0!</v>
      </c>
      <c r="X9" s="51">
        <f t="shared" si="8"/>
        <v>7.7092366677581063E-6</v>
      </c>
      <c r="Y9" s="48">
        <f t="shared" si="3"/>
        <v>40.52599724004979</v>
      </c>
      <c r="Z9" s="48">
        <f t="shared" si="4"/>
        <v>37.622685026683016</v>
      </c>
      <c r="AB9" s="164"/>
      <c r="AC9" s="73">
        <f>+Model!I2</f>
        <v>0.34406945023254354</v>
      </c>
      <c r="AD9"/>
      <c r="AE9"/>
      <c r="AF9"/>
    </row>
    <row r="10" spans="1:32" x14ac:dyDescent="0.2">
      <c r="A10" t="s">
        <v>84</v>
      </c>
      <c r="B10" t="s">
        <v>43</v>
      </c>
      <c r="C10" s="34">
        <v>100</v>
      </c>
      <c r="D10" s="34">
        <f>0*12.011+2*1.008+15.999</f>
        <v>18.015000000000001</v>
      </c>
      <c r="E10" s="35">
        <v>30.091999999999999</v>
      </c>
      <c r="F10" s="35">
        <v>6.8325139999999998</v>
      </c>
      <c r="G10" s="35">
        <v>6.7934349999999997</v>
      </c>
      <c r="H10" s="35">
        <v>-2.5344799999999998</v>
      </c>
      <c r="I10" s="35">
        <v>8.2139000000000004E-2</v>
      </c>
      <c r="J10" s="35">
        <v>-250.881</v>
      </c>
      <c r="K10" s="35">
        <v>223.39670000000001</v>
      </c>
      <c r="L10" s="35">
        <v>-241.82640000000001</v>
      </c>
      <c r="M10" s="36">
        <f>VLOOKUP(Case,Cases,8,FALSE)</f>
        <v>0</v>
      </c>
      <c r="N10" s="73">
        <f t="shared" si="0"/>
        <v>0</v>
      </c>
      <c r="O10" s="48">
        <f t="shared" si="1"/>
        <v>34.358277287594987</v>
      </c>
      <c r="P10" s="48">
        <f t="shared" si="2"/>
        <v>-237.99579447648355</v>
      </c>
      <c r="Q10" s="164"/>
      <c r="R10" s="30"/>
      <c r="S10" s="30"/>
      <c r="T10" s="30"/>
      <c r="U10" s="30"/>
      <c r="V10" s="73">
        <f t="shared" si="5"/>
        <v>0</v>
      </c>
      <c r="W10" s="42"/>
      <c r="X10" s="67">
        <f>+V10/$V$11</f>
        <v>0</v>
      </c>
      <c r="Y10" s="48">
        <f t="shared" si="3"/>
        <v>34.358277287594987</v>
      </c>
      <c r="Z10" s="48">
        <f t="shared" si="4"/>
        <v>-237.86437182547223</v>
      </c>
      <c r="AB10" s="164"/>
      <c r="AC10" s="73">
        <f>+Model!J2</f>
        <v>0</v>
      </c>
      <c r="AD10" s="42"/>
      <c r="AE10" s="7">
        <f>+AC10/AC$11</f>
        <v>0</v>
      </c>
      <c r="AF10" s="7"/>
    </row>
    <row r="11" spans="1:32" ht="16" thickBot="1" x14ac:dyDescent="0.25">
      <c r="A11" s="59" t="s">
        <v>8</v>
      </c>
      <c r="B11" s="60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2">
        <f>SUM(M3:M10)</f>
        <v>1</v>
      </c>
      <c r="N11" s="68">
        <f>SUM(N3:N10)</f>
        <v>29381.104453691754</v>
      </c>
      <c r="O11" s="62"/>
      <c r="P11" s="62"/>
      <c r="Q11" s="164"/>
      <c r="R11" s="63">
        <f>SUM(R3:R10)</f>
        <v>-6.7191964458122708</v>
      </c>
      <c r="S11" s="63">
        <f>SUM(S3:S10)</f>
        <v>-0.11322660751364957</v>
      </c>
      <c r="T11" s="63">
        <f>SUM(T3:T10)</f>
        <v>0</v>
      </c>
      <c r="U11" s="63">
        <f>SUM(U3:U10)</f>
        <v>0</v>
      </c>
      <c r="V11" s="68">
        <f>SUM(V3:V10)</f>
        <v>29374.272030638429</v>
      </c>
      <c r="W11" s="64"/>
      <c r="X11" s="65">
        <f>SUM(X3:X10)</f>
        <v>1</v>
      </c>
      <c r="Y11" s="62"/>
      <c r="Z11" s="62"/>
      <c r="AA11" s="66"/>
      <c r="AB11" s="164"/>
      <c r="AC11" s="68">
        <f>SUM(AC3:AC10)</f>
        <v>29374.435802891534</v>
      </c>
      <c r="AD11" s="64"/>
      <c r="AE11" s="65">
        <f>SUM(AE3:AE10)</f>
        <v>0.99980041106258277</v>
      </c>
      <c r="AF11" s="98">
        <f>SUM(AF3:AF10)</f>
        <v>4.8008476929848193E-3</v>
      </c>
    </row>
    <row r="12" spans="1:32" x14ac:dyDescent="0.2">
      <c r="A12" s="1" t="s">
        <v>9</v>
      </c>
      <c r="M12" s="8">
        <f>SUMPRODUCT($D$3:$D$10,M3:M10)/M11</f>
        <v>28.407858914454984</v>
      </c>
      <c r="N12" s="8">
        <f>SUMPRODUCT($D$3:$D$10,N3:N10)/N11</f>
        <v>28.407858914454984</v>
      </c>
      <c r="O12" s="17"/>
      <c r="P12" s="17"/>
      <c r="V12" s="8">
        <f>SUMPRODUCT($D$3:$D$10,V3:V10)/V11</f>
        <v>28.414466546265171</v>
      </c>
      <c r="W12" s="43"/>
      <c r="Y12" s="17"/>
      <c r="Z12" s="17"/>
      <c r="AC12" s="8"/>
      <c r="AD12" s="43"/>
    </row>
    <row r="13" spans="1:32" x14ac:dyDescent="0.2">
      <c r="A13" t="s">
        <v>94</v>
      </c>
      <c r="N13" s="14">
        <f>SUMPRODUCT($D$3:$D$10,N3:N10)</f>
        <v>834654.27007134038</v>
      </c>
      <c r="O13"/>
      <c r="P13"/>
      <c r="R13" s="14">
        <f>SUMPRODUCT($D$3:$D$10,R3:R10)</f>
        <v>0</v>
      </c>
      <c r="S13" s="14">
        <f>SUMPRODUCT($D$3:$D$10,S3:S10)</f>
        <v>-1.3587192901631795E-4</v>
      </c>
      <c r="T13" s="14">
        <f>SUMPRODUCT($D$3:$D$10,T3:T10)</f>
        <v>0</v>
      </c>
      <c r="U13" s="14">
        <f>SUMPRODUCT($D$3:$D$10,U3:U10)</f>
        <v>0</v>
      </c>
      <c r="V13" s="14">
        <f>SUMPRODUCT($D$3:$D$10,V3:V10)</f>
        <v>834654.26993546833</v>
      </c>
      <c r="W13" s="44"/>
      <c r="Y13"/>
      <c r="Z13"/>
      <c r="AC13" s="14">
        <f>SUMPRODUCT($D$3:$D$10,AC3:AC10)</f>
        <v>834659.71895787516</v>
      </c>
      <c r="AD13" s="44"/>
      <c r="AE13"/>
      <c r="AF13"/>
    </row>
    <row r="14" spans="1:32" x14ac:dyDescent="0.2">
      <c r="A14" t="s">
        <v>66</v>
      </c>
      <c r="N14" s="117">
        <f>V14+R15*R1*N5/1000+S15*S1*N8/1000</f>
        <v>137.88005362939452</v>
      </c>
      <c r="O14">
        <f>(N14+273.15)/1000</f>
        <v>0.41103005362939449</v>
      </c>
      <c r="P14"/>
      <c r="V14" s="80">
        <f>VLOOKUP(Case,Cases,6,FALSE)</f>
        <v>141.70324739999992</v>
      </c>
      <c r="W14" s="70">
        <f>+V14-N14</f>
        <v>3.8231937706053998</v>
      </c>
      <c r="X14">
        <f>(V14+273.15)/1000</f>
        <v>0.41485324739999985</v>
      </c>
      <c r="Z14"/>
      <c r="AC14" s="3">
        <f>+Model!AB2</f>
        <v>0</v>
      </c>
      <c r="AD14" s="44"/>
      <c r="AF14" s="3">
        <f>+AC14-V14</f>
        <v>-141.70324739999992</v>
      </c>
    </row>
    <row r="15" spans="1:32" x14ac:dyDescent="0.2">
      <c r="A15" t="s">
        <v>93</v>
      </c>
      <c r="O15"/>
      <c r="P15" s="14">
        <f>SUMPRODUCT(N3:N10,P3:P10)</f>
        <v>95720.913726611761</v>
      </c>
      <c r="R15" s="87">
        <f>Z7-Z5-Z6/2</f>
        <v>-283.52234273564591</v>
      </c>
      <c r="S15" s="88">
        <f>Z9-Z8-Z6/2</f>
        <v>-57.888934667497089</v>
      </c>
      <c r="T15" s="88"/>
      <c r="U15" s="89"/>
      <c r="W15" s="71">
        <f>P15-Z15</f>
        <v>507.03888860889128</v>
      </c>
      <c r="Y15"/>
      <c r="Z15" s="14">
        <f>SUMPRODUCT(V3:V10,Z3:Z10)</f>
        <v>95213.87483800287</v>
      </c>
      <c r="AC15"/>
      <c r="AD15" s="44"/>
      <c r="AE15"/>
      <c r="AF15"/>
    </row>
    <row r="16" spans="1:32" x14ac:dyDescent="0.2">
      <c r="A16" t="s">
        <v>67</v>
      </c>
      <c r="N16"/>
      <c r="O16" s="3">
        <f>SUMPRODUCT(N3:N10,O3:O10)/N11</f>
        <v>29.522536728569712</v>
      </c>
      <c r="P16"/>
      <c r="W16" s="44"/>
      <c r="Y16" s="3">
        <f>SUMPRODUCT(V3:V10,Y3:Y10)/V11</f>
        <v>29.528125242261542</v>
      </c>
      <c r="Z16"/>
      <c r="AC16"/>
      <c r="AD16" s="44"/>
      <c r="AE16"/>
      <c r="AF16"/>
    </row>
    <row r="17" spans="1:46" x14ac:dyDescent="0.2">
      <c r="A17" t="s">
        <v>91</v>
      </c>
      <c r="M17" s="47">
        <f>VLOOKUP(Case,Cases,5,FALSE)*M18</f>
        <v>658136.73976269527</v>
      </c>
      <c r="O17"/>
      <c r="P17"/>
      <c r="W17" s="44"/>
      <c r="Y17"/>
      <c r="Z17"/>
      <c r="AC17"/>
      <c r="AD17" s="44"/>
      <c r="AE17"/>
      <c r="AF17"/>
    </row>
    <row r="18" spans="1:46" x14ac:dyDescent="0.2">
      <c r="A18" t="s">
        <v>92</v>
      </c>
      <c r="M18" s="79">
        <v>22</v>
      </c>
      <c r="N18" s="8">
        <f>+M18</f>
        <v>22</v>
      </c>
      <c r="O18"/>
      <c r="P18"/>
      <c r="W18" s="44"/>
      <c r="Y18"/>
      <c r="Z18"/>
      <c r="AC18"/>
      <c r="AD18" s="44"/>
      <c r="AE18"/>
      <c r="AF18"/>
    </row>
    <row r="19" spans="1:46" x14ac:dyDescent="0.2">
      <c r="N19"/>
      <c r="O19"/>
      <c r="P19"/>
      <c r="W19" s="44"/>
      <c r="Y19"/>
      <c r="Z19"/>
      <c r="AC19"/>
      <c r="AD19" s="44"/>
      <c r="AE19"/>
      <c r="AF19"/>
    </row>
    <row r="20" spans="1:46" x14ac:dyDescent="0.2">
      <c r="N20"/>
      <c r="O20"/>
      <c r="P20"/>
      <c r="W20" s="44"/>
      <c r="Y20"/>
      <c r="Z20"/>
      <c r="AC20"/>
      <c r="AD20" s="44"/>
      <c r="AE20"/>
      <c r="AF20"/>
      <c r="AH20" s="44"/>
      <c r="AM20" s="44"/>
    </row>
    <row r="21" spans="1:46" x14ac:dyDescent="0.2">
      <c r="A21" s="44" t="s">
        <v>14</v>
      </c>
      <c r="B21" s="74" t="s">
        <v>114</v>
      </c>
      <c r="C21" s="31"/>
      <c r="N21"/>
      <c r="O21"/>
      <c r="P21"/>
      <c r="W21" s="44"/>
      <c r="Y21"/>
      <c r="Z21"/>
      <c r="AC21"/>
      <c r="AE21"/>
      <c r="AF21" s="134" t="s">
        <v>195</v>
      </c>
      <c r="AG21" s="135"/>
      <c r="AH21" s="135"/>
      <c r="AI21" s="135"/>
      <c r="AJ21" s="135" t="s">
        <v>142</v>
      </c>
      <c r="AK21" s="136"/>
      <c r="AL21" s="134" t="s">
        <v>206</v>
      </c>
      <c r="AM21" s="145">
        <v>148.32244820677107</v>
      </c>
      <c r="AN21" s="135" t="s">
        <v>189</v>
      </c>
      <c r="AO21" s="146">
        <v>2000</v>
      </c>
      <c r="AP21" s="135" t="s">
        <v>136</v>
      </c>
      <c r="AQ21" s="147">
        <f t="shared" ref="AQ21:AQ30" si="9">AM21*EXP(-AO21*(1/(273.15+T_cat)-1/423.15))</f>
        <v>134.94442671846784</v>
      </c>
      <c r="AS21" t="s">
        <v>148</v>
      </c>
      <c r="AT21">
        <f>k1f/K1_</f>
        <v>0</v>
      </c>
    </row>
    <row r="22" spans="1:46" x14ac:dyDescent="0.2">
      <c r="A22" s="44" t="s">
        <v>15</v>
      </c>
      <c r="B22" s="74" t="s">
        <v>95</v>
      </c>
      <c r="C22" s="31"/>
      <c r="O22"/>
      <c r="P22"/>
      <c r="W22" s="44"/>
      <c r="Y22"/>
      <c r="Z22"/>
      <c r="AC22"/>
      <c r="AE22"/>
      <c r="AF22" s="52" t="s">
        <v>196</v>
      </c>
      <c r="AJ22" t="s">
        <v>143</v>
      </c>
      <c r="AK22" s="137"/>
      <c r="AL22" s="52" t="s">
        <v>207</v>
      </c>
      <c r="AM22" s="148">
        <v>185.57545833931499</v>
      </c>
      <c r="AN22" t="s">
        <v>190</v>
      </c>
      <c r="AO22" s="138">
        <v>2000</v>
      </c>
      <c r="AP22" t="s">
        <v>137</v>
      </c>
      <c r="AQ22" s="139">
        <f t="shared" si="9"/>
        <v>168.83738194305616</v>
      </c>
      <c r="AS22" t="s">
        <v>149</v>
      </c>
      <c r="AT22">
        <f>+k2f/K2_</f>
        <v>0</v>
      </c>
    </row>
    <row r="23" spans="1:46" x14ac:dyDescent="0.2">
      <c r="A23" s="44" t="s">
        <v>16</v>
      </c>
      <c r="B23" s="74" t="s">
        <v>99</v>
      </c>
      <c r="C23" s="31"/>
      <c r="O23"/>
      <c r="P23"/>
      <c r="W23" s="44"/>
      <c r="Y23"/>
      <c r="Z23"/>
      <c r="AC23"/>
      <c r="AE23"/>
      <c r="AF23" s="52" t="s">
        <v>197</v>
      </c>
      <c r="AJ23" t="s">
        <v>144</v>
      </c>
      <c r="AK23" s="137"/>
      <c r="AL23" s="52" t="s">
        <v>208</v>
      </c>
      <c r="AM23" s="103">
        <v>100</v>
      </c>
      <c r="AN23" t="s">
        <v>191</v>
      </c>
      <c r="AO23" s="138">
        <v>2000</v>
      </c>
      <c r="AP23" t="s">
        <v>138</v>
      </c>
      <c r="AQ23" s="139">
        <f t="shared" si="9"/>
        <v>90.980447228289137</v>
      </c>
      <c r="AS23" t="s">
        <v>150</v>
      </c>
      <c r="AT23">
        <f>+k3f/K3_</f>
        <v>0</v>
      </c>
    </row>
    <row r="24" spans="1:46" x14ac:dyDescent="0.2">
      <c r="A24" s="44" t="s">
        <v>17</v>
      </c>
      <c r="B24" s="74" t="s">
        <v>96</v>
      </c>
      <c r="C24" s="31"/>
      <c r="O24"/>
      <c r="P24"/>
      <c r="W24" s="44"/>
      <c r="Y24"/>
      <c r="Z24"/>
      <c r="AC24"/>
      <c r="AE24"/>
      <c r="AF24" s="52" t="s">
        <v>198</v>
      </c>
      <c r="AG24" s="138">
        <v>2000</v>
      </c>
      <c r="AH24" t="s">
        <v>187</v>
      </c>
      <c r="AI24" s="138">
        <v>10000</v>
      </c>
      <c r="AJ24" t="s">
        <v>145</v>
      </c>
      <c r="AK24" s="139">
        <f>AG24*EXP(-AI24*(1/(273.15+T_cat)-1/423.15))</f>
        <v>1246.7240357154801</v>
      </c>
      <c r="AL24" s="52" t="s">
        <v>209</v>
      </c>
      <c r="AM24" s="149">
        <v>100</v>
      </c>
      <c r="AP24" t="s">
        <v>139</v>
      </c>
      <c r="AQ24" s="139">
        <f t="shared" si="9"/>
        <v>100</v>
      </c>
      <c r="AS24" t="s">
        <v>151</v>
      </c>
      <c r="AT24">
        <f>+k4f/K4_</f>
        <v>12.4672403571548</v>
      </c>
    </row>
    <row r="25" spans="1:46" x14ac:dyDescent="0.2">
      <c r="A25" s="44" t="s">
        <v>98</v>
      </c>
      <c r="B25" s="74" t="s">
        <v>97</v>
      </c>
      <c r="C25" s="31"/>
      <c r="O25"/>
      <c r="P25"/>
      <c r="W25" s="44"/>
      <c r="Y25"/>
      <c r="Z25"/>
      <c r="AC25"/>
      <c r="AE25"/>
      <c r="AF25" s="52" t="s">
        <v>199</v>
      </c>
      <c r="AG25" s="140">
        <f>+AG24</f>
        <v>2000</v>
      </c>
      <c r="AH25" t="s">
        <v>188</v>
      </c>
      <c r="AI25" s="140">
        <f>+AI24</f>
        <v>10000</v>
      </c>
      <c r="AJ25" t="s">
        <v>146</v>
      </c>
      <c r="AK25" s="139">
        <f>AG25*EXP(-AI25*(1/(273.15+T_cat)-1/423.15))</f>
        <v>1246.7240357154801</v>
      </c>
      <c r="AL25" s="52" t="s">
        <v>210</v>
      </c>
      <c r="AM25" s="149">
        <v>100</v>
      </c>
      <c r="AP25" t="s">
        <v>140</v>
      </c>
      <c r="AQ25" s="139">
        <f t="shared" si="9"/>
        <v>100</v>
      </c>
      <c r="AS25" t="s">
        <v>152</v>
      </c>
      <c r="AT25">
        <f>+k5f/K5_</f>
        <v>12.4672403571548</v>
      </c>
    </row>
    <row r="26" spans="1:46" x14ac:dyDescent="0.2">
      <c r="A26" s="44"/>
      <c r="C26" s="31"/>
      <c r="O26"/>
      <c r="P26"/>
      <c r="W26" s="44"/>
      <c r="Y26"/>
      <c r="Z26"/>
      <c r="AC26"/>
      <c r="AE26"/>
      <c r="AF26" s="52" t="s">
        <v>200</v>
      </c>
      <c r="AJ26" t="s">
        <v>147</v>
      </c>
      <c r="AK26" s="137"/>
      <c r="AL26" s="52" t="s">
        <v>211</v>
      </c>
      <c r="AM26" s="103">
        <v>100</v>
      </c>
      <c r="AN26" t="s">
        <v>192</v>
      </c>
      <c r="AO26" s="138">
        <v>2000</v>
      </c>
      <c r="AP26" t="s">
        <v>141</v>
      </c>
      <c r="AQ26" s="139">
        <f t="shared" si="9"/>
        <v>90.980447228289137</v>
      </c>
      <c r="AS26" t="s">
        <v>153</v>
      </c>
      <c r="AT26">
        <f>+k6f/K6_</f>
        <v>0</v>
      </c>
    </row>
    <row r="27" spans="1:46" x14ac:dyDescent="0.2">
      <c r="A27" s="44"/>
      <c r="B27" s="74"/>
      <c r="C27" s="31"/>
      <c r="O27"/>
      <c r="P27"/>
      <c r="W27" s="44"/>
      <c r="Y27"/>
      <c r="Z27"/>
      <c r="AC27"/>
      <c r="AE27"/>
      <c r="AF27" s="52" t="s">
        <v>201</v>
      </c>
      <c r="AJ27" t="s">
        <v>158</v>
      </c>
      <c r="AK27" s="137"/>
      <c r="AL27" s="52" t="s">
        <v>212</v>
      </c>
      <c r="AM27" s="148">
        <v>165.86438969767352</v>
      </c>
      <c r="AN27" t="s">
        <v>193</v>
      </c>
      <c r="AO27" s="138">
        <v>2000</v>
      </c>
      <c r="AP27" t="s">
        <v>162</v>
      </c>
      <c r="AQ27" s="139">
        <f t="shared" si="9"/>
        <v>150.90416353941569</v>
      </c>
      <c r="AS27" t="s">
        <v>166</v>
      </c>
      <c r="AT27">
        <f>AG27/AM27</f>
        <v>0</v>
      </c>
    </row>
    <row r="28" spans="1:46" x14ac:dyDescent="0.2">
      <c r="A28" s="44"/>
      <c r="B28" s="74"/>
      <c r="C28" s="31"/>
      <c r="O28"/>
      <c r="P28"/>
      <c r="W28" s="44"/>
      <c r="Y28"/>
      <c r="Z28"/>
      <c r="AC28"/>
      <c r="AE28"/>
      <c r="AF28" s="52" t="s">
        <v>202</v>
      </c>
      <c r="AG28" s="141">
        <v>50</v>
      </c>
      <c r="AH28" t="s">
        <v>188</v>
      </c>
      <c r="AI28" s="138">
        <v>10000</v>
      </c>
      <c r="AJ28" t="s">
        <v>159</v>
      </c>
      <c r="AK28" s="139">
        <f>AG28*EXP(-AI28*(1/(273.15+T_cat)-1/423.15))</f>
        <v>31.168100892887001</v>
      </c>
      <c r="AL28" s="52" t="s">
        <v>213</v>
      </c>
      <c r="AM28" s="149">
        <v>100</v>
      </c>
      <c r="AP28" t="s">
        <v>163</v>
      </c>
      <c r="AQ28" s="139">
        <f t="shared" si="9"/>
        <v>100</v>
      </c>
      <c r="AS28" t="s">
        <v>167</v>
      </c>
      <c r="AT28">
        <f>AG28/AM28</f>
        <v>0.5</v>
      </c>
    </row>
    <row r="29" spans="1:46" x14ac:dyDescent="0.2">
      <c r="A29" s="44"/>
      <c r="B29" s="74"/>
      <c r="C29" s="31"/>
      <c r="O29"/>
      <c r="P29"/>
      <c r="W29" s="44"/>
      <c r="Y29"/>
      <c r="Z29"/>
      <c r="AC29"/>
      <c r="AE29"/>
      <c r="AF29" s="52" t="s">
        <v>203</v>
      </c>
      <c r="AG29" s="140">
        <f>+AG28</f>
        <v>50</v>
      </c>
      <c r="AH29" t="s">
        <v>188</v>
      </c>
      <c r="AI29" s="140">
        <f>+AI28</f>
        <v>10000</v>
      </c>
      <c r="AJ29" t="s">
        <v>160</v>
      </c>
      <c r="AK29" s="139">
        <f>AG29*EXP(-AI29*(1/(273.15+T_cat)-1/423.15))</f>
        <v>31.168100892887001</v>
      </c>
      <c r="AL29" s="52" t="s">
        <v>214</v>
      </c>
      <c r="AM29" s="149">
        <f>+K8_</f>
        <v>100</v>
      </c>
      <c r="AP29" t="s">
        <v>164</v>
      </c>
      <c r="AQ29" s="139">
        <f t="shared" si="9"/>
        <v>100</v>
      </c>
      <c r="AS29" t="s">
        <v>168</v>
      </c>
      <c r="AT29">
        <f>AG29/AM29</f>
        <v>0.5</v>
      </c>
    </row>
    <row r="30" spans="1:46" x14ac:dyDescent="0.2">
      <c r="A30" s="44"/>
      <c r="B30" s="74"/>
      <c r="C30" s="31"/>
      <c r="O30"/>
      <c r="P30"/>
      <c r="W30" s="44"/>
      <c r="Y30"/>
      <c r="Z30"/>
      <c r="AC30"/>
      <c r="AE30"/>
      <c r="AF30" s="142" t="s">
        <v>204</v>
      </c>
      <c r="AG30" s="143"/>
      <c r="AH30" s="143"/>
      <c r="AI30" s="143"/>
      <c r="AJ30" s="143" t="s">
        <v>161</v>
      </c>
      <c r="AK30" s="144"/>
      <c r="AL30" s="142" t="s">
        <v>215</v>
      </c>
      <c r="AM30" s="150">
        <v>100</v>
      </c>
      <c r="AN30" s="143" t="s">
        <v>194</v>
      </c>
      <c r="AO30" s="151">
        <v>2000</v>
      </c>
      <c r="AP30" s="143" t="s">
        <v>165</v>
      </c>
      <c r="AQ30" s="152">
        <f t="shared" si="9"/>
        <v>90.980447228289137</v>
      </c>
      <c r="AS30" t="s">
        <v>169</v>
      </c>
      <c r="AT30">
        <f>AG30/AM30</f>
        <v>0</v>
      </c>
    </row>
    <row r="31" spans="1:46" x14ac:dyDescent="0.2">
      <c r="A31" s="44"/>
      <c r="B31" s="74"/>
      <c r="C31" s="31"/>
      <c r="O31"/>
      <c r="P31"/>
      <c r="W31" s="44"/>
      <c r="Y31"/>
      <c r="Z31"/>
      <c r="AC31"/>
      <c r="AE31"/>
      <c r="AF31"/>
      <c r="AI31" s="116"/>
    </row>
    <row r="32" spans="1:46" hidden="1" x14ac:dyDescent="0.2">
      <c r="A32" s="44"/>
      <c r="B32" s="74"/>
      <c r="C32" s="31"/>
      <c r="O32"/>
      <c r="P32"/>
      <c r="W32" s="44"/>
      <c r="Y32"/>
      <c r="Z32"/>
      <c r="AC32"/>
      <c r="AE32"/>
      <c r="AF32"/>
      <c r="AI32" s="116"/>
    </row>
    <row r="33" spans="1:35" hidden="1" x14ac:dyDescent="0.2">
      <c r="A33" s="44"/>
      <c r="B33" s="74"/>
      <c r="C33" s="31"/>
      <c r="O33"/>
      <c r="P33"/>
      <c r="W33" s="44"/>
      <c r="Y33"/>
      <c r="Z33"/>
      <c r="AC33"/>
      <c r="AE33"/>
      <c r="AF33"/>
      <c r="AI33" s="116"/>
    </row>
    <row r="34" spans="1:35" hidden="1" x14ac:dyDescent="0.2">
      <c r="A34" s="44"/>
      <c r="B34" s="74"/>
      <c r="C34" s="31"/>
      <c r="O34"/>
      <c r="P34"/>
      <c r="W34" s="44"/>
      <c r="Y34"/>
      <c r="Z34"/>
      <c r="AC34"/>
      <c r="AE34"/>
      <c r="AF34"/>
      <c r="AI34" s="116"/>
    </row>
    <row r="35" spans="1:35" hidden="1" x14ac:dyDescent="0.2">
      <c r="A35" s="44"/>
      <c r="B35" s="74"/>
      <c r="C35" s="31"/>
      <c r="O35"/>
      <c r="P35"/>
      <c r="W35" s="44"/>
      <c r="Y35"/>
      <c r="Z35"/>
      <c r="AC35"/>
      <c r="AE35"/>
      <c r="AF35"/>
      <c r="AI35" s="116"/>
    </row>
    <row r="36" spans="1:35" hidden="1" x14ac:dyDescent="0.2">
      <c r="A36" s="44"/>
      <c r="B36" s="74"/>
      <c r="C36" s="31"/>
      <c r="O36"/>
      <c r="P36"/>
      <c r="W36" s="44"/>
      <c r="Y36"/>
      <c r="Z36"/>
      <c r="AC36"/>
      <c r="AE36"/>
      <c r="AF36"/>
      <c r="AI36" s="116"/>
    </row>
    <row r="37" spans="1:35" hidden="1" x14ac:dyDescent="0.2">
      <c r="A37" s="44"/>
      <c r="B37" s="74"/>
      <c r="C37" s="31"/>
      <c r="O37"/>
      <c r="P37"/>
      <c r="W37" s="44"/>
      <c r="Y37"/>
      <c r="Z37"/>
      <c r="AC37"/>
      <c r="AE37"/>
      <c r="AF37"/>
      <c r="AI37" s="116"/>
    </row>
    <row r="38" spans="1:35" hidden="1" x14ac:dyDescent="0.2">
      <c r="A38" s="44"/>
      <c r="B38" s="74"/>
      <c r="C38" s="31"/>
      <c r="O38"/>
      <c r="P38"/>
      <c r="W38" s="44"/>
      <c r="Y38"/>
      <c r="Z38"/>
      <c r="AC38"/>
      <c r="AE38"/>
      <c r="AF38"/>
      <c r="AI38" s="116"/>
    </row>
    <row r="39" spans="1:35" hidden="1" x14ac:dyDescent="0.2">
      <c r="A39" s="44"/>
      <c r="B39" s="74"/>
      <c r="C39" s="31"/>
      <c r="O39"/>
      <c r="P39"/>
      <c r="W39" s="44"/>
      <c r="Y39"/>
      <c r="Z39"/>
      <c r="AC39"/>
      <c r="AE39"/>
      <c r="AF39"/>
      <c r="AI39" s="116"/>
    </row>
    <row r="40" spans="1:35" hidden="1" x14ac:dyDescent="0.2">
      <c r="A40" s="44"/>
      <c r="B40" s="74"/>
      <c r="C40" s="31"/>
      <c r="O40"/>
      <c r="P40"/>
      <c r="W40" s="44"/>
      <c r="Y40"/>
      <c r="Z40"/>
      <c r="AC40"/>
      <c r="AE40"/>
      <c r="AF40"/>
      <c r="AI40" s="116"/>
    </row>
    <row r="41" spans="1:35" hidden="1" x14ac:dyDescent="0.2">
      <c r="A41" s="44"/>
      <c r="B41" s="74"/>
      <c r="C41" s="31"/>
      <c r="O41"/>
      <c r="P41"/>
      <c r="W41" s="44"/>
      <c r="Y41"/>
      <c r="Z41"/>
      <c r="AC41"/>
      <c r="AE41"/>
      <c r="AF41"/>
      <c r="AI41" s="116"/>
    </row>
    <row r="42" spans="1:35" hidden="1" x14ac:dyDescent="0.2">
      <c r="A42" s="44"/>
      <c r="B42" s="74"/>
      <c r="C42" s="31"/>
      <c r="O42"/>
      <c r="P42"/>
      <c r="W42" s="44"/>
      <c r="Y42"/>
      <c r="Z42"/>
      <c r="AC42"/>
      <c r="AE42"/>
      <c r="AF42"/>
      <c r="AI42" s="116"/>
    </row>
    <row r="43" spans="1:35" hidden="1" x14ac:dyDescent="0.2">
      <c r="A43" s="44"/>
      <c r="B43" s="74"/>
      <c r="C43" s="31"/>
      <c r="O43"/>
      <c r="P43"/>
      <c r="W43" s="44"/>
      <c r="Y43"/>
      <c r="Z43"/>
      <c r="AC43"/>
      <c r="AE43"/>
      <c r="AF43"/>
      <c r="AI43" s="116"/>
    </row>
    <row r="44" spans="1:35" hidden="1" x14ac:dyDescent="0.2">
      <c r="A44" s="44"/>
      <c r="B44" s="74"/>
      <c r="C44" s="31"/>
      <c r="O44"/>
      <c r="P44"/>
      <c r="W44" s="44"/>
      <c r="Y44"/>
      <c r="Z44"/>
      <c r="AC44"/>
      <c r="AE44"/>
      <c r="AF44"/>
      <c r="AI44" s="116"/>
    </row>
    <row r="45" spans="1:35" hidden="1" x14ac:dyDescent="0.2">
      <c r="A45" s="44"/>
      <c r="B45" s="74"/>
      <c r="C45" s="31"/>
      <c r="O45"/>
      <c r="P45"/>
      <c r="W45" s="44"/>
      <c r="Y45"/>
      <c r="Z45"/>
      <c r="AC45"/>
      <c r="AE45"/>
      <c r="AF45"/>
      <c r="AI45" s="116"/>
    </row>
    <row r="46" spans="1:35" hidden="1" x14ac:dyDescent="0.2">
      <c r="A46" s="44"/>
      <c r="B46" s="74"/>
      <c r="C46" s="31"/>
      <c r="O46"/>
      <c r="P46"/>
      <c r="W46" s="44"/>
      <c r="Y46"/>
      <c r="Z46"/>
      <c r="AC46"/>
      <c r="AE46"/>
      <c r="AF46"/>
      <c r="AI46" s="116"/>
    </row>
    <row r="47" spans="1:35" hidden="1" x14ac:dyDescent="0.2">
      <c r="A47" s="44"/>
      <c r="B47" s="74"/>
      <c r="C47" s="31"/>
      <c r="O47"/>
      <c r="P47"/>
      <c r="W47" s="44"/>
      <c r="Y47"/>
      <c r="Z47"/>
      <c r="AC47"/>
      <c r="AE47"/>
      <c r="AF47"/>
      <c r="AI47" s="116"/>
    </row>
    <row r="48" spans="1:35" hidden="1" x14ac:dyDescent="0.2">
      <c r="A48" s="44"/>
      <c r="B48" s="74"/>
      <c r="C48" s="31"/>
      <c r="O48"/>
      <c r="P48"/>
      <c r="W48" s="44"/>
      <c r="Y48"/>
      <c r="Z48"/>
      <c r="AC48"/>
      <c r="AE48"/>
      <c r="AF48"/>
      <c r="AI48" s="116"/>
    </row>
    <row r="49" spans="1:35" hidden="1" x14ac:dyDescent="0.2">
      <c r="A49" s="44"/>
      <c r="B49" s="74"/>
      <c r="C49" s="31"/>
      <c r="O49"/>
      <c r="P49"/>
      <c r="W49" s="44"/>
      <c r="Y49"/>
      <c r="Z49"/>
      <c r="AC49"/>
      <c r="AE49"/>
      <c r="AF49"/>
      <c r="AI49" s="116"/>
    </row>
    <row r="50" spans="1:35" hidden="1" x14ac:dyDescent="0.2">
      <c r="A50" s="44"/>
      <c r="B50" s="74"/>
      <c r="C50" s="31"/>
      <c r="O50"/>
      <c r="P50"/>
      <c r="W50" s="44"/>
      <c r="Y50"/>
      <c r="Z50"/>
      <c r="AC50"/>
      <c r="AE50"/>
      <c r="AF50"/>
      <c r="AI50" s="116"/>
    </row>
    <row r="51" spans="1:35" hidden="1" x14ac:dyDescent="0.2">
      <c r="A51" s="44"/>
      <c r="B51" s="74"/>
      <c r="C51" s="31"/>
      <c r="O51"/>
      <c r="P51"/>
      <c r="W51" s="44"/>
      <c r="Y51"/>
      <c r="Z51"/>
      <c r="AC51"/>
      <c r="AE51"/>
      <c r="AF51"/>
      <c r="AI51" s="116"/>
    </row>
    <row r="52" spans="1:35" hidden="1" x14ac:dyDescent="0.2">
      <c r="A52" s="44"/>
      <c r="B52" s="74"/>
      <c r="C52" s="31"/>
      <c r="O52"/>
      <c r="P52"/>
      <c r="W52" s="44"/>
      <c r="Y52"/>
      <c r="Z52"/>
      <c r="AC52"/>
      <c r="AE52"/>
      <c r="AF52"/>
      <c r="AI52" s="116"/>
    </row>
    <row r="53" spans="1:35" hidden="1" x14ac:dyDescent="0.2">
      <c r="A53" s="44"/>
      <c r="B53" s="74"/>
      <c r="C53" s="31"/>
      <c r="O53"/>
      <c r="P53"/>
      <c r="W53" s="44"/>
      <c r="Y53"/>
      <c r="Z53"/>
      <c r="AC53"/>
      <c r="AE53"/>
      <c r="AF53"/>
      <c r="AI53" s="116"/>
    </row>
    <row r="54" spans="1:35" s="56" customFormat="1" x14ac:dyDescent="0.2">
      <c r="A54" s="55"/>
      <c r="C54" s="57"/>
      <c r="D54" s="57"/>
      <c r="E54" s="57"/>
      <c r="F54" s="57"/>
      <c r="G54" s="57"/>
      <c r="H54" s="57"/>
      <c r="I54" s="57"/>
      <c r="J54" s="57"/>
      <c r="K54" s="57"/>
      <c r="L54" s="57"/>
      <c r="V54" s="83"/>
      <c r="W54" s="58"/>
      <c r="AD54" s="58"/>
    </row>
    <row r="55" spans="1:35" ht="14.25" hidden="1" customHeight="1" x14ac:dyDescent="0.2">
      <c r="E55" s="3" t="s">
        <v>52</v>
      </c>
    </row>
    <row r="56" spans="1:35" s="33" customFormat="1" ht="14.25" hidden="1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 s="39"/>
      <c r="V56" s="84"/>
      <c r="W56" s="44"/>
      <c r="Y56"/>
      <c r="Z56"/>
      <c r="AB56" s="39"/>
      <c r="AC56"/>
      <c r="AD56" s="44"/>
      <c r="AE56"/>
      <c r="AF56"/>
    </row>
    <row r="57" spans="1:35" ht="14.25" hidden="1" customHeight="1" x14ac:dyDescent="0.2">
      <c r="A57" s="31" t="s">
        <v>65</v>
      </c>
      <c r="B57">
        <v>4.1840000000000002</v>
      </c>
      <c r="C57" t="s">
        <v>64</v>
      </c>
      <c r="D57"/>
      <c r="E57" t="s">
        <v>56</v>
      </c>
      <c r="F57"/>
      <c r="G57"/>
      <c r="H57"/>
      <c r="I57"/>
      <c r="J57"/>
      <c r="K57"/>
      <c r="L57"/>
      <c r="N57"/>
      <c r="O57"/>
      <c r="P57"/>
      <c r="W57" s="44"/>
      <c r="Y57"/>
      <c r="Z57"/>
      <c r="AC57"/>
      <c r="AD57" s="44"/>
      <c r="AE57"/>
      <c r="AF57"/>
    </row>
    <row r="58" spans="1:35" ht="14.25" hidden="1" customHeight="1" x14ac:dyDescent="0.2">
      <c r="A58" s="31"/>
      <c r="C58"/>
      <c r="D58"/>
      <c r="E58" t="s">
        <v>57</v>
      </c>
      <c r="F58"/>
      <c r="G58"/>
      <c r="H58"/>
      <c r="I58"/>
      <c r="J58"/>
      <c r="K58"/>
      <c r="L58"/>
      <c r="N58"/>
      <c r="O58"/>
      <c r="P58"/>
      <c r="W58" s="44"/>
      <c r="Y58"/>
      <c r="Z58"/>
      <c r="AC58"/>
      <c r="AD58" s="44"/>
      <c r="AE58"/>
      <c r="AF58"/>
    </row>
    <row r="59" spans="1:35" ht="14.25" hidden="1" customHeight="1" x14ac:dyDescent="0.2">
      <c r="A59" s="31"/>
      <c r="C59"/>
      <c r="D59"/>
      <c r="E59" t="s">
        <v>58</v>
      </c>
      <c r="F59"/>
      <c r="G59"/>
      <c r="H59"/>
      <c r="I59"/>
      <c r="J59"/>
      <c r="K59"/>
      <c r="L59"/>
      <c r="N59"/>
      <c r="O59"/>
      <c r="P59"/>
      <c r="W59" s="44"/>
      <c r="Y59"/>
      <c r="Z59"/>
      <c r="AC59"/>
      <c r="AD59" s="44"/>
      <c r="AE59"/>
      <c r="AF59"/>
    </row>
    <row r="60" spans="1:35" ht="14.25" hidden="1" customHeight="1" x14ac:dyDescent="0.2">
      <c r="A60" s="31"/>
      <c r="C60"/>
      <c r="D60"/>
      <c r="E60" t="s">
        <v>59</v>
      </c>
      <c r="F60"/>
      <c r="G60"/>
      <c r="H60"/>
      <c r="I60"/>
      <c r="J60"/>
      <c r="K60"/>
      <c r="L60"/>
      <c r="N60"/>
      <c r="O60"/>
      <c r="P60"/>
      <c r="W60" s="44"/>
      <c r="Y60"/>
      <c r="Z60"/>
      <c r="AC60"/>
      <c r="AD60" s="44"/>
      <c r="AE60"/>
      <c r="AF60"/>
    </row>
    <row r="61" spans="1:35" ht="14.25" hidden="1" customHeight="1" x14ac:dyDescent="0.2">
      <c r="A61" s="31"/>
      <c r="C61"/>
      <c r="D61"/>
      <c r="E61" t="s">
        <v>53</v>
      </c>
      <c r="F61"/>
      <c r="G61"/>
      <c r="H61"/>
      <c r="I61"/>
      <c r="J61"/>
      <c r="K61"/>
      <c r="L61"/>
      <c r="N61"/>
      <c r="O61"/>
      <c r="P61"/>
      <c r="W61" s="44"/>
      <c r="Y61"/>
      <c r="Z61"/>
      <c r="AC61"/>
      <c r="AD61" s="44"/>
      <c r="AE61"/>
      <c r="AF61"/>
    </row>
    <row r="62" spans="1:35" ht="14.25" hidden="1" customHeight="1" x14ac:dyDescent="0.2">
      <c r="A62" s="31"/>
      <c r="C62"/>
      <c r="D62"/>
      <c r="E62" t="s">
        <v>54</v>
      </c>
      <c r="F62"/>
      <c r="G62"/>
      <c r="H62"/>
      <c r="I62"/>
      <c r="J62"/>
      <c r="K62"/>
      <c r="L62"/>
      <c r="N62"/>
      <c r="O62"/>
      <c r="P62"/>
      <c r="W62" s="44"/>
      <c r="Y62"/>
      <c r="Z62"/>
      <c r="AC62"/>
      <c r="AD62" s="44"/>
      <c r="AE62"/>
      <c r="AF62"/>
    </row>
    <row r="63" spans="1:35" ht="14.25" hidden="1" customHeight="1" x14ac:dyDescent="0.2">
      <c r="A63" s="31"/>
      <c r="C63"/>
      <c r="D63"/>
      <c r="E63" t="s">
        <v>55</v>
      </c>
      <c r="F63"/>
      <c r="G63"/>
      <c r="H63"/>
      <c r="I63"/>
      <c r="J63"/>
      <c r="K63"/>
      <c r="L63"/>
      <c r="N63"/>
      <c r="O63"/>
      <c r="P63"/>
      <c r="W63" s="44"/>
      <c r="Y63"/>
      <c r="Z63"/>
      <c r="AC63"/>
      <c r="AD63" s="44"/>
      <c r="AE63"/>
      <c r="AF63"/>
    </row>
    <row r="64" spans="1:35" ht="14.25" hidden="1" customHeight="1" x14ac:dyDescent="0.2">
      <c r="A64" s="31"/>
      <c r="C64"/>
      <c r="D64"/>
      <c r="E64" t="s">
        <v>60</v>
      </c>
      <c r="F64"/>
      <c r="G64"/>
      <c r="H64"/>
      <c r="I64"/>
      <c r="J64"/>
      <c r="K64"/>
      <c r="L64"/>
      <c r="N64"/>
      <c r="O64"/>
      <c r="P64"/>
      <c r="W64" s="44"/>
      <c r="Y64"/>
      <c r="Z64"/>
      <c r="AC64"/>
      <c r="AD64" s="44"/>
      <c r="AE64"/>
      <c r="AF64"/>
    </row>
    <row r="65" spans="1:33" ht="14.25" hidden="1" customHeight="1" x14ac:dyDescent="0.2">
      <c r="A65" s="31"/>
      <c r="C65"/>
      <c r="D65"/>
      <c r="E65"/>
      <c r="F65"/>
      <c r="G65"/>
      <c r="H65"/>
      <c r="I65"/>
      <c r="J65"/>
      <c r="K65"/>
      <c r="L65"/>
      <c r="N65"/>
      <c r="O65"/>
      <c r="P65"/>
      <c r="W65" s="44"/>
      <c r="Y65"/>
      <c r="Z65"/>
      <c r="AC65"/>
      <c r="AD65" s="44"/>
      <c r="AE65"/>
      <c r="AF65"/>
    </row>
    <row r="66" spans="1:33" ht="14.25" hidden="1" customHeight="1" x14ac:dyDescent="0.2">
      <c r="A66" t="s">
        <v>69</v>
      </c>
      <c r="B66">
        <v>298</v>
      </c>
      <c r="C66">
        <f>B66/1000</f>
        <v>0.29799999999999999</v>
      </c>
      <c r="D66" s="31" t="s">
        <v>83</v>
      </c>
      <c r="E66" s="34" t="s">
        <v>71</v>
      </c>
      <c r="F66" s="34" t="s">
        <v>72</v>
      </c>
      <c r="G66" s="34" t="s">
        <v>73</v>
      </c>
      <c r="H66" s="34" t="s">
        <v>74</v>
      </c>
      <c r="K66" s="3" t="s">
        <v>75</v>
      </c>
      <c r="L66" s="3" t="s">
        <v>76</v>
      </c>
      <c r="N66"/>
      <c r="W66" s="44"/>
      <c r="AC66"/>
      <c r="AD66" s="44"/>
      <c r="AE66"/>
      <c r="AF66"/>
    </row>
    <row r="67" spans="1:33" ht="14.25" hidden="1" customHeight="1" x14ac:dyDescent="0.2">
      <c r="A67" t="s">
        <v>38</v>
      </c>
      <c r="B67" t="s">
        <v>41</v>
      </c>
      <c r="C67">
        <f>111.7-273.15</f>
        <v>-161.44999999999999</v>
      </c>
      <c r="D67">
        <v>16.042999999999999</v>
      </c>
      <c r="E67">
        <v>4.5979999999999999</v>
      </c>
      <c r="F67" s="49">
        <v>1.2449999999999999E-2</v>
      </c>
      <c r="G67" s="49">
        <v>2.8600000000000001E-6</v>
      </c>
      <c r="H67" s="49">
        <v>-2.7029999999999999E-9</v>
      </c>
      <c r="J67"/>
      <c r="K67" s="8">
        <v>-12.15</v>
      </c>
      <c r="L67" s="8">
        <v>-17.89</v>
      </c>
      <c r="N67"/>
      <c r="O67" s="48"/>
      <c r="P67" s="48"/>
      <c r="W67" s="44"/>
      <c r="Y67" s="48"/>
      <c r="Z67" s="48"/>
      <c r="AC67"/>
      <c r="AD67" s="44"/>
      <c r="AE67"/>
      <c r="AF67"/>
    </row>
    <row r="68" spans="1:33" ht="14.25" hidden="1" customHeight="1" x14ac:dyDescent="0.2">
      <c r="A68" t="s">
        <v>39</v>
      </c>
      <c r="B68" t="s">
        <v>42</v>
      </c>
      <c r="C68">
        <f>184.5-273.15</f>
        <v>-88.649999999999977</v>
      </c>
      <c r="D68">
        <v>30.07</v>
      </c>
      <c r="E68">
        <v>1.292</v>
      </c>
      <c r="F68" s="49">
        <v>4.2540000000000001E-2</v>
      </c>
      <c r="G68" s="49">
        <v>-1.6569999999999999E-5</v>
      </c>
      <c r="H68" s="49">
        <v>2.0810000000000002E-9</v>
      </c>
      <c r="I68"/>
      <c r="J68"/>
      <c r="K68">
        <v>-7.87</v>
      </c>
      <c r="L68">
        <v>-20.239999999999998</v>
      </c>
      <c r="N68"/>
      <c r="O68"/>
      <c r="P68"/>
      <c r="W68" s="44"/>
      <c r="Y68"/>
      <c r="Z68"/>
      <c r="AC68"/>
      <c r="AD68" s="44"/>
      <c r="AE68"/>
      <c r="AF68"/>
    </row>
    <row r="69" spans="1:33" ht="14.25" hidden="1" customHeight="1" x14ac:dyDescent="0.2">
      <c r="A69" t="s">
        <v>0</v>
      </c>
      <c r="B69" t="s">
        <v>1</v>
      </c>
      <c r="C69">
        <f>231.1-273.15</f>
        <v>-42.049999999999983</v>
      </c>
      <c r="D69">
        <v>44.097000000000001</v>
      </c>
      <c r="E69">
        <v>-1.0089999999999999</v>
      </c>
      <c r="F69" s="49">
        <v>7.3150000000000007E-2</v>
      </c>
      <c r="G69" s="49">
        <v>-3.7889999999999998E-5</v>
      </c>
      <c r="H69" s="49">
        <v>7.6779999999999993E-9</v>
      </c>
      <c r="I69"/>
      <c r="J69"/>
      <c r="K69">
        <v>-5.61</v>
      </c>
      <c r="L69">
        <v>-24.82</v>
      </c>
      <c r="N69"/>
      <c r="O69"/>
      <c r="P69"/>
      <c r="W69" s="44"/>
      <c r="Y69"/>
      <c r="Z69"/>
      <c r="AC69"/>
      <c r="AD69" s="44"/>
      <c r="AE69"/>
      <c r="AF69"/>
    </row>
    <row r="70" spans="1:33" ht="14.25" hidden="1" customHeight="1" x14ac:dyDescent="0.2">
      <c r="A70" t="s">
        <v>70</v>
      </c>
      <c r="B70" t="s">
        <v>3</v>
      </c>
      <c r="C70">
        <f>272.7-273.15</f>
        <v>-0.44999999999998863</v>
      </c>
      <c r="D70">
        <v>58.124000000000002</v>
      </c>
      <c r="E70">
        <v>2.266</v>
      </c>
      <c r="F70" s="49">
        <v>7.9130000000000006E-2</v>
      </c>
      <c r="G70" s="49">
        <v>-2.6469999999999999E-5</v>
      </c>
      <c r="H70" s="49">
        <v>-6.7400000000000005E-10</v>
      </c>
      <c r="I70"/>
      <c r="J70"/>
      <c r="K70">
        <v>-4.0999999999999996</v>
      </c>
      <c r="L70">
        <v>-30.15</v>
      </c>
      <c r="N70"/>
      <c r="O70"/>
      <c r="P70"/>
      <c r="W70" s="44"/>
      <c r="Y70"/>
      <c r="Z70"/>
      <c r="AC70"/>
      <c r="AD70" s="44"/>
      <c r="AE70"/>
      <c r="AF70"/>
    </row>
    <row r="71" spans="1:33" ht="14.25" hidden="1" customHeight="1" x14ac:dyDescent="0.2">
      <c r="A71" t="s">
        <v>81</v>
      </c>
      <c r="B71" t="s">
        <v>82</v>
      </c>
      <c r="C71" s="3">
        <f>337.8-273.15</f>
        <v>64.650000000000034</v>
      </c>
      <c r="D71">
        <v>32.042000000000002</v>
      </c>
      <c r="E71">
        <v>5.0519999999999996</v>
      </c>
      <c r="F71" s="49">
        <v>1.694E-2</v>
      </c>
      <c r="G71" s="49">
        <v>6.1789999999999996E-6</v>
      </c>
      <c r="H71" s="49">
        <v>-6.8109999999999997E-9</v>
      </c>
      <c r="I71"/>
      <c r="J71"/>
      <c r="K71">
        <v>-17.89</v>
      </c>
      <c r="L71">
        <v>-12.15</v>
      </c>
      <c r="N71"/>
      <c r="O71"/>
      <c r="P71"/>
      <c r="W71" s="44"/>
      <c r="Y71"/>
      <c r="Z71"/>
      <c r="AC71"/>
      <c r="AD71" s="44"/>
      <c r="AE71"/>
      <c r="AF71"/>
    </row>
    <row r="72" spans="1:33" ht="14.25" hidden="1" customHeight="1" x14ac:dyDescent="0.2">
      <c r="C72"/>
      <c r="D72"/>
      <c r="E72"/>
      <c r="F72"/>
      <c r="G72"/>
      <c r="H72"/>
      <c r="I72"/>
      <c r="J72"/>
      <c r="K72"/>
      <c r="L72"/>
      <c r="N72"/>
      <c r="O72"/>
      <c r="P72"/>
      <c r="W72" s="44"/>
      <c r="Y72"/>
      <c r="Z72"/>
      <c r="AC72"/>
      <c r="AD72" s="44"/>
      <c r="AE72"/>
      <c r="AF72"/>
    </row>
    <row r="73" spans="1:33" ht="14.25" hidden="1" customHeight="1" x14ac:dyDescent="0.2">
      <c r="C73"/>
      <c r="D73"/>
      <c r="E73" s="9">
        <f>E67*cal</f>
        <v>19.238032</v>
      </c>
      <c r="F73" s="9">
        <f>F67*cal*1000</f>
        <v>52.090800000000002</v>
      </c>
      <c r="G73" s="9">
        <f>G67*cal*1000000</f>
        <v>11.966240000000003</v>
      </c>
      <c r="H73" s="9">
        <f>H67*cal*1000000000</f>
        <v>-11.309352000000001</v>
      </c>
      <c r="I73"/>
      <c r="K73" s="50">
        <f>K67*cal*1000-(E73*LN(C66)+F73*C66+G73/2*C66^2+H73/3*C66^3)</f>
        <v>-50828.263871057934</v>
      </c>
      <c r="L73">
        <f>L67*cal</f>
        <v>-74.851759999999999</v>
      </c>
      <c r="N73"/>
      <c r="O73" s="48">
        <f>E73+F73*$O$14+G73*$O$14^2+H73*$O$14^3+I73*$O$14^-2</f>
        <v>41.885219838430466</v>
      </c>
      <c r="P73" s="48"/>
      <c r="W73" s="44"/>
      <c r="Y73" s="48" t="e">
        <f>#REF!+#REF!*$O$14+#REF!*$O$14^2+#REF!*$O$14^3+#REF!*$O$14^-2</f>
        <v>#REF!</v>
      </c>
      <c r="Z73" s="48"/>
      <c r="AC73"/>
      <c r="AD73" s="44"/>
      <c r="AE73"/>
      <c r="AF73"/>
    </row>
    <row r="74" spans="1:33" ht="14.25" hidden="1" customHeight="1" x14ac:dyDescent="0.2">
      <c r="C74"/>
      <c r="D74"/>
      <c r="E74" s="9">
        <f>E68*cal</f>
        <v>5.4057280000000008</v>
      </c>
      <c r="F74" s="9">
        <f>F68*cal*1000</f>
        <v>177.98736000000002</v>
      </c>
      <c r="G74" s="9">
        <f>G68*cal*1000000</f>
        <v>-69.328879999999998</v>
      </c>
      <c r="H74" s="9">
        <f>H68*cal*1000000000</f>
        <v>8.7069040000000015</v>
      </c>
      <c r="I74"/>
      <c r="K74"/>
      <c r="L74">
        <f>L68*cal</f>
        <v>-84.684159999999991</v>
      </c>
      <c r="N74"/>
      <c r="O74" s="48">
        <f>E74+F74*$O$14+G74*$O$14^2+H74*$O$14^3+I74*$O$14^-2</f>
        <v>67.455688375525739</v>
      </c>
      <c r="P74" s="48"/>
      <c r="W74" s="44"/>
      <c r="Y74" s="48" t="e">
        <f>#REF!+#REF!*$O$14+#REF!*$O$14^2+#REF!*$O$14^3+#REF!*$O$14^-2</f>
        <v>#REF!</v>
      </c>
      <c r="Z74" s="48"/>
      <c r="AC74"/>
      <c r="AD74" s="44"/>
      <c r="AE74"/>
      <c r="AF74"/>
    </row>
    <row r="75" spans="1:33" ht="14.25" hidden="1" customHeight="1" x14ac:dyDescent="0.2">
      <c r="C75"/>
      <c r="D75"/>
      <c r="E75" s="9">
        <f>E69*cal</f>
        <v>-4.2216559999999994</v>
      </c>
      <c r="F75" s="9">
        <f>F69*cal*1000</f>
        <v>306.05960000000005</v>
      </c>
      <c r="G75" s="8">
        <f>G69*cal*1000000</f>
        <v>-158.53175999999999</v>
      </c>
      <c r="H75" s="9">
        <f>H69*cal*1000000000</f>
        <v>32.124752000000001</v>
      </c>
      <c r="I75"/>
      <c r="K75"/>
      <c r="L75">
        <f>L69*cal</f>
        <v>-103.84688</v>
      </c>
      <c r="N75"/>
      <c r="O75" s="48">
        <f>E75+F75*$O$14+G75*$O$14^2+H75*$O$14^3+I75*$O$14^-2</f>
        <v>97.025577234337831</v>
      </c>
      <c r="P75" s="48"/>
      <c r="W75" s="44"/>
      <c r="Y75" s="48" t="e">
        <f>#REF!+#REF!*$O$14+#REF!*$O$14^2+#REF!*$O$14^3+#REF!*$O$14^-2</f>
        <v>#REF!</v>
      </c>
      <c r="Z75" s="48"/>
      <c r="AC75"/>
      <c r="AD75" s="44"/>
      <c r="AE75"/>
      <c r="AF75"/>
    </row>
    <row r="76" spans="1:33" ht="14.25" hidden="1" customHeight="1" x14ac:dyDescent="0.2">
      <c r="C76"/>
      <c r="D76"/>
      <c r="E76" s="9">
        <f>E70*cal</f>
        <v>9.4809440000000009</v>
      </c>
      <c r="F76" s="9">
        <f>F70*cal*1000</f>
        <v>331.07992000000002</v>
      </c>
      <c r="G76" s="8">
        <f>G70*cal*1000000</f>
        <v>-110.75048</v>
      </c>
      <c r="H76" s="9">
        <f>H70*cal*1000000000</f>
        <v>-2.8200160000000003</v>
      </c>
      <c r="I76"/>
      <c r="K76"/>
      <c r="L76">
        <f>L70*cal</f>
        <v>-126.1476</v>
      </c>
      <c r="N76"/>
      <c r="O76" s="48">
        <f>E76+F76*$O$14+G76*$O$14^2+H76*$O$14^3+I76*$O$14^-2</f>
        <v>126.65809647159432</v>
      </c>
      <c r="P76" s="48"/>
      <c r="W76" s="44"/>
      <c r="Y76" s="48" t="e">
        <f>#REF!+#REF!*$O$14+#REF!*$O$14^2+#REF!*$O$14^3+#REF!*$O$14^-2</f>
        <v>#REF!</v>
      </c>
      <c r="Z76" s="48"/>
      <c r="AC76"/>
      <c r="AD76" s="44"/>
      <c r="AE76"/>
      <c r="AF76"/>
    </row>
    <row r="77" spans="1:33" ht="14.25" hidden="1" customHeight="1" x14ac:dyDescent="0.2">
      <c r="C77"/>
      <c r="D77"/>
      <c r="E77" s="9">
        <f>E71*cal</f>
        <v>21.137567999999998</v>
      </c>
      <c r="F77" s="9">
        <f>F71*cal*1000</f>
        <v>70.876959999999997</v>
      </c>
      <c r="G77" s="8">
        <f>G71*cal*1000000</f>
        <v>25.852936</v>
      </c>
      <c r="H77" s="9">
        <f>H71*cal*1000000000</f>
        <v>-28.497223999999999</v>
      </c>
      <c r="I77"/>
      <c r="K77"/>
      <c r="L77">
        <f>L71*cal</f>
        <v>-50.835600000000007</v>
      </c>
      <c r="N77"/>
      <c r="O77" s="48"/>
      <c r="P77" s="48"/>
      <c r="W77" s="44"/>
      <c r="Y77" s="48"/>
      <c r="Z77" s="48"/>
      <c r="AC77"/>
      <c r="AD77" s="44"/>
      <c r="AE77"/>
      <c r="AF77"/>
    </row>
    <row r="78" spans="1:33" s="56" customFormat="1" x14ac:dyDescent="0.2">
      <c r="V78" s="83"/>
      <c r="W78" s="58"/>
      <c r="AD78" s="58"/>
    </row>
    <row r="79" spans="1:33" x14ac:dyDescent="0.2">
      <c r="C79"/>
      <c r="D79"/>
      <c r="E79"/>
      <c r="F79"/>
      <c r="G79"/>
      <c r="H79"/>
      <c r="I79"/>
      <c r="J79"/>
      <c r="K79"/>
      <c r="L79"/>
      <c r="N79"/>
      <c r="O79"/>
      <c r="P79"/>
      <c r="W79" s="44"/>
      <c r="Y79"/>
      <c r="Z79"/>
      <c r="AC79"/>
      <c r="AD79" s="96" t="s">
        <v>115</v>
      </c>
      <c r="AE79"/>
      <c r="AF79"/>
      <c r="AG79" s="154">
        <f>SUM(AG82:AG100)</f>
        <v>5.8001678442382865</v>
      </c>
    </row>
    <row r="80" spans="1:33" x14ac:dyDescent="0.2">
      <c r="C80"/>
      <c r="D80"/>
      <c r="E80"/>
      <c r="F80"/>
      <c r="G80"/>
      <c r="H80"/>
      <c r="I80"/>
      <c r="J80"/>
      <c r="K80"/>
      <c r="L80"/>
      <c r="N80"/>
      <c r="O80"/>
      <c r="P80"/>
      <c r="W80" s="44"/>
      <c r="Y80"/>
      <c r="Z80"/>
      <c r="AC80"/>
      <c r="AD80" s="132" t="s">
        <v>111</v>
      </c>
      <c r="AE80" s="132" t="s">
        <v>27</v>
      </c>
      <c r="AF80" s="132" t="s">
        <v>86</v>
      </c>
      <c r="AG80" s="132" t="s">
        <v>179</v>
      </c>
    </row>
    <row r="81" spans="3:33" x14ac:dyDescent="0.2">
      <c r="C81"/>
      <c r="D81"/>
      <c r="E81"/>
      <c r="F81"/>
      <c r="G81"/>
      <c r="H81"/>
      <c r="I81"/>
      <c r="J81"/>
      <c r="K81"/>
      <c r="O81"/>
      <c r="P81"/>
      <c r="R81" s="67"/>
      <c r="W81" s="44"/>
      <c r="Y81"/>
      <c r="Z81"/>
      <c r="AC81"/>
      <c r="AD81" s="133">
        <f>+A1</f>
        <v>42</v>
      </c>
      <c r="AE81" s="153">
        <f>IF(M5&gt;0,AF5,0)</f>
        <v>4.3653987701295482E-3</v>
      </c>
      <c r="AF81" s="153">
        <f>IF(M8&gt;0,AF8,0)</f>
        <v>4.3544892285527067E-4</v>
      </c>
      <c r="AG81" s="153">
        <f>+AF81+AE81</f>
        <v>4.8008476929848193E-3</v>
      </c>
    </row>
    <row r="82" spans="3:33" x14ac:dyDescent="0.2">
      <c r="C82"/>
      <c r="D82"/>
      <c r="E82"/>
      <c r="F82"/>
      <c r="G82"/>
      <c r="H82"/>
      <c r="I82"/>
      <c r="J82"/>
      <c r="K82"/>
      <c r="O82"/>
      <c r="P82"/>
      <c r="R82" s="67"/>
      <c r="W82" s="44"/>
      <c r="Y82"/>
      <c r="Z82"/>
      <c r="AC82"/>
      <c r="AD82" s="106">
        <v>7</v>
      </c>
      <c r="AE82" s="154">
        <f t="dataTable" ref="AE82:AG103" dt2D="0" dtr="0" r1="A1"/>
        <v>0</v>
      </c>
      <c r="AF82" s="154">
        <v>4.9268127545987897E-3</v>
      </c>
      <c r="AG82" s="155">
        <v>4.9268127545987897E-3</v>
      </c>
    </row>
    <row r="83" spans="3:33" x14ac:dyDescent="0.2">
      <c r="C83"/>
      <c r="D83"/>
      <c r="E83"/>
      <c r="F83"/>
      <c r="G83"/>
      <c r="H83"/>
      <c r="I83"/>
      <c r="J83"/>
      <c r="K83"/>
      <c r="O83"/>
      <c r="P83"/>
      <c r="R83" s="67"/>
      <c r="W83" s="44"/>
      <c r="Y83"/>
      <c r="Z83"/>
      <c r="AC83"/>
      <c r="AD83" s="106">
        <v>8</v>
      </c>
      <c r="AE83" s="154">
        <v>0</v>
      </c>
      <c r="AF83" s="154">
        <v>0.33994002589155897</v>
      </c>
      <c r="AG83" s="155">
        <v>0.33994002589155897</v>
      </c>
    </row>
    <row r="84" spans="3:33" x14ac:dyDescent="0.2">
      <c r="C84"/>
      <c r="D84"/>
      <c r="E84"/>
      <c r="F84"/>
      <c r="G84"/>
      <c r="H84"/>
      <c r="I84"/>
      <c r="J84"/>
      <c r="K84"/>
      <c r="O84"/>
      <c r="P84"/>
      <c r="R84" s="67"/>
      <c r="W84" s="44"/>
      <c r="Y84"/>
      <c r="Z84"/>
      <c r="AC84"/>
      <c r="AD84" s="106">
        <v>16</v>
      </c>
      <c r="AE84" s="154">
        <v>0</v>
      </c>
      <c r="AF84" s="154">
        <v>1.9009190914152912E-2</v>
      </c>
      <c r="AG84" s="155">
        <v>1.9009190914152912E-2</v>
      </c>
    </row>
    <row r="85" spans="3:33" x14ac:dyDescent="0.2">
      <c r="C85"/>
      <c r="D85"/>
      <c r="E85"/>
      <c r="F85"/>
      <c r="G85"/>
      <c r="H85"/>
      <c r="I85"/>
      <c r="J85"/>
      <c r="K85"/>
      <c r="O85"/>
      <c r="P85"/>
      <c r="R85" s="67"/>
      <c r="W85" s="44"/>
      <c r="Y85"/>
      <c r="Z85"/>
      <c r="AC85"/>
      <c r="AD85" s="106">
        <v>17</v>
      </c>
      <c r="AE85" s="154">
        <v>0</v>
      </c>
      <c r="AF85" s="154">
        <v>1.0893788332970393</v>
      </c>
      <c r="AG85" s="155">
        <v>1.0893788332970393</v>
      </c>
    </row>
    <row r="86" spans="3:33" x14ac:dyDescent="0.2">
      <c r="C86"/>
      <c r="D86"/>
      <c r="E86"/>
      <c r="F86"/>
      <c r="G86"/>
      <c r="H86"/>
      <c r="I86"/>
      <c r="J86"/>
      <c r="K86"/>
      <c r="O86"/>
      <c r="P86"/>
      <c r="R86" s="67"/>
      <c r="W86" s="44"/>
      <c r="Y86"/>
      <c r="Z86"/>
      <c r="AC86"/>
      <c r="AD86" s="106">
        <v>19</v>
      </c>
      <c r="AE86" s="154">
        <v>0.79572273256314574</v>
      </c>
      <c r="AF86" s="154">
        <v>1.4672898825544773E-3</v>
      </c>
      <c r="AG86" s="155">
        <v>0.79719002244570025</v>
      </c>
    </row>
    <row r="87" spans="3:33" x14ac:dyDescent="0.2">
      <c r="C87"/>
      <c r="D87"/>
      <c r="E87"/>
      <c r="F87"/>
      <c r="G87"/>
      <c r="H87"/>
      <c r="I87"/>
      <c r="J87"/>
      <c r="K87"/>
      <c r="O87"/>
      <c r="P87"/>
      <c r="R87" s="67"/>
      <c r="W87" s="44"/>
      <c r="Y87"/>
      <c r="Z87"/>
      <c r="AC87"/>
      <c r="AD87" s="106">
        <v>25</v>
      </c>
      <c r="AE87" s="154">
        <v>0</v>
      </c>
      <c r="AF87" s="154">
        <v>2.3731558066431575E-2</v>
      </c>
      <c r="AG87" s="155">
        <v>2.3731558066431575E-2</v>
      </c>
    </row>
    <row r="88" spans="3:33" x14ac:dyDescent="0.2">
      <c r="C88"/>
      <c r="D88"/>
      <c r="E88"/>
      <c r="F88"/>
      <c r="G88"/>
      <c r="H88"/>
      <c r="I88"/>
      <c r="J88"/>
      <c r="K88"/>
      <c r="O88"/>
      <c r="P88"/>
      <c r="R88" s="67"/>
      <c r="W88" s="44"/>
      <c r="Y88"/>
      <c r="Z88"/>
      <c r="AC88"/>
      <c r="AD88" s="106">
        <v>26</v>
      </c>
      <c r="AE88" s="154">
        <v>0</v>
      </c>
      <c r="AF88" s="154">
        <v>0.15746641188753019</v>
      </c>
      <c r="AG88" s="155">
        <v>0.15746641188753019</v>
      </c>
    </row>
    <row r="89" spans="3:33" x14ac:dyDescent="0.2">
      <c r="C89"/>
      <c r="D89"/>
      <c r="E89"/>
      <c r="F89"/>
      <c r="G89"/>
      <c r="H89"/>
      <c r="I89"/>
      <c r="J89"/>
      <c r="K89"/>
      <c r="O89"/>
      <c r="P89"/>
      <c r="R89" s="67"/>
      <c r="W89" s="44"/>
      <c r="Y89"/>
      <c r="Z89"/>
      <c r="AC89"/>
      <c r="AD89" s="106">
        <v>29</v>
      </c>
      <c r="AE89" s="154">
        <v>0.93347086314752414</v>
      </c>
      <c r="AF89" s="154">
        <v>8.4338476540526033E-3</v>
      </c>
      <c r="AG89" s="155">
        <v>0.94190471080157678</v>
      </c>
    </row>
    <row r="90" spans="3:33" x14ac:dyDescent="0.2">
      <c r="C90"/>
      <c r="D90"/>
      <c r="E90"/>
      <c r="F90"/>
      <c r="G90"/>
      <c r="H90"/>
      <c r="I90"/>
      <c r="J90"/>
      <c r="K90"/>
      <c r="O90"/>
      <c r="P90"/>
      <c r="R90" s="67"/>
      <c r="W90" s="44"/>
      <c r="Y90"/>
      <c r="Z90"/>
      <c r="AC90"/>
      <c r="AD90" s="106">
        <v>35</v>
      </c>
      <c r="AE90" s="154">
        <v>0</v>
      </c>
      <c r="AF90" s="154">
        <v>2.2011428780900365E-2</v>
      </c>
      <c r="AG90" s="155">
        <v>2.2011428780900365E-2</v>
      </c>
    </row>
    <row r="91" spans="3:33" x14ac:dyDescent="0.2">
      <c r="C91"/>
      <c r="D91"/>
      <c r="E91"/>
      <c r="F91"/>
      <c r="G91"/>
      <c r="H91"/>
      <c r="I91"/>
      <c r="J91"/>
      <c r="K91"/>
      <c r="O91"/>
      <c r="P91"/>
      <c r="R91" s="67"/>
      <c r="W91" s="44"/>
      <c r="Y91"/>
      <c r="Z91"/>
      <c r="AC91"/>
      <c r="AD91" s="106">
        <v>36</v>
      </c>
      <c r="AE91" s="154">
        <v>0</v>
      </c>
      <c r="AF91" s="154">
        <v>0.21966679030642294</v>
      </c>
      <c r="AG91" s="155">
        <v>0.21966679030642294</v>
      </c>
    </row>
    <row r="92" spans="3:33" x14ac:dyDescent="0.2">
      <c r="C92"/>
      <c r="D92"/>
      <c r="E92"/>
      <c r="F92"/>
      <c r="G92"/>
      <c r="H92"/>
      <c r="I92"/>
      <c r="J92"/>
      <c r="K92"/>
      <c r="O92"/>
      <c r="P92"/>
      <c r="R92" s="67"/>
      <c r="W92" s="44"/>
      <c r="Y92"/>
      <c r="Z92"/>
      <c r="AC92"/>
      <c r="AD92" s="106">
        <v>37</v>
      </c>
      <c r="AE92" s="154">
        <v>0.5803400447051853</v>
      </c>
      <c r="AF92" s="154">
        <v>4.4877320554014569E-4</v>
      </c>
      <c r="AG92" s="155">
        <v>0.58078881791072545</v>
      </c>
    </row>
    <row r="93" spans="3:33" x14ac:dyDescent="0.2">
      <c r="C93"/>
      <c r="D93"/>
      <c r="E93"/>
      <c r="F93"/>
      <c r="G93"/>
      <c r="H93"/>
      <c r="I93"/>
      <c r="J93"/>
      <c r="K93"/>
      <c r="O93"/>
      <c r="P93"/>
      <c r="R93" s="67"/>
      <c r="W93" s="44"/>
      <c r="Y93"/>
      <c r="Z93"/>
      <c r="AC93"/>
      <c r="AD93" s="106">
        <v>38</v>
      </c>
      <c r="AE93" s="154">
        <v>0.56808540904378646</v>
      </c>
      <c r="AF93" s="154">
        <v>6.3952111753684212E-4</v>
      </c>
      <c r="AG93" s="155">
        <v>0.56872493016132331</v>
      </c>
    </row>
    <row r="94" spans="3:33" x14ac:dyDescent="0.2">
      <c r="C94"/>
      <c r="D94"/>
      <c r="E94"/>
      <c r="F94"/>
      <c r="G94"/>
      <c r="H94"/>
      <c r="I94"/>
      <c r="J94"/>
      <c r="K94"/>
      <c r="O94"/>
      <c r="P94"/>
      <c r="R94" s="67"/>
      <c r="W94" s="44"/>
      <c r="Y94"/>
      <c r="Z94"/>
      <c r="AC94"/>
      <c r="AD94" s="106">
        <v>42</v>
      </c>
      <c r="AE94" s="154">
        <v>4.3653987701295482E-3</v>
      </c>
      <c r="AF94" s="154">
        <v>4.3544892285527067E-4</v>
      </c>
      <c r="AG94" s="155">
        <v>4.8008476929848193E-3</v>
      </c>
    </row>
    <row r="95" spans="3:33" x14ac:dyDescent="0.2">
      <c r="C95"/>
      <c r="D95"/>
      <c r="E95"/>
      <c r="F95"/>
      <c r="G95"/>
      <c r="H95"/>
      <c r="I95"/>
      <c r="J95"/>
      <c r="K95"/>
      <c r="O95"/>
      <c r="P95"/>
      <c r="R95" s="67"/>
      <c r="W95" s="44"/>
      <c r="Y95"/>
      <c r="Z95"/>
      <c r="AC95"/>
      <c r="AD95" s="106">
        <v>43</v>
      </c>
      <c r="AE95" s="154">
        <v>0</v>
      </c>
      <c r="AF95" s="154">
        <v>2.2827017490894497E-2</v>
      </c>
      <c r="AG95" s="155">
        <v>2.2827017490894497E-2</v>
      </c>
    </row>
    <row r="96" spans="3:33" x14ac:dyDescent="0.2">
      <c r="C96"/>
      <c r="D96"/>
      <c r="E96"/>
      <c r="F96"/>
      <c r="G96"/>
      <c r="H96"/>
      <c r="I96"/>
      <c r="J96"/>
      <c r="K96"/>
      <c r="O96"/>
      <c r="P96"/>
      <c r="R96" s="67"/>
      <c r="W96" s="44"/>
      <c r="Y96"/>
      <c r="Z96"/>
      <c r="AC96"/>
      <c r="AD96" s="106">
        <v>44</v>
      </c>
      <c r="AE96" s="154">
        <v>0</v>
      </c>
      <c r="AF96" s="154">
        <v>0.17557144492648463</v>
      </c>
      <c r="AG96" s="155">
        <v>0.17557144492648463</v>
      </c>
    </row>
    <row r="97" spans="3:33" x14ac:dyDescent="0.2">
      <c r="C97"/>
      <c r="D97"/>
      <c r="E97"/>
      <c r="F97"/>
      <c r="G97"/>
      <c r="H97"/>
      <c r="I97"/>
      <c r="J97"/>
      <c r="K97"/>
      <c r="O97"/>
      <c r="P97"/>
      <c r="R97" s="67"/>
      <c r="W97" s="44"/>
      <c r="Y97"/>
      <c r="Z97"/>
      <c r="AC97"/>
      <c r="AD97" s="106">
        <v>20</v>
      </c>
      <c r="AE97" s="154">
        <v>0.80623761555600248</v>
      </c>
      <c r="AF97" s="154">
        <v>0</v>
      </c>
      <c r="AG97" s="155">
        <v>0.80623761555600248</v>
      </c>
    </row>
    <row r="98" spans="3:33" x14ac:dyDescent="0.2">
      <c r="C98"/>
      <c r="D98"/>
      <c r="E98"/>
      <c r="F98"/>
      <c r="G98"/>
      <c r="H98"/>
      <c r="I98"/>
      <c r="J98"/>
      <c r="K98"/>
      <c r="O98"/>
      <c r="P98"/>
      <c r="R98" s="67"/>
      <c r="W98" s="44"/>
      <c r="Y98"/>
      <c r="Z98"/>
      <c r="AC98"/>
      <c r="AD98" s="106">
        <v>160</v>
      </c>
      <c r="AE98" s="154">
        <v>2.0509235521825694E-2</v>
      </c>
      <c r="AF98" s="154">
        <v>0</v>
      </c>
      <c r="AG98" s="155">
        <v>2.0509235521825694E-2</v>
      </c>
    </row>
    <row r="99" spans="3:33" x14ac:dyDescent="0.2">
      <c r="C99"/>
      <c r="D99"/>
      <c r="E99"/>
      <c r="F99"/>
      <c r="G99"/>
      <c r="H99"/>
      <c r="I99"/>
      <c r="J99"/>
      <c r="K99"/>
      <c r="O99"/>
      <c r="P99"/>
      <c r="R99" s="67"/>
      <c r="W99" s="44"/>
      <c r="Y99"/>
      <c r="Z99"/>
      <c r="AC99"/>
      <c r="AD99" s="106">
        <v>161</v>
      </c>
      <c r="AE99" s="154">
        <v>3.0820025200926958E-3</v>
      </c>
      <c r="AF99" s="154">
        <v>0</v>
      </c>
      <c r="AG99" s="155">
        <v>3.0820025200926958E-3</v>
      </c>
    </row>
    <row r="100" spans="3:33" x14ac:dyDescent="0.2">
      <c r="C100"/>
      <c r="D100"/>
      <c r="E100"/>
      <c r="F100"/>
      <c r="G100"/>
      <c r="H100"/>
      <c r="I100"/>
      <c r="J100"/>
      <c r="K100"/>
      <c r="O100"/>
      <c r="P100"/>
      <c r="R100" s="67"/>
      <c r="W100" s="44"/>
      <c r="Y100"/>
      <c r="Z100"/>
      <c r="AC100"/>
      <c r="AD100" s="106">
        <v>162</v>
      </c>
      <c r="AE100" s="154">
        <v>2.4001473120413772E-3</v>
      </c>
      <c r="AF100" s="154">
        <v>0</v>
      </c>
      <c r="AG100" s="155">
        <v>2.4001473120413772E-3</v>
      </c>
    </row>
    <row r="101" spans="3:33" x14ac:dyDescent="0.2">
      <c r="C101"/>
      <c r="D101"/>
      <c r="E101"/>
      <c r="F101"/>
      <c r="G101"/>
      <c r="H101"/>
      <c r="I101"/>
      <c r="J101"/>
      <c r="K101"/>
      <c r="O101"/>
      <c r="P101"/>
      <c r="R101" s="67"/>
      <c r="W101" s="44"/>
      <c r="Y101"/>
      <c r="Z101"/>
      <c r="AC101"/>
      <c r="AD101" s="106"/>
      <c r="AE101" s="154" t="e">
        <v>#N/A</v>
      </c>
      <c r="AF101" s="154" t="e">
        <v>#N/A</v>
      </c>
      <c r="AG101" s="155" t="e">
        <v>#N/A</v>
      </c>
    </row>
    <row r="102" spans="3:33" x14ac:dyDescent="0.2">
      <c r="C102"/>
      <c r="D102"/>
      <c r="E102"/>
      <c r="F102"/>
      <c r="G102"/>
      <c r="H102"/>
      <c r="I102"/>
      <c r="J102"/>
      <c r="K102"/>
      <c r="O102"/>
      <c r="P102"/>
      <c r="R102" s="67"/>
      <c r="W102" s="44"/>
      <c r="Y102"/>
      <c r="Z102"/>
      <c r="AC102"/>
      <c r="AD102" s="106"/>
      <c r="AE102" s="154" t="e">
        <v>#N/A</v>
      </c>
      <c r="AF102" s="154" t="e">
        <v>#N/A</v>
      </c>
      <c r="AG102" s="155" t="e">
        <v>#N/A</v>
      </c>
    </row>
    <row r="103" spans="3:33" x14ac:dyDescent="0.2">
      <c r="C103"/>
      <c r="D103"/>
      <c r="E103"/>
      <c r="F103"/>
      <c r="G103"/>
      <c r="H103"/>
      <c r="I103"/>
      <c r="J103"/>
      <c r="K103"/>
      <c r="O103"/>
      <c r="P103"/>
      <c r="R103" s="67"/>
      <c r="W103" s="44"/>
      <c r="Y103"/>
      <c r="Z103"/>
      <c r="AC103"/>
      <c r="AD103" s="106"/>
      <c r="AE103" s="154" t="e">
        <v>#N/A</v>
      </c>
      <c r="AF103" s="154" t="e">
        <v>#N/A</v>
      </c>
      <c r="AG103" s="155" t="e">
        <v>#N/A</v>
      </c>
    </row>
    <row r="104" spans="3:33" x14ac:dyDescent="0.2">
      <c r="N104"/>
      <c r="O104"/>
      <c r="P104"/>
    </row>
    <row r="105" spans="3:33" x14ac:dyDescent="0.2">
      <c r="N105"/>
      <c r="O105"/>
      <c r="P105"/>
      <c r="AD105"/>
    </row>
    <row r="106" spans="3:33" x14ac:dyDescent="0.2">
      <c r="N106"/>
      <c r="O106"/>
      <c r="P106"/>
    </row>
    <row r="107" spans="3:33" x14ac:dyDescent="0.2">
      <c r="C107"/>
      <c r="D107"/>
      <c r="E107"/>
      <c r="F107"/>
      <c r="G107"/>
      <c r="H107"/>
      <c r="I107"/>
      <c r="J107"/>
      <c r="K107"/>
      <c r="L107"/>
      <c r="N107"/>
      <c r="O107"/>
      <c r="P107"/>
      <c r="W107" s="44"/>
      <c r="Y107"/>
      <c r="Z107"/>
      <c r="AC107"/>
      <c r="AD107"/>
      <c r="AE107"/>
      <c r="AF107"/>
    </row>
    <row r="108" spans="3:33" x14ac:dyDescent="0.2">
      <c r="C108"/>
      <c r="D108"/>
      <c r="E108"/>
      <c r="F108"/>
      <c r="G108"/>
      <c r="H108"/>
      <c r="I108"/>
      <c r="J108"/>
      <c r="K108"/>
      <c r="L108"/>
      <c r="N108"/>
      <c r="O108"/>
      <c r="P108"/>
      <c r="W108" s="44"/>
      <c r="Y108"/>
      <c r="Z108"/>
      <c r="AC108"/>
      <c r="AD108" s="44"/>
      <c r="AE108"/>
      <c r="AF108"/>
    </row>
    <row r="109" spans="3:33" x14ac:dyDescent="0.2">
      <c r="C109"/>
      <c r="D109"/>
      <c r="E109"/>
      <c r="F109"/>
      <c r="G109"/>
      <c r="H109"/>
      <c r="I109"/>
      <c r="J109"/>
      <c r="K109"/>
      <c r="L109"/>
      <c r="N109"/>
      <c r="O109"/>
      <c r="P109"/>
      <c r="W109" s="44"/>
      <c r="Y109"/>
      <c r="Z109"/>
      <c r="AC109"/>
      <c r="AD109" s="44"/>
      <c r="AE109"/>
      <c r="AF109"/>
    </row>
    <row r="110" spans="3:33" x14ac:dyDescent="0.2">
      <c r="C110"/>
      <c r="D110"/>
      <c r="E110"/>
      <c r="F110"/>
      <c r="G110"/>
      <c r="H110"/>
      <c r="I110"/>
      <c r="J110"/>
      <c r="K110"/>
      <c r="L110"/>
      <c r="N110"/>
      <c r="O110"/>
      <c r="P110"/>
      <c r="W110" s="44"/>
      <c r="Y110"/>
      <c r="Z110"/>
      <c r="AC110"/>
      <c r="AD110" s="44"/>
      <c r="AE110"/>
      <c r="AF110"/>
    </row>
    <row r="111" spans="3:33" x14ac:dyDescent="0.2">
      <c r="C111"/>
      <c r="D111"/>
      <c r="E111"/>
      <c r="F111"/>
      <c r="G111"/>
      <c r="H111"/>
      <c r="I111"/>
      <c r="J111"/>
      <c r="K111"/>
      <c r="L111"/>
      <c r="N111"/>
      <c r="O111"/>
      <c r="P111"/>
      <c r="W111" s="44"/>
      <c r="Y111"/>
      <c r="Z111"/>
      <c r="AC111"/>
      <c r="AD111" s="44"/>
      <c r="AE111"/>
      <c r="AF111"/>
    </row>
    <row r="112" spans="3:33" x14ac:dyDescent="0.2">
      <c r="C112"/>
      <c r="D112"/>
      <c r="E112"/>
      <c r="F112"/>
      <c r="G112"/>
      <c r="H112"/>
      <c r="I112"/>
      <c r="J112"/>
      <c r="K112"/>
      <c r="L112"/>
      <c r="N112"/>
      <c r="O112"/>
      <c r="P112"/>
      <c r="W112" s="44"/>
      <c r="Y112"/>
      <c r="Z112"/>
      <c r="AC112"/>
      <c r="AD112" s="44"/>
      <c r="AE112"/>
      <c r="AF112"/>
    </row>
    <row r="113" spans="17:30" customFormat="1" x14ac:dyDescent="0.2">
      <c r="Q113" s="38"/>
      <c r="V113" s="8"/>
      <c r="W113" s="44"/>
      <c r="AB113" s="38"/>
      <c r="AD113" s="44"/>
    </row>
    <row r="114" spans="17:30" customFormat="1" x14ac:dyDescent="0.2">
      <c r="Q114" s="38"/>
      <c r="V114" s="8"/>
      <c r="W114" s="44"/>
      <c r="AB114" s="38"/>
      <c r="AD114" s="44"/>
    </row>
    <row r="115" spans="17:30" customFormat="1" x14ac:dyDescent="0.2">
      <c r="Q115" s="38"/>
      <c r="V115" s="8"/>
      <c r="W115" s="44"/>
      <c r="AB115" s="38"/>
      <c r="AD115" s="44"/>
    </row>
    <row r="116" spans="17:30" customFormat="1" x14ac:dyDescent="0.2">
      <c r="Q116" s="38"/>
      <c r="V116" s="8"/>
      <c r="W116" s="44"/>
      <c r="AB116" s="38"/>
      <c r="AD116" s="44"/>
    </row>
    <row r="117" spans="17:30" customFormat="1" x14ac:dyDescent="0.2">
      <c r="Q117" s="38"/>
      <c r="V117" s="8"/>
      <c r="W117" s="44"/>
      <c r="AB117" s="38"/>
      <c r="AD117" s="44"/>
    </row>
    <row r="118" spans="17:30" customFormat="1" x14ac:dyDescent="0.2">
      <c r="Q118" s="38"/>
      <c r="V118" s="8"/>
      <c r="W118" s="44"/>
      <c r="AB118" s="38"/>
      <c r="AD118" s="44"/>
    </row>
    <row r="119" spans="17:30" customFormat="1" x14ac:dyDescent="0.2">
      <c r="Q119" s="38"/>
      <c r="V119" s="8"/>
      <c r="W119" s="44"/>
      <c r="AB119" s="38"/>
      <c r="AD119" s="44"/>
    </row>
    <row r="120" spans="17:30" customFormat="1" x14ac:dyDescent="0.2">
      <c r="Q120" s="38"/>
      <c r="V120" s="8"/>
      <c r="W120" s="44"/>
      <c r="AB120" s="38"/>
      <c r="AD120" s="44"/>
    </row>
    <row r="121" spans="17:30" customFormat="1" x14ac:dyDescent="0.2">
      <c r="Q121" s="38"/>
      <c r="V121" s="8"/>
      <c r="W121" s="44"/>
      <c r="AB121" s="38"/>
      <c r="AD121" s="44"/>
    </row>
    <row r="122" spans="17:30" customFormat="1" x14ac:dyDescent="0.2">
      <c r="Q122" s="38"/>
      <c r="V122" s="8"/>
      <c r="W122" s="44"/>
      <c r="AB122" s="38"/>
      <c r="AD122" s="44"/>
    </row>
    <row r="123" spans="17:30" customFormat="1" x14ac:dyDescent="0.2">
      <c r="Q123" s="38"/>
      <c r="V123" s="8"/>
      <c r="W123" s="44"/>
      <c r="AB123" s="38"/>
      <c r="AD123" s="44"/>
    </row>
    <row r="124" spans="17:30" customFormat="1" x14ac:dyDescent="0.2">
      <c r="Q124" s="38"/>
      <c r="V124" s="8"/>
      <c r="W124" s="44"/>
      <c r="AB124" s="38"/>
      <c r="AD124" s="44"/>
    </row>
    <row r="125" spans="17:30" customFormat="1" x14ac:dyDescent="0.2">
      <c r="Q125" s="38"/>
      <c r="V125" s="8"/>
      <c r="W125" s="44"/>
      <c r="AB125" s="38"/>
      <c r="AD125" s="44"/>
    </row>
    <row r="126" spans="17:30" customFormat="1" x14ac:dyDescent="0.2">
      <c r="Q126" s="38"/>
      <c r="V126" s="8"/>
      <c r="W126" s="44"/>
      <c r="AB126" s="38"/>
      <c r="AD126" s="44"/>
    </row>
    <row r="127" spans="17:30" customFormat="1" x14ac:dyDescent="0.2">
      <c r="Q127" s="38"/>
      <c r="V127" s="8"/>
      <c r="W127" s="44"/>
      <c r="AB127" s="38"/>
      <c r="AD127" s="44"/>
    </row>
    <row r="128" spans="17:30" customFormat="1" x14ac:dyDescent="0.2">
      <c r="Q128" s="38"/>
      <c r="V128" s="8"/>
      <c r="W128" s="44"/>
      <c r="AB128" s="38"/>
      <c r="AD128" s="44"/>
    </row>
    <row r="129" spans="17:30" customFormat="1" x14ac:dyDescent="0.2">
      <c r="Q129" s="38"/>
      <c r="V129" s="8"/>
      <c r="W129" s="44"/>
      <c r="AB129" s="38"/>
      <c r="AD129" s="44"/>
    </row>
    <row r="130" spans="17:30" customFormat="1" x14ac:dyDescent="0.2">
      <c r="Q130" s="38"/>
      <c r="V130" s="8"/>
      <c r="W130" s="44"/>
      <c r="AB130" s="38"/>
      <c r="AD130" s="44"/>
    </row>
    <row r="131" spans="17:30" customFormat="1" x14ac:dyDescent="0.2">
      <c r="Q131" s="38"/>
      <c r="V131" s="8"/>
      <c r="W131" s="44"/>
      <c r="AB131" s="38"/>
      <c r="AD131" s="44"/>
    </row>
  </sheetData>
  <mergeCells count="2">
    <mergeCell ref="AB1:AB11"/>
    <mergeCell ref="Q1:Q11"/>
  </mergeCells>
  <pageMargins left="0.25" right="0.25" top="0.75" bottom="0.75" header="0.3" footer="0.3"/>
  <pageSetup scale="31"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1026" r:id="rId4">
          <objectPr defaultSize="0" autoPict="0" r:id="rId5">
            <anchor moveWithCells="1" sizeWithCells="1">
              <from>
                <xdr:col>28</xdr:col>
                <xdr:colOff>0</xdr:colOff>
                <xdr:row>20</xdr:row>
                <xdr:rowOff>0</xdr:rowOff>
              </from>
              <to>
                <xdr:col>29</xdr:col>
                <xdr:colOff>342900</xdr:colOff>
                <xdr:row>21</xdr:row>
                <xdr:rowOff>0</xdr:rowOff>
              </to>
            </anchor>
          </objectPr>
        </oleObject>
      </mc:Choice>
      <mc:Fallback>
        <oleObject progId="Equation.DSMT4" shapeId="1026" r:id="rId4"/>
      </mc:Fallback>
    </mc:AlternateContent>
    <mc:AlternateContent xmlns:mc="http://schemas.openxmlformats.org/markup-compatibility/2006">
      <mc:Choice Requires="x14">
        <oleObject progId="Equation.DSMT4" shapeId="1027" r:id="rId6">
          <objectPr defaultSize="0" autoPict="0" r:id="rId7">
            <anchor moveWithCells="1" sizeWithCells="1">
              <from>
                <xdr:col>28</xdr:col>
                <xdr:colOff>0</xdr:colOff>
                <xdr:row>21</xdr:row>
                <xdr:rowOff>0</xdr:rowOff>
              </from>
              <to>
                <xdr:col>29</xdr:col>
                <xdr:colOff>215900</xdr:colOff>
                <xdr:row>22</xdr:row>
                <xdr:rowOff>0</xdr:rowOff>
              </to>
            </anchor>
          </objectPr>
        </oleObject>
      </mc:Choice>
      <mc:Fallback>
        <oleObject progId="Equation.DSMT4" shapeId="1027" r:id="rId6"/>
      </mc:Fallback>
    </mc:AlternateContent>
    <mc:AlternateContent xmlns:mc="http://schemas.openxmlformats.org/markup-compatibility/2006">
      <mc:Choice Requires="x14">
        <oleObject progId="Equation.DSMT4" shapeId="1028" r:id="rId8">
          <objectPr defaultSize="0" autoPict="0" r:id="rId9">
            <anchor moveWithCells="1" sizeWithCells="1">
              <from>
                <xdr:col>28</xdr:col>
                <xdr:colOff>0</xdr:colOff>
                <xdr:row>22</xdr:row>
                <xdr:rowOff>0</xdr:rowOff>
              </from>
              <to>
                <xdr:col>29</xdr:col>
                <xdr:colOff>152400</xdr:colOff>
                <xdr:row>23</xdr:row>
                <xdr:rowOff>0</xdr:rowOff>
              </to>
            </anchor>
          </objectPr>
        </oleObject>
      </mc:Choice>
      <mc:Fallback>
        <oleObject progId="Equation.DSMT4" shapeId="1028" r:id="rId8"/>
      </mc:Fallback>
    </mc:AlternateContent>
    <mc:AlternateContent xmlns:mc="http://schemas.openxmlformats.org/markup-compatibility/2006">
      <mc:Choice Requires="x14">
        <oleObject progId="Equation.DSMT4" shapeId="1029" r:id="rId10">
          <objectPr defaultSize="0" autoPict="0" r:id="rId11">
            <anchor moveWithCells="1" sizeWithCells="1">
              <from>
                <xdr:col>28</xdr:col>
                <xdr:colOff>0</xdr:colOff>
                <xdr:row>23</xdr:row>
                <xdr:rowOff>0</xdr:rowOff>
              </from>
              <to>
                <xdr:col>29</xdr:col>
                <xdr:colOff>482600</xdr:colOff>
                <xdr:row>24</xdr:row>
                <xdr:rowOff>0</xdr:rowOff>
              </to>
            </anchor>
          </objectPr>
        </oleObject>
      </mc:Choice>
      <mc:Fallback>
        <oleObject progId="Equation.DSMT4" shapeId="1029" r:id="rId10"/>
      </mc:Fallback>
    </mc:AlternateContent>
    <mc:AlternateContent xmlns:mc="http://schemas.openxmlformats.org/markup-compatibility/2006">
      <mc:Choice Requires="x14">
        <oleObject progId="Equation.DSMT4" shapeId="1030" r:id="rId12">
          <objectPr defaultSize="0" autoPict="0" r:id="rId13">
            <anchor moveWithCells="1" sizeWithCells="1">
              <from>
                <xdr:col>28</xdr:col>
                <xdr:colOff>0</xdr:colOff>
                <xdr:row>24</xdr:row>
                <xdr:rowOff>0</xdr:rowOff>
              </from>
              <to>
                <xdr:col>30</xdr:col>
                <xdr:colOff>101600</xdr:colOff>
                <xdr:row>25</xdr:row>
                <xdr:rowOff>0</xdr:rowOff>
              </to>
            </anchor>
          </objectPr>
        </oleObject>
      </mc:Choice>
      <mc:Fallback>
        <oleObject progId="Equation.DSMT4" shapeId="1030" r:id="rId12"/>
      </mc:Fallback>
    </mc:AlternateContent>
    <mc:AlternateContent xmlns:mc="http://schemas.openxmlformats.org/markup-compatibility/2006">
      <mc:Choice Requires="x14">
        <oleObject progId="Equation.DSMT4" shapeId="1031" r:id="rId14">
          <objectPr defaultSize="0" autoPict="0" r:id="rId15">
            <anchor moveWithCells="1" sizeWithCells="1">
              <from>
                <xdr:col>28</xdr:col>
                <xdr:colOff>0</xdr:colOff>
                <xdr:row>25</xdr:row>
                <xdr:rowOff>0</xdr:rowOff>
              </from>
              <to>
                <xdr:col>29</xdr:col>
                <xdr:colOff>355600</xdr:colOff>
                <xdr:row>26</xdr:row>
                <xdr:rowOff>0</xdr:rowOff>
              </to>
            </anchor>
          </objectPr>
        </oleObject>
      </mc:Choice>
      <mc:Fallback>
        <oleObject progId="Equation.DSMT4" shapeId="1031" r:id="rId14"/>
      </mc:Fallback>
    </mc:AlternateContent>
    <mc:AlternateContent xmlns:mc="http://schemas.openxmlformats.org/markup-compatibility/2006">
      <mc:Choice Requires="x14">
        <oleObject progId="Equation.DSMT4" shapeId="1034" r:id="rId16">
          <objectPr defaultSize="0" autoPict="0" r:id="rId17">
            <anchor moveWithCells="1" sizeWithCells="1">
              <from>
                <xdr:col>27</xdr:col>
                <xdr:colOff>228600</xdr:colOff>
                <xdr:row>26</xdr:row>
                <xdr:rowOff>0</xdr:rowOff>
              </from>
              <to>
                <xdr:col>29</xdr:col>
                <xdr:colOff>342900</xdr:colOff>
                <xdr:row>27</xdr:row>
                <xdr:rowOff>0</xdr:rowOff>
              </to>
            </anchor>
          </objectPr>
        </oleObject>
      </mc:Choice>
      <mc:Fallback>
        <oleObject progId="Equation.DSMT4" shapeId="1034" r:id="rId16"/>
      </mc:Fallback>
    </mc:AlternateContent>
    <mc:AlternateContent xmlns:mc="http://schemas.openxmlformats.org/markup-compatibility/2006">
      <mc:Choice Requires="x14">
        <oleObject progId="Equation.DSMT4" shapeId="1036" r:id="rId18">
          <objectPr defaultSize="0" autoPict="0" r:id="rId19">
            <anchor moveWithCells="1" sizeWithCells="1">
              <from>
                <xdr:col>28</xdr:col>
                <xdr:colOff>0</xdr:colOff>
                <xdr:row>27</xdr:row>
                <xdr:rowOff>25400</xdr:rowOff>
              </from>
              <to>
                <xdr:col>30</xdr:col>
                <xdr:colOff>0</xdr:colOff>
                <xdr:row>28</xdr:row>
                <xdr:rowOff>25400</xdr:rowOff>
              </to>
            </anchor>
          </objectPr>
        </oleObject>
      </mc:Choice>
      <mc:Fallback>
        <oleObject progId="Equation.DSMT4" shapeId="1036" r:id="rId18"/>
      </mc:Fallback>
    </mc:AlternateContent>
    <mc:AlternateContent xmlns:mc="http://schemas.openxmlformats.org/markup-compatibility/2006">
      <mc:Choice Requires="x14">
        <oleObject progId="Equation.DSMT4" shapeId="1038" r:id="rId20">
          <objectPr defaultSize="0" autoPict="0" r:id="rId21">
            <anchor moveWithCells="1" sizeWithCells="1">
              <from>
                <xdr:col>27</xdr:col>
                <xdr:colOff>228600</xdr:colOff>
                <xdr:row>28</xdr:row>
                <xdr:rowOff>12700</xdr:rowOff>
              </from>
              <to>
                <xdr:col>30</xdr:col>
                <xdr:colOff>76200</xdr:colOff>
                <xdr:row>29</xdr:row>
                <xdr:rowOff>12700</xdr:rowOff>
              </to>
            </anchor>
          </objectPr>
        </oleObject>
      </mc:Choice>
      <mc:Fallback>
        <oleObject progId="Equation.DSMT4" shapeId="1038" r:id="rId20"/>
      </mc:Fallback>
    </mc:AlternateContent>
    <mc:AlternateContent xmlns:mc="http://schemas.openxmlformats.org/markup-compatibility/2006">
      <mc:Choice Requires="x14">
        <oleObject progId="Equation.DSMT4" shapeId="1045" r:id="rId22">
          <objectPr defaultSize="0" autoPict="0" r:id="rId23">
            <anchor moveWithCells="1" sizeWithCells="1">
              <from>
                <xdr:col>28</xdr:col>
                <xdr:colOff>0</xdr:colOff>
                <xdr:row>29</xdr:row>
                <xdr:rowOff>0</xdr:rowOff>
              </from>
              <to>
                <xdr:col>29</xdr:col>
                <xdr:colOff>368300</xdr:colOff>
                <xdr:row>29</xdr:row>
                <xdr:rowOff>177800</xdr:rowOff>
              </to>
            </anchor>
          </objectPr>
        </oleObject>
      </mc:Choice>
      <mc:Fallback>
        <oleObject progId="Equation.DSMT4" shapeId="1045" r:id="rId22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4" name="Button 1">
              <controlPr defaultSize="0" print="0" autoFill="0" autoPict="0" macro="[0]!Recycle">
                <anchor moveWithCells="1">
                  <from>
                    <xdr:col>32</xdr:col>
                    <xdr:colOff>0</xdr:colOff>
                    <xdr:row>1</xdr:row>
                    <xdr:rowOff>63500</xdr:rowOff>
                  </from>
                  <to>
                    <xdr:col>32</xdr:col>
                    <xdr:colOff>584200</xdr:colOff>
                    <xdr:row>1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200"/>
  <sheetViews>
    <sheetView workbookViewId="0">
      <pane xSplit="1" ySplit="4" topLeftCell="Q5" activePane="bottomRight" state="frozen"/>
      <selection pane="topRight" activeCell="B1" sqref="B1"/>
      <selection pane="bottomLeft" activeCell="A5" sqref="A5"/>
      <selection pane="bottomRight" activeCell="Z5" sqref="Z5"/>
    </sheetView>
  </sheetViews>
  <sheetFormatPr baseColWidth="10" defaultColWidth="9.1640625" defaultRowHeight="15" x14ac:dyDescent="0.2"/>
  <cols>
    <col min="1" max="1" width="9.1640625" style="5"/>
    <col min="2" max="2" width="9.1640625" style="23"/>
    <col min="3" max="4" width="11.1640625" style="5" customWidth="1"/>
    <col min="5" max="6" width="11.1640625" style="23" customWidth="1"/>
    <col min="7" max="9" width="11.1640625" style="95" customWidth="1"/>
    <col min="10" max="10" width="11.1640625" style="5" customWidth="1"/>
    <col min="11" max="11" width="9.1640625" style="5"/>
    <col min="12" max="12" width="9.1640625" style="53" customWidth="1"/>
    <col min="13" max="16" width="9.1640625" style="5" customWidth="1"/>
    <col min="17" max="17" width="9.33203125" style="53" customWidth="1"/>
    <col min="18" max="24" width="9.33203125" style="5" customWidth="1"/>
    <col min="25" max="25" width="11.6640625" style="53" customWidth="1"/>
    <col min="26" max="26" width="11.6640625" style="5" customWidth="1"/>
    <col min="27" max="27" width="2.6640625" style="110" customWidth="1"/>
    <col min="28" max="28" width="9.33203125" style="52" customWidth="1"/>
    <col min="29" max="29" width="9.33203125" customWidth="1"/>
    <col min="30" max="34" width="9.1640625" customWidth="1"/>
    <col min="41" max="16384" width="9.1640625" style="5"/>
  </cols>
  <sheetData>
    <row r="1" spans="1:40" x14ac:dyDescent="0.2">
      <c r="A1" s="21" t="s">
        <v>25</v>
      </c>
      <c r="B1" s="23" t="s">
        <v>11</v>
      </c>
      <c r="C1" s="85">
        <f>+IO!N3</f>
        <v>0</v>
      </c>
      <c r="D1" s="85">
        <f>+IO!N4</f>
        <v>26367.361780034658</v>
      </c>
      <c r="E1" s="25">
        <f>+IO!N5</f>
        <v>15.021419788154544</v>
      </c>
      <c r="F1" s="25">
        <f>+IO!N6</f>
        <v>2992.8584414398101</v>
      </c>
      <c r="G1" s="92">
        <f>+IO!N7</f>
        <v>0</v>
      </c>
      <c r="H1" s="92">
        <f>+IO!N8</f>
        <v>5.8628124291333172</v>
      </c>
      <c r="I1" s="92">
        <f>+IO!N9</f>
        <v>0</v>
      </c>
      <c r="J1" s="85">
        <f>+IO!N10</f>
        <v>0</v>
      </c>
      <c r="K1" s="23">
        <f>SUM(B1:J1)</f>
        <v>29381.104453691754</v>
      </c>
      <c r="L1" s="52" t="s">
        <v>118</v>
      </c>
      <c r="M1" s="103">
        <v>1</v>
      </c>
      <c r="N1" t="s">
        <v>119</v>
      </c>
      <c r="O1"/>
      <c r="P1"/>
      <c r="Q1" s="107"/>
      <c r="R1" s="114"/>
      <c r="S1" s="114"/>
      <c r="T1" s="114"/>
      <c r="U1" s="114"/>
      <c r="V1" s="114"/>
      <c r="W1" s="114"/>
      <c r="X1" s="105"/>
      <c r="Y1" s="107"/>
      <c r="Z1" s="105"/>
      <c r="AA1" s="109"/>
    </row>
    <row r="2" spans="1:40" x14ac:dyDescent="0.2">
      <c r="A2" s="69">
        <f>+IO!M18</f>
        <v>22</v>
      </c>
      <c r="B2" s="23" t="s">
        <v>21</v>
      </c>
      <c r="C2" s="22">
        <f>+C199*$A$2</f>
        <v>0</v>
      </c>
      <c r="D2" s="22">
        <f>+D199*$A$2</f>
        <v>26367.361780034662</v>
      </c>
      <c r="E2" s="25">
        <f t="shared" ref="E2:J2" si="0">+E199*$A$2</f>
        <v>1.6876193269196522</v>
      </c>
      <c r="F2" s="25">
        <f t="shared" si="0"/>
        <v>2986.1897906395866</v>
      </c>
      <c r="G2" s="92">
        <f t="shared" si="0"/>
        <v>13.333800461234897</v>
      </c>
      <c r="H2" s="92">
        <f t="shared" si="0"/>
        <v>5.5187429789007743</v>
      </c>
      <c r="I2" s="92">
        <f t="shared" si="0"/>
        <v>0.34406945023254354</v>
      </c>
      <c r="J2" s="22">
        <f t="shared" si="0"/>
        <v>0</v>
      </c>
      <c r="K2" s="23">
        <f>SUM(B2:J2)</f>
        <v>29374.435802891534</v>
      </c>
      <c r="L2" s="52"/>
      <c r="M2"/>
      <c r="N2"/>
      <c r="O2"/>
      <c r="P2"/>
      <c r="AB2" s="52">
        <f>+k1f</f>
        <v>0</v>
      </c>
      <c r="AC2">
        <f>+k2f</f>
        <v>0</v>
      </c>
      <c r="AD2">
        <f>+k3f</f>
        <v>0</v>
      </c>
      <c r="AE2">
        <f>+k4f</f>
        <v>1246.7240357154801</v>
      </c>
      <c r="AF2">
        <f>+k5f</f>
        <v>1246.7240357154801</v>
      </c>
      <c r="AG2">
        <f>+k6f</f>
        <v>0</v>
      </c>
    </row>
    <row r="3" spans="1:40" x14ac:dyDescent="0.2">
      <c r="C3" s="5" t="s">
        <v>26</v>
      </c>
      <c r="F3" s="46">
        <f>1-F1/F2</f>
        <v>-2.2331637530630388E-3</v>
      </c>
      <c r="G3" s="93"/>
      <c r="H3" s="91">
        <f t="shared" ref="H3" si="1">1-H1/H2</f>
        <v>-6.2345619563727972E-2</v>
      </c>
      <c r="I3" s="93"/>
      <c r="L3" s="53" t="s">
        <v>123</v>
      </c>
      <c r="Q3" s="53" t="s">
        <v>128</v>
      </c>
      <c r="AB3" s="52">
        <f>+IO!AT21</f>
        <v>0</v>
      </c>
      <c r="AC3">
        <f>+IO!AT22</f>
        <v>0</v>
      </c>
      <c r="AD3">
        <f>+IO!AT23</f>
        <v>0</v>
      </c>
      <c r="AE3">
        <f>+IO!AT24</f>
        <v>12.4672403571548</v>
      </c>
      <c r="AF3">
        <f>+IO!AT25</f>
        <v>12.4672403571548</v>
      </c>
      <c r="AG3">
        <f>+IO!AT26</f>
        <v>0</v>
      </c>
    </row>
    <row r="4" spans="1:40" s="6" customFormat="1" x14ac:dyDescent="0.2">
      <c r="A4" s="6" t="s">
        <v>18</v>
      </c>
      <c r="B4" s="24" t="s">
        <v>19</v>
      </c>
      <c r="C4" s="86" t="s">
        <v>32</v>
      </c>
      <c r="D4" s="86" t="s">
        <v>31</v>
      </c>
      <c r="E4" s="90" t="s">
        <v>27</v>
      </c>
      <c r="F4" s="90" t="s">
        <v>35</v>
      </c>
      <c r="G4" s="94" t="s">
        <v>34</v>
      </c>
      <c r="H4" s="94" t="s">
        <v>86</v>
      </c>
      <c r="I4" s="94" t="s">
        <v>88</v>
      </c>
      <c r="J4" s="11" t="s">
        <v>43</v>
      </c>
      <c r="K4" s="11" t="s">
        <v>8</v>
      </c>
      <c r="L4" s="11" t="s">
        <v>120</v>
      </c>
      <c r="M4" s="11" t="s">
        <v>121</v>
      </c>
      <c r="N4" s="11" t="s">
        <v>122</v>
      </c>
      <c r="O4" s="11" t="s">
        <v>172</v>
      </c>
      <c r="P4" s="11" t="s">
        <v>173</v>
      </c>
      <c r="Q4" s="108" t="s">
        <v>127</v>
      </c>
      <c r="R4" s="11" t="s">
        <v>124</v>
      </c>
      <c r="S4" s="11" t="s">
        <v>175</v>
      </c>
      <c r="T4" s="11" t="s">
        <v>129</v>
      </c>
      <c r="U4" s="11" t="s">
        <v>125</v>
      </c>
      <c r="V4" s="11" t="s">
        <v>126</v>
      </c>
      <c r="W4" s="11" t="s">
        <v>176</v>
      </c>
      <c r="X4" s="104" t="s">
        <v>174</v>
      </c>
      <c r="Y4" s="108" t="s">
        <v>154</v>
      </c>
      <c r="Z4" s="104" t="s">
        <v>177</v>
      </c>
      <c r="AA4" s="111"/>
      <c r="AB4" s="106" t="s">
        <v>130</v>
      </c>
      <c r="AC4" s="44" t="s">
        <v>131</v>
      </c>
      <c r="AD4" s="44" t="s">
        <v>132</v>
      </c>
      <c r="AE4" s="44" t="s">
        <v>133</v>
      </c>
      <c r="AF4" s="44" t="s">
        <v>134</v>
      </c>
      <c r="AG4" s="44" t="s">
        <v>135</v>
      </c>
      <c r="AH4" s="44"/>
      <c r="AI4" s="44"/>
      <c r="AJ4" s="44"/>
      <c r="AK4" s="44"/>
      <c r="AL4" s="44"/>
      <c r="AM4"/>
      <c r="AN4"/>
    </row>
    <row r="5" spans="1:40" x14ac:dyDescent="0.2">
      <c r="A5" s="19">
        <v>0</v>
      </c>
      <c r="B5" s="25">
        <v>0.01</v>
      </c>
      <c r="C5" s="32">
        <f>+C1/$A$2</f>
        <v>0</v>
      </c>
      <c r="D5" s="12">
        <f>+D1/$A$2</f>
        <v>1198.51644454703</v>
      </c>
      <c r="E5" s="23">
        <f t="shared" ref="E5:J5" si="2">+E1/$A$2</f>
        <v>0.68279180855247923</v>
      </c>
      <c r="F5" s="23">
        <f t="shared" si="2"/>
        <v>136.03902006544592</v>
      </c>
      <c r="G5" s="95">
        <f t="shared" si="2"/>
        <v>0</v>
      </c>
      <c r="H5" s="95">
        <f t="shared" si="2"/>
        <v>0.26649147405151441</v>
      </c>
      <c r="I5" s="95">
        <f t="shared" si="2"/>
        <v>0</v>
      </c>
      <c r="J5" s="13">
        <f t="shared" si="2"/>
        <v>0</v>
      </c>
      <c r="K5" s="12">
        <f t="shared" ref="K5:K36" si="3">SUM(C5:J5)</f>
        <v>1335.5047478950798</v>
      </c>
      <c r="L5" s="54">
        <f t="shared" ref="L5:L36" si="4">+E5/$K5*P_t</f>
        <v>5.1126123634426853E-4</v>
      </c>
      <c r="M5" s="10">
        <f t="shared" ref="M5:M36" si="5">+F5/$K5*P_t</f>
        <v>0.10186337433832429</v>
      </c>
      <c r="N5" s="10">
        <f t="shared" ref="N5:N36" si="6">+G5/$K5*P_t</f>
        <v>0</v>
      </c>
      <c r="O5" s="10">
        <f t="shared" ref="O5:O36" si="7">+H5/$K5*P_t</f>
        <v>1.9954363657002182E-4</v>
      </c>
      <c r="P5" s="10">
        <f t="shared" ref="P5:P36" si="8">+I5/$K5*P_t</f>
        <v>0</v>
      </c>
      <c r="Q5" s="54">
        <f t="shared" ref="Q5:Q36" si="9">1/(1+K1_*L5+K2_*M5+SQRT(K2_*K3_*M5)+1/K6_*N5+K7_*O5+P5/K10_)</f>
        <v>1.7284918050081553E-2</v>
      </c>
      <c r="R5" s="10">
        <f t="shared" ref="R5:R36" si="10">K1_*L5*Q5</f>
        <v>1.1925185501505738E-3</v>
      </c>
      <c r="S5" s="10">
        <f t="shared" ref="S5:S36" si="11">K7_*O5*Q5</f>
        <v>5.2048285713885724E-4</v>
      </c>
      <c r="T5" s="10">
        <f t="shared" ref="T5:T36" si="12">K2_*M5*Q5</f>
        <v>0.29727199151301559</v>
      </c>
      <c r="U5" s="10">
        <f t="shared" ref="U5:U36" si="13">SQRT(K2_*K3_*M5)*Q5</f>
        <v>0.6837300890296133</v>
      </c>
      <c r="V5" s="10">
        <f t="shared" ref="V5:V36" si="14">N5/K6_*Q5</f>
        <v>0</v>
      </c>
      <c r="W5" s="10">
        <f t="shared" ref="W5:W36" si="15">P5/K10_*Q5</f>
        <v>0</v>
      </c>
      <c r="X5" s="163">
        <f>SUM(Q5:W5)</f>
        <v>0.99999999999999989</v>
      </c>
      <c r="Y5" s="54">
        <f t="shared" ref="Y5:Y36" si="16">(k4f*K1_*SQRT(K2_*K3_*M5)*L5+k5f*K1_*K2_*L5*M5-k4r/K6_*N5-k5r/K6_*SQRT(K2_*K3_*M5)*N5)*Q5*Q5</f>
        <v>1.4584965434877712</v>
      </c>
      <c r="Z5" s="54">
        <f t="shared" ref="Z5:Z36" si="17">(k8f*K7_*SQRT(K2_*K3_*M5)*O5+k9f*K7_*K2_*O5*M5-k8r/K10_*P5-k9r/K10_*SQRT(K2_*K3_*M5)*P5)*Q5*Q5</f>
        <v>1.5914269173964039E-2</v>
      </c>
      <c r="AA5" s="112"/>
      <c r="AB5" s="52">
        <f>k1f*L5*Q5-k1r*R5</f>
        <v>0</v>
      </c>
      <c r="AC5" s="54">
        <f>k2f*M5*Q5-k2r*T5</f>
        <v>0</v>
      </c>
      <c r="AD5">
        <f>k3f*T5*Q5-k3r*U5*U5</f>
        <v>0</v>
      </c>
      <c r="AE5">
        <f>k4f*R5*U5-k4r*V5*Q5</f>
        <v>1.0165299251727156</v>
      </c>
      <c r="AF5">
        <f>k5f*R5*T5-k5r*V5*U5</f>
        <v>0.44196661831505529</v>
      </c>
      <c r="AG5">
        <f>k6f*V5-k6r*Q5*N5</f>
        <v>0</v>
      </c>
    </row>
    <row r="6" spans="1:40" x14ac:dyDescent="0.2">
      <c r="A6" s="20">
        <f>+A5+B6</f>
        <v>0.01</v>
      </c>
      <c r="B6" s="23">
        <f>MIN(B5,1-A5)</f>
        <v>0.01</v>
      </c>
      <c r="C6" s="12">
        <f>+C5</f>
        <v>0</v>
      </c>
      <c r="D6" s="12">
        <f>+D5</f>
        <v>1198.51644454703</v>
      </c>
      <c r="E6" s="23">
        <f t="shared" ref="E6:E37" si="18">+E5-$B5*$Y5</f>
        <v>0.66820684311760148</v>
      </c>
      <c r="F6" s="23">
        <f>+F5-$B5*(Y5/2+Z5/2)</f>
        <v>136.03164801138263</v>
      </c>
      <c r="G6" s="95">
        <f t="shared" ref="G6:G37" si="19">+G5+$B5*$Y5</f>
        <v>1.4584965434877712E-2</v>
      </c>
      <c r="H6" s="95">
        <f t="shared" ref="H6:H37" si="20">+H5-$B5*$Z5</f>
        <v>0.26633233135977474</v>
      </c>
      <c r="I6" s="95">
        <f t="shared" ref="I6:I37" si="21">+I5+$B5*$Z5</f>
        <v>1.591426917396404E-4</v>
      </c>
      <c r="J6" s="12">
        <f>+J5</f>
        <v>0</v>
      </c>
      <c r="K6" s="12">
        <f t="shared" si="3"/>
        <v>1335.4973758410165</v>
      </c>
      <c r="L6" s="54">
        <f t="shared" si="4"/>
        <v>5.0034305960115029E-4</v>
      </c>
      <c r="M6" s="10">
        <f t="shared" si="5"/>
        <v>0.10185841655115048</v>
      </c>
      <c r="N6" s="10">
        <f t="shared" si="6"/>
        <v>1.0920998946698021E-5</v>
      </c>
      <c r="O6" s="10">
        <f t="shared" si="7"/>
        <v>1.994255744546518E-4</v>
      </c>
      <c r="P6" s="10">
        <f t="shared" si="8"/>
        <v>1.1916361246267656E-7</v>
      </c>
      <c r="Q6" s="54">
        <f t="shared" si="9"/>
        <v>1.7285901274647131E-2</v>
      </c>
      <c r="R6" s="10">
        <f t="shared" si="10"/>
        <v>1.1671182520984079E-3</v>
      </c>
      <c r="S6" s="10">
        <f t="shared" si="11"/>
        <v>5.2020449722647876E-4</v>
      </c>
      <c r="T6" s="10">
        <f t="shared" si="12"/>
        <v>0.29727443201555975</v>
      </c>
      <c r="U6" s="10">
        <f t="shared" si="13"/>
        <v>0.68375234186288403</v>
      </c>
      <c r="V6" s="10">
        <f t="shared" si="14"/>
        <v>2.0749437419169877E-9</v>
      </c>
      <c r="W6" s="10">
        <f t="shared" si="15"/>
        <v>2.264058381018438E-11</v>
      </c>
      <c r="X6" s="163">
        <f t="shared" ref="X6:X69" si="22">SUM(Q6:W6)</f>
        <v>1.0000000000000002</v>
      </c>
      <c r="Y6" s="54">
        <f t="shared" si="16"/>
        <v>1.4274669040919448</v>
      </c>
      <c r="Z6" s="54">
        <f t="shared" si="17"/>
        <v>1.5906158413659503E-2</v>
      </c>
      <c r="AA6" s="113"/>
    </row>
    <row r="7" spans="1:40" x14ac:dyDescent="0.2">
      <c r="A7" s="20">
        <f t="shared" ref="A7:A70" si="23">+A6+B7</f>
        <v>0.02</v>
      </c>
      <c r="B7" s="23">
        <f t="shared" ref="B7:B70" si="24">MIN(B6,1-A6)</f>
        <v>0.01</v>
      </c>
      <c r="C7" s="12">
        <f t="shared" ref="C7:C70" si="25">+C6</f>
        <v>0</v>
      </c>
      <c r="D7" s="12">
        <f t="shared" ref="D7:D70" si="26">+D6</f>
        <v>1198.51644454703</v>
      </c>
      <c r="E7" s="23">
        <f t="shared" si="18"/>
        <v>0.65393217407668203</v>
      </c>
      <c r="F7" s="23">
        <f t="shared" ref="F7:F38" si="27">+F6-$B6*(Y6/2)</f>
        <v>136.02451067686218</v>
      </c>
      <c r="G7" s="95">
        <f t="shared" si="19"/>
        <v>2.8859634475797161E-2</v>
      </c>
      <c r="H7" s="95">
        <f t="shared" si="20"/>
        <v>0.26617326977563815</v>
      </c>
      <c r="I7" s="95">
        <f t="shared" si="21"/>
        <v>3.1820427587623542E-4</v>
      </c>
      <c r="J7" s="12">
        <f t="shared" ref="J7:J70" si="28">+J6</f>
        <v>0</v>
      </c>
      <c r="K7" s="12">
        <f t="shared" si="3"/>
        <v>1335.4902385064963</v>
      </c>
      <c r="L7" s="54">
        <f t="shared" si="4"/>
        <v>4.8965702273345445E-4</v>
      </c>
      <c r="M7" s="10">
        <f t="shared" si="5"/>
        <v>0.10185361656329359</v>
      </c>
      <c r="N7" s="10">
        <f t="shared" si="6"/>
        <v>2.1609768191245959E-5</v>
      </c>
      <c r="O7" s="10">
        <f t="shared" si="7"/>
        <v>1.9930753673894666E-4</v>
      </c>
      <c r="P7" s="10">
        <f t="shared" si="8"/>
        <v>2.3826776617408242E-7</v>
      </c>
      <c r="Q7" s="54">
        <f t="shared" si="9"/>
        <v>1.7286858138226311E-2</v>
      </c>
      <c r="R7" s="10">
        <f t="shared" si="10"/>
        <v>1.1422548435824605E-3</v>
      </c>
      <c r="S7" s="10">
        <f t="shared" si="11"/>
        <v>5.1992537308830067E-4</v>
      </c>
      <c r="T7" s="10">
        <f t="shared" si="12"/>
        <v>0.29727687811464598</v>
      </c>
      <c r="U7" s="10">
        <f t="shared" si="13"/>
        <v>0.68377407937919255</v>
      </c>
      <c r="V7" s="10">
        <f t="shared" si="14"/>
        <v>4.1059920950341217E-9</v>
      </c>
      <c r="W7" s="10">
        <f t="shared" si="15"/>
        <v>4.5272376628664494E-11</v>
      </c>
      <c r="X7" s="163">
        <f t="shared" si="22"/>
        <v>1</v>
      </c>
      <c r="Y7" s="54">
        <f t="shared" si="16"/>
        <v>1.3970916450923296</v>
      </c>
      <c r="Z7" s="54">
        <f t="shared" si="17"/>
        <v>1.5898015596694872E-2</v>
      </c>
      <c r="AA7" s="113"/>
    </row>
    <row r="8" spans="1:40" x14ac:dyDescent="0.2">
      <c r="A8" s="20">
        <f t="shared" si="23"/>
        <v>0.03</v>
      </c>
      <c r="B8" s="23">
        <f t="shared" si="24"/>
        <v>0.01</v>
      </c>
      <c r="C8" s="12">
        <f t="shared" si="25"/>
        <v>0</v>
      </c>
      <c r="D8" s="12">
        <f t="shared" si="26"/>
        <v>1198.51644454703</v>
      </c>
      <c r="E8" s="23">
        <f t="shared" si="18"/>
        <v>0.63996125762575873</v>
      </c>
      <c r="F8" s="23">
        <f t="shared" si="27"/>
        <v>136.01752521863671</v>
      </c>
      <c r="G8" s="95">
        <f t="shared" si="19"/>
        <v>4.2830550926720459E-2</v>
      </c>
      <c r="H8" s="95">
        <f t="shared" si="20"/>
        <v>0.26601428961967122</v>
      </c>
      <c r="I8" s="95">
        <f t="shared" si="21"/>
        <v>4.7718443184318411E-4</v>
      </c>
      <c r="J8" s="12">
        <f t="shared" si="28"/>
        <v>0</v>
      </c>
      <c r="K8" s="12">
        <f t="shared" si="3"/>
        <v>1335.4832530482709</v>
      </c>
      <c r="L8" s="54">
        <f t="shared" si="4"/>
        <v>4.7919826487156063E-4</v>
      </c>
      <c r="M8" s="10">
        <f t="shared" si="5"/>
        <v>0.10184891866533977</v>
      </c>
      <c r="N8" s="10">
        <f t="shared" si="6"/>
        <v>3.2071200315660081E-5</v>
      </c>
      <c r="O8" s="10">
        <f t="shared" si="7"/>
        <v>1.991895360817798E-4</v>
      </c>
      <c r="P8" s="10">
        <f t="shared" si="8"/>
        <v>3.5731217950805436E-7</v>
      </c>
      <c r="Q8" s="54">
        <f t="shared" si="9"/>
        <v>1.7287794870967214E-2</v>
      </c>
      <c r="R8" s="10">
        <f t="shared" si="10"/>
        <v>1.1179175915618097E-3</v>
      </c>
      <c r="S8" s="10">
        <f t="shared" si="11"/>
        <v>5.1964570643710478E-4</v>
      </c>
      <c r="T8" s="10">
        <f t="shared" si="12"/>
        <v>0.29727927447784919</v>
      </c>
      <c r="U8" s="10">
        <f t="shared" si="13"/>
        <v>0.68379536119122908</v>
      </c>
      <c r="V8" s="10">
        <f t="shared" si="14"/>
        <v>6.0940603087125156E-9</v>
      </c>
      <c r="W8" s="10">
        <f t="shared" si="15"/>
        <v>6.7895244004832286E-11</v>
      </c>
      <c r="X8" s="163">
        <f t="shared" si="22"/>
        <v>0.99999999999999989</v>
      </c>
      <c r="Y8" s="54">
        <f t="shared" si="16"/>
        <v>1.367357740512251</v>
      </c>
      <c r="Z8" s="54">
        <f t="shared" si="17"/>
        <v>1.5889847583555328E-2</v>
      </c>
      <c r="AA8" s="113"/>
    </row>
    <row r="9" spans="1:40" x14ac:dyDescent="0.2">
      <c r="A9" s="20">
        <f t="shared" si="23"/>
        <v>0.04</v>
      </c>
      <c r="B9" s="23">
        <f t="shared" si="24"/>
        <v>0.01</v>
      </c>
      <c r="C9" s="12">
        <f t="shared" si="25"/>
        <v>0</v>
      </c>
      <c r="D9" s="12">
        <f t="shared" si="26"/>
        <v>1198.51644454703</v>
      </c>
      <c r="E9" s="23">
        <f t="shared" si="18"/>
        <v>0.62628768022063619</v>
      </c>
      <c r="F9" s="23">
        <f t="shared" si="27"/>
        <v>136.01068842993413</v>
      </c>
      <c r="G9" s="95">
        <f t="shared" si="19"/>
        <v>5.650412833184297E-2</v>
      </c>
      <c r="H9" s="95">
        <f t="shared" si="20"/>
        <v>0.26585539114383566</v>
      </c>
      <c r="I9" s="95">
        <f t="shared" si="21"/>
        <v>6.3608290767873735E-4</v>
      </c>
      <c r="J9" s="12">
        <f t="shared" si="28"/>
        <v>0</v>
      </c>
      <c r="K9" s="12">
        <f t="shared" si="3"/>
        <v>1335.4764162595682</v>
      </c>
      <c r="L9" s="54">
        <f t="shared" si="4"/>
        <v>4.6896199183715765E-4</v>
      </c>
      <c r="M9" s="10">
        <f t="shared" si="5"/>
        <v>0.10184432070382483</v>
      </c>
      <c r="N9" s="10">
        <f t="shared" si="6"/>
        <v>4.2310090724103522E-5</v>
      </c>
      <c r="O9" s="10">
        <f t="shared" si="7"/>
        <v>1.9907157319067401E-4</v>
      </c>
      <c r="P9" s="10">
        <f t="shared" si="8"/>
        <v>4.762966233879984E-7</v>
      </c>
      <c r="Q9" s="54">
        <f t="shared" si="9"/>
        <v>1.7288711892887356E-2</v>
      </c>
      <c r="R9" s="10">
        <f t="shared" si="10"/>
        <v>1.0940955091495316E-3</v>
      </c>
      <c r="S9" s="10">
        <f t="shared" si="11"/>
        <v>5.193655128275191E-4</v>
      </c>
      <c r="T9" s="10">
        <f t="shared" si="12"/>
        <v>0.29728162213784459</v>
      </c>
      <c r="U9" s="10">
        <f t="shared" si="13"/>
        <v>0.68381619681673622</v>
      </c>
      <c r="V9" s="10">
        <f t="shared" si="14"/>
        <v>8.0400458667288859E-9</v>
      </c>
      <c r="W9" s="10">
        <f t="shared" si="15"/>
        <v>9.0509063740343491E-11</v>
      </c>
      <c r="X9" s="163">
        <f t="shared" si="22"/>
        <v>1.0000000000000002</v>
      </c>
      <c r="Y9" s="54">
        <f t="shared" si="16"/>
        <v>1.3382518586386349</v>
      </c>
      <c r="Z9" s="54">
        <f t="shared" si="17"/>
        <v>1.588165503268768E-2</v>
      </c>
      <c r="AA9" s="113"/>
    </row>
    <row r="10" spans="1:40" x14ac:dyDescent="0.2">
      <c r="A10" s="20">
        <f t="shared" si="23"/>
        <v>0.05</v>
      </c>
      <c r="B10" s="23">
        <f t="shared" si="24"/>
        <v>0.01</v>
      </c>
      <c r="C10" s="12">
        <f t="shared" si="25"/>
        <v>0</v>
      </c>
      <c r="D10" s="12">
        <f t="shared" si="26"/>
        <v>1198.51644454703</v>
      </c>
      <c r="E10" s="23">
        <f t="shared" si="18"/>
        <v>0.6129051616342498</v>
      </c>
      <c r="F10" s="23">
        <f t="shared" si="27"/>
        <v>136.00399717064093</v>
      </c>
      <c r="G10" s="95">
        <f t="shared" si="19"/>
        <v>6.9886646918229323E-2</v>
      </c>
      <c r="H10" s="95">
        <f t="shared" si="20"/>
        <v>0.26569657459350876</v>
      </c>
      <c r="I10" s="95">
        <f t="shared" si="21"/>
        <v>7.9489945800561418E-4</v>
      </c>
      <c r="J10" s="12">
        <f t="shared" si="28"/>
        <v>0</v>
      </c>
      <c r="K10" s="12">
        <f t="shared" si="3"/>
        <v>1335.4697250002748</v>
      </c>
      <c r="L10" s="54">
        <f t="shared" si="4"/>
        <v>4.5894350890966372E-4</v>
      </c>
      <c r="M10" s="10">
        <f t="shared" si="5"/>
        <v>0.10183982056995934</v>
      </c>
      <c r="N10" s="10">
        <f t="shared" si="6"/>
        <v>5.2331135337579398E-5</v>
      </c>
      <c r="O10" s="10">
        <f t="shared" si="7"/>
        <v>1.9895364875714729E-4</v>
      </c>
      <c r="P10" s="10">
        <f t="shared" si="8"/>
        <v>5.952208748164999E-7</v>
      </c>
      <c r="Q10" s="54">
        <f t="shared" si="9"/>
        <v>1.7289609615482225E-2</v>
      </c>
      <c r="R10" s="10">
        <f t="shared" si="10"/>
        <v>1.0707778326836358E-3</v>
      </c>
      <c r="S10" s="10">
        <f t="shared" si="11"/>
        <v>5.1908480748636809E-4</v>
      </c>
      <c r="T10" s="10">
        <f t="shared" si="12"/>
        <v>0.29728392210652538</v>
      </c>
      <c r="U10" s="10">
        <f t="shared" si="13"/>
        <v>0.68383659557988052</v>
      </c>
      <c r="V10" s="10">
        <f t="shared" si="14"/>
        <v>9.9448280183918882E-9</v>
      </c>
      <c r="W10" s="10">
        <f t="shared" si="15"/>
        <v>1.1311371700273647E-10</v>
      </c>
      <c r="X10" s="163">
        <f t="shared" si="22"/>
        <v>1</v>
      </c>
      <c r="Y10" s="54">
        <f t="shared" si="16"/>
        <v>1.3097609360600144</v>
      </c>
      <c r="Z10" s="54">
        <f t="shared" si="17"/>
        <v>1.5873438588772555E-2</v>
      </c>
      <c r="AA10" s="113"/>
    </row>
    <row r="11" spans="1:40" x14ac:dyDescent="0.2">
      <c r="A11" s="20">
        <f t="shared" si="23"/>
        <v>6.0000000000000005E-2</v>
      </c>
      <c r="B11" s="23">
        <f t="shared" si="24"/>
        <v>0.01</v>
      </c>
      <c r="C11" s="12">
        <f t="shared" si="25"/>
        <v>0</v>
      </c>
      <c r="D11" s="12">
        <f t="shared" si="26"/>
        <v>1198.51644454703</v>
      </c>
      <c r="E11" s="23">
        <f t="shared" si="18"/>
        <v>0.59980755227364968</v>
      </c>
      <c r="F11" s="23">
        <f t="shared" si="27"/>
        <v>135.99744836596062</v>
      </c>
      <c r="G11" s="95">
        <f t="shared" si="19"/>
        <v>8.2984256278829466E-2</v>
      </c>
      <c r="H11" s="95">
        <f t="shared" si="20"/>
        <v>0.26553784020762106</v>
      </c>
      <c r="I11" s="95">
        <f t="shared" si="21"/>
        <v>9.5363384389333971E-4</v>
      </c>
      <c r="J11" s="12">
        <f t="shared" si="28"/>
        <v>0</v>
      </c>
      <c r="K11" s="12">
        <f t="shared" si="3"/>
        <v>1335.4631761955945</v>
      </c>
      <c r="L11" s="54">
        <f t="shared" si="4"/>
        <v>4.4913821883307451E-4</v>
      </c>
      <c r="M11" s="10">
        <f t="shared" si="5"/>
        <v>0.10183541619873326</v>
      </c>
      <c r="N11" s="10">
        <f t="shared" si="6"/>
        <v>6.2138932587591943E-5</v>
      </c>
      <c r="O11" s="10">
        <f t="shared" si="7"/>
        <v>1.9883576345704486E-4</v>
      </c>
      <c r="P11" s="10">
        <f t="shared" si="8"/>
        <v>7.1408471674225233E-7</v>
      </c>
      <c r="Q11" s="54">
        <f t="shared" si="9"/>
        <v>1.7290488441888009E-2</v>
      </c>
      <c r="R11" s="10">
        <f t="shared" si="10"/>
        <v>1.0479540174526609E-3</v>
      </c>
      <c r="S11" s="10">
        <f t="shared" si="11"/>
        <v>5.1880360531917182E-4</v>
      </c>
      <c r="T11" s="10">
        <f t="shared" si="12"/>
        <v>0.29728617537539342</v>
      </c>
      <c r="U11" s="10">
        <f t="shared" si="13"/>
        <v>0.68385656661496952</v>
      </c>
      <c r="V11" s="10">
        <f t="shared" si="14"/>
        <v>1.1809268127700988E-8</v>
      </c>
      <c r="W11" s="10">
        <f t="shared" si="15"/>
        <v>1.357090882437616E-10</v>
      </c>
      <c r="X11" s="163">
        <f t="shared" si="22"/>
        <v>1</v>
      </c>
      <c r="Y11" s="54">
        <f t="shared" si="16"/>
        <v>1.2818721726389068</v>
      </c>
      <c r="Z11" s="54">
        <f t="shared" si="17"/>
        <v>1.5865198882993745E-2</v>
      </c>
      <c r="AA11" s="113"/>
    </row>
    <row r="12" spans="1:40" x14ac:dyDescent="0.2">
      <c r="A12" s="20">
        <f t="shared" si="23"/>
        <v>7.0000000000000007E-2</v>
      </c>
      <c r="B12" s="23">
        <f t="shared" si="24"/>
        <v>0.01</v>
      </c>
      <c r="C12" s="12">
        <f t="shared" si="25"/>
        <v>0</v>
      </c>
      <c r="D12" s="12">
        <f t="shared" si="26"/>
        <v>1198.51644454703</v>
      </c>
      <c r="E12" s="23">
        <f t="shared" si="18"/>
        <v>0.58698883054726059</v>
      </c>
      <c r="F12" s="23">
        <f t="shared" si="27"/>
        <v>135.99103900509743</v>
      </c>
      <c r="G12" s="95">
        <f t="shared" si="19"/>
        <v>9.5802978005218531E-2</v>
      </c>
      <c r="H12" s="95">
        <f t="shared" si="20"/>
        <v>0.26537918821879114</v>
      </c>
      <c r="I12" s="95">
        <f t="shared" si="21"/>
        <v>1.1122858327232772E-3</v>
      </c>
      <c r="J12" s="12">
        <f t="shared" si="28"/>
        <v>0</v>
      </c>
      <c r="K12" s="12">
        <f t="shared" si="3"/>
        <v>1335.4567668347313</v>
      </c>
      <c r="L12" s="54">
        <f t="shared" si="4"/>
        <v>4.395416198597937E-4</v>
      </c>
      <c r="M12" s="10">
        <f t="shared" si="5"/>
        <v>0.1018311055680374</v>
      </c>
      <c r="N12" s="10">
        <f t="shared" si="6"/>
        <v>7.1737985372816323E-5</v>
      </c>
      <c r="O12" s="10">
        <f t="shared" si="7"/>
        <v>1.9871791795086466E-4</v>
      </c>
      <c r="P12" s="10">
        <f t="shared" si="8"/>
        <v>8.3288793792972525E-7</v>
      </c>
      <c r="Q12" s="54">
        <f t="shared" si="9"/>
        <v>1.7291348767041543E-2</v>
      </c>
      <c r="R12" s="10">
        <f t="shared" si="10"/>
        <v>1.0256137334919905E-3</v>
      </c>
      <c r="S12" s="10">
        <f t="shared" si="11"/>
        <v>5.1852192091652921E-4</v>
      </c>
      <c r="T12" s="10">
        <f t="shared" si="12"/>
        <v>0.2972883829159414</v>
      </c>
      <c r="U12" s="10">
        <f t="shared" si="13"/>
        <v>0.68387611887010347</v>
      </c>
      <c r="V12" s="10">
        <f t="shared" si="14"/>
        <v>1.3634210016727548E-8</v>
      </c>
      <c r="W12" s="10">
        <f t="shared" si="15"/>
        <v>1.5829506511951829E-10</v>
      </c>
      <c r="X12" s="163">
        <f t="shared" si="22"/>
        <v>0.99999999999999989</v>
      </c>
      <c r="Y12" s="54">
        <f t="shared" si="16"/>
        <v>1.2545730265624662</v>
      </c>
      <c r="Z12" s="54">
        <f t="shared" si="17"/>
        <v>1.5856936533302834E-2</v>
      </c>
      <c r="AA12" s="113"/>
    </row>
    <row r="13" spans="1:40" x14ac:dyDescent="0.2">
      <c r="A13" s="20">
        <f t="shared" si="23"/>
        <v>0.08</v>
      </c>
      <c r="B13" s="23">
        <f t="shared" si="24"/>
        <v>0.01</v>
      </c>
      <c r="C13" s="12">
        <f t="shared" si="25"/>
        <v>0</v>
      </c>
      <c r="D13" s="12">
        <f t="shared" si="26"/>
        <v>1198.51644454703</v>
      </c>
      <c r="E13" s="23">
        <f t="shared" si="18"/>
        <v>0.57444310028163592</v>
      </c>
      <c r="F13" s="23">
        <f t="shared" si="27"/>
        <v>135.98476613996462</v>
      </c>
      <c r="G13" s="95">
        <f t="shared" si="19"/>
        <v>0.1083487082708432</v>
      </c>
      <c r="H13" s="95">
        <f t="shared" si="20"/>
        <v>0.2652206188534581</v>
      </c>
      <c r="I13" s="95">
        <f t="shared" si="21"/>
        <v>1.2708551980563055E-3</v>
      </c>
      <c r="J13" s="12">
        <f t="shared" si="28"/>
        <v>0</v>
      </c>
      <c r="K13" s="12">
        <f t="shared" si="3"/>
        <v>1335.4504939695985</v>
      </c>
      <c r="L13" s="54">
        <f t="shared" si="4"/>
        <v>4.3014930383088624E-4</v>
      </c>
      <c r="M13" s="10">
        <f t="shared" si="5"/>
        <v>0.10182688669780095</v>
      </c>
      <c r="N13" s="10">
        <f t="shared" si="6"/>
        <v>8.1132702979336169E-5</v>
      </c>
      <c r="O13" s="10">
        <f t="shared" si="7"/>
        <v>1.986001128840766E-4</v>
      </c>
      <c r="P13" s="10">
        <f t="shared" si="8"/>
        <v>9.5163033283151905E-7</v>
      </c>
      <c r="Q13" s="54">
        <f t="shared" si="9"/>
        <v>1.7292190977837747E-2</v>
      </c>
      <c r="R13" s="10">
        <f t="shared" si="10"/>
        <v>1.0037468614502356E-3</v>
      </c>
      <c r="S13" s="10">
        <f t="shared" si="11"/>
        <v>5.1823976856039359E-4</v>
      </c>
      <c r="T13" s="10">
        <f t="shared" si="12"/>
        <v>0.29729054568003066</v>
      </c>
      <c r="U13" s="10">
        <f t="shared" si="13"/>
        <v>0.68389526111076915</v>
      </c>
      <c r="V13" s="10">
        <f t="shared" si="14"/>
        <v>1.542048030327372E-8</v>
      </c>
      <c r="W13" s="10">
        <f t="shared" si="15"/>
        <v>1.8087153841236808E-10</v>
      </c>
      <c r="X13" s="163">
        <f t="shared" si="22"/>
        <v>1</v>
      </c>
      <c r="Y13" s="54">
        <f t="shared" si="16"/>
        <v>1.2278512094709415</v>
      </c>
      <c r="Z13" s="54">
        <f t="shared" si="17"/>
        <v>1.5848652144679579E-2</v>
      </c>
      <c r="AA13" s="113"/>
    </row>
    <row r="14" spans="1:40" x14ac:dyDescent="0.2">
      <c r="A14" s="20">
        <f t="shared" si="23"/>
        <v>0.09</v>
      </c>
      <c r="B14" s="23">
        <f t="shared" si="24"/>
        <v>0.01</v>
      </c>
      <c r="C14" s="12">
        <f t="shared" si="25"/>
        <v>0</v>
      </c>
      <c r="D14" s="12">
        <f t="shared" si="26"/>
        <v>1198.51644454703</v>
      </c>
      <c r="E14" s="23">
        <f t="shared" si="18"/>
        <v>0.56216458818692649</v>
      </c>
      <c r="F14" s="23">
        <f t="shared" si="27"/>
        <v>135.97862688391726</v>
      </c>
      <c r="G14" s="95">
        <f t="shared" si="19"/>
        <v>0.12062722036555261</v>
      </c>
      <c r="H14" s="95">
        <f t="shared" si="20"/>
        <v>0.26506213233201131</v>
      </c>
      <c r="I14" s="95">
        <f t="shared" si="21"/>
        <v>1.4293417195031014E-3</v>
      </c>
      <c r="J14" s="12">
        <f t="shared" si="28"/>
        <v>0</v>
      </c>
      <c r="K14" s="12">
        <f t="shared" si="3"/>
        <v>1335.4443547135515</v>
      </c>
      <c r="L14" s="54">
        <f t="shared" si="4"/>
        <v>4.2095695429219811E-4</v>
      </c>
      <c r="M14" s="10">
        <f t="shared" si="5"/>
        <v>0.10182275764914535</v>
      </c>
      <c r="N14" s="10">
        <f t="shared" si="6"/>
        <v>9.0327402965005417E-5</v>
      </c>
      <c r="O14" s="10">
        <f t="shared" si="7"/>
        <v>1.984823488874355E-4</v>
      </c>
      <c r="P14" s="10">
        <f t="shared" si="8"/>
        <v>1.0703117014633608E-6</v>
      </c>
      <c r="Q14" s="54">
        <f t="shared" si="9"/>
        <v>1.7293015453284336E-2</v>
      </c>
      <c r="R14" s="10">
        <f t="shared" si="10"/>
        <v>9.8234348852496321E-4</v>
      </c>
      <c r="S14" s="10">
        <f t="shared" si="11"/>
        <v>5.1795716223023357E-4</v>
      </c>
      <c r="T14" s="10">
        <f t="shared" si="12"/>
        <v>0.29729266460026271</v>
      </c>
      <c r="U14" s="10">
        <f t="shared" si="13"/>
        <v>0.68391400192337071</v>
      </c>
      <c r="V14" s="10">
        <f t="shared" si="14"/>
        <v>1.7168888732865966E-8</v>
      </c>
      <c r="W14" s="10">
        <f t="shared" si="15"/>
        <v>2.0343840195458891E-10</v>
      </c>
      <c r="X14" s="163">
        <f t="shared" si="22"/>
        <v>1.0000000000000002</v>
      </c>
      <c r="Y14" s="54">
        <f t="shared" si="16"/>
        <v>1.2016946816633707</v>
      </c>
      <c r="Z14" s="54">
        <f t="shared" si="17"/>
        <v>1.5840346309387649E-2</v>
      </c>
      <c r="AA14" s="113"/>
      <c r="AB14"/>
    </row>
    <row r="15" spans="1:40" x14ac:dyDescent="0.2">
      <c r="A15" s="20">
        <f t="shared" si="23"/>
        <v>9.9999999999999992E-2</v>
      </c>
      <c r="B15" s="23">
        <f t="shared" si="24"/>
        <v>0.01</v>
      </c>
      <c r="C15" s="12">
        <f t="shared" si="25"/>
        <v>0</v>
      </c>
      <c r="D15" s="12">
        <f t="shared" si="26"/>
        <v>1198.51644454703</v>
      </c>
      <c r="E15" s="23">
        <f t="shared" si="18"/>
        <v>0.55014764137029282</v>
      </c>
      <c r="F15" s="23">
        <f t="shared" si="27"/>
        <v>135.97261841050894</v>
      </c>
      <c r="G15" s="95">
        <f t="shared" si="19"/>
        <v>0.13264416718218633</v>
      </c>
      <c r="H15" s="95">
        <f t="shared" si="20"/>
        <v>0.26490372886891744</v>
      </c>
      <c r="I15" s="95">
        <f t="shared" si="21"/>
        <v>1.5877451825969779E-3</v>
      </c>
      <c r="J15" s="12">
        <f t="shared" si="28"/>
        <v>0</v>
      </c>
      <c r="K15" s="12">
        <f t="shared" si="3"/>
        <v>1335.4383462401429</v>
      </c>
      <c r="L15" s="54">
        <f t="shared" si="4"/>
        <v>4.1196034464578978E-4</v>
      </c>
      <c r="M15" s="10">
        <f t="shared" si="5"/>
        <v>0.10181871652355406</v>
      </c>
      <c r="N15" s="10">
        <f t="shared" si="6"/>
        <v>9.9326313008488246E-5</v>
      </c>
      <c r="O15" s="10">
        <f t="shared" si="7"/>
        <v>1.9836462657728835E-4</v>
      </c>
      <c r="P15" s="10">
        <f t="shared" si="8"/>
        <v>1.1889318492816922E-6</v>
      </c>
      <c r="Q15" s="54">
        <f t="shared" si="9"/>
        <v>1.7293822564653973E-2</v>
      </c>
      <c r="R15" s="10">
        <f t="shared" si="10"/>
        <v>9.6139390446707378E-4</v>
      </c>
      <c r="S15" s="10">
        <f t="shared" si="11"/>
        <v>5.1767411560908804E-4</v>
      </c>
      <c r="T15" s="10">
        <f t="shared" si="12"/>
        <v>0.29729474059034411</v>
      </c>
      <c r="U15" s="10">
        <f t="shared" si="13"/>
        <v>0.68393234971870154</v>
      </c>
      <c r="V15" s="10">
        <f t="shared" si="14"/>
        <v>1.8880228505141622E-8</v>
      </c>
      <c r="W15" s="10">
        <f t="shared" si="15"/>
        <v>2.2599555255373912E-10</v>
      </c>
      <c r="X15" s="163">
        <f t="shared" si="22"/>
        <v>0.99999999999999989</v>
      </c>
      <c r="Y15" s="54">
        <f t="shared" si="16"/>
        <v>1.1760916473799559</v>
      </c>
      <c r="Z15" s="54">
        <f t="shared" si="17"/>
        <v>1.583201960722613E-2</v>
      </c>
      <c r="AA15" s="113"/>
    </row>
    <row r="16" spans="1:40" x14ac:dyDescent="0.2">
      <c r="A16" s="20">
        <f t="shared" si="23"/>
        <v>0.10999999999999999</v>
      </c>
      <c r="B16" s="23">
        <f t="shared" si="24"/>
        <v>0.01</v>
      </c>
      <c r="C16" s="12">
        <f t="shared" si="25"/>
        <v>0</v>
      </c>
      <c r="D16" s="12">
        <f t="shared" si="26"/>
        <v>1198.51644454703</v>
      </c>
      <c r="E16" s="23">
        <f t="shared" si="18"/>
        <v>0.53838672489649331</v>
      </c>
      <c r="F16" s="23">
        <f t="shared" si="27"/>
        <v>135.96673795227204</v>
      </c>
      <c r="G16" s="95">
        <f t="shared" si="19"/>
        <v>0.14440508365598589</v>
      </c>
      <c r="H16" s="95">
        <f t="shared" si="20"/>
        <v>0.26474540867284518</v>
      </c>
      <c r="I16" s="95">
        <f t="shared" si="21"/>
        <v>1.7460653786692392E-3</v>
      </c>
      <c r="J16" s="12">
        <f t="shared" si="28"/>
        <v>0</v>
      </c>
      <c r="K16" s="12">
        <f t="shared" si="3"/>
        <v>1335.4324657819061</v>
      </c>
      <c r="L16" s="54">
        <f t="shared" si="4"/>
        <v>4.0315533633613113E-4</v>
      </c>
      <c r="M16" s="10">
        <f t="shared" si="5"/>
        <v>0.10181476146205751</v>
      </c>
      <c r="N16" s="10">
        <f t="shared" si="6"/>
        <v>1.0813357272352638E-4</v>
      </c>
      <c r="O16" s="10">
        <f t="shared" si="7"/>
        <v>1.9824694655587447E-4</v>
      </c>
      <c r="P16" s="10">
        <f t="shared" si="8"/>
        <v>1.3074905870637975E-6</v>
      </c>
      <c r="Q16" s="54">
        <f t="shared" si="9"/>
        <v>1.7294612675633918E-2</v>
      </c>
      <c r="R16" s="10">
        <f t="shared" si="10"/>
        <v>9.4088859765309137E-4</v>
      </c>
      <c r="S16" s="10">
        <f t="shared" si="11"/>
        <v>5.1739064208951118E-4</v>
      </c>
      <c r="T16" s="10">
        <f t="shared" si="12"/>
        <v>0.29729677454544656</v>
      </c>
      <c r="U16" s="10">
        <f t="shared" si="13"/>
        <v>0.68395031273535745</v>
      </c>
      <c r="V16" s="10">
        <f t="shared" si="14"/>
        <v>2.055527659468781E-8</v>
      </c>
      <c r="W16" s="10">
        <f t="shared" si="15"/>
        <v>2.4854288991969829E-10</v>
      </c>
      <c r="X16" s="163">
        <f t="shared" si="22"/>
        <v>1</v>
      </c>
      <c r="Y16" s="54">
        <f t="shared" si="16"/>
        <v>1.1510305501605167</v>
      </c>
      <c r="Z16" s="54">
        <f t="shared" si="17"/>
        <v>1.5823672605776579E-2</v>
      </c>
      <c r="AA16" s="113"/>
    </row>
    <row r="17" spans="1:27" x14ac:dyDescent="0.2">
      <c r="A17" s="20">
        <f t="shared" si="23"/>
        <v>0.11999999999999998</v>
      </c>
      <c r="B17" s="23">
        <f t="shared" si="24"/>
        <v>0.01</v>
      </c>
      <c r="C17" s="12">
        <f t="shared" si="25"/>
        <v>0</v>
      </c>
      <c r="D17" s="12">
        <f t="shared" si="26"/>
        <v>1198.51644454703</v>
      </c>
      <c r="E17" s="23">
        <f t="shared" si="18"/>
        <v>0.52687641939488816</v>
      </c>
      <c r="F17" s="23">
        <f t="shared" si="27"/>
        <v>135.96098279952125</v>
      </c>
      <c r="G17" s="95">
        <f t="shared" si="19"/>
        <v>0.15591538915759107</v>
      </c>
      <c r="H17" s="95">
        <f t="shared" si="20"/>
        <v>0.26458717194678744</v>
      </c>
      <c r="I17" s="95">
        <f t="shared" si="21"/>
        <v>1.9043021047270049E-3</v>
      </c>
      <c r="J17" s="12">
        <f t="shared" si="28"/>
        <v>0</v>
      </c>
      <c r="K17" s="12">
        <f t="shared" si="3"/>
        <v>1335.4267106291552</v>
      </c>
      <c r="L17" s="54">
        <f t="shared" si="4"/>
        <v>3.9453787707051526E-4</v>
      </c>
      <c r="M17" s="10">
        <f t="shared" si="5"/>
        <v>0.10181089064443409</v>
      </c>
      <c r="N17" s="10">
        <f t="shared" si="6"/>
        <v>1.1675323543898202E-4</v>
      </c>
      <c r="O17" s="10">
        <f t="shared" si="7"/>
        <v>1.981293094116212E-4</v>
      </c>
      <c r="P17" s="10">
        <f t="shared" si="8"/>
        <v>1.4259877307904358E-6</v>
      </c>
      <c r="Q17" s="54">
        <f t="shared" si="9"/>
        <v>1.7295386142472984E-2</v>
      </c>
      <c r="R17" s="10">
        <f t="shared" si="10"/>
        <v>9.2081825122462357E-4</v>
      </c>
      <c r="S17" s="10">
        <f t="shared" si="11"/>
        <v>5.1710675477941077E-4</v>
      </c>
      <c r="T17" s="10">
        <f t="shared" si="12"/>
        <v>0.29729876734256011</v>
      </c>
      <c r="U17" s="10">
        <f t="shared" si="13"/>
        <v>0.68396789904308841</v>
      </c>
      <c r="V17" s="10">
        <f t="shared" si="14"/>
        <v>2.2194794066393462E-8</v>
      </c>
      <c r="W17" s="10">
        <f t="shared" si="15"/>
        <v>2.7108031659335228E-10</v>
      </c>
      <c r="X17" s="163">
        <f t="shared" si="22"/>
        <v>0.99999999999999989</v>
      </c>
      <c r="Y17" s="54">
        <f t="shared" si="16"/>
        <v>1.1265000682783828</v>
      </c>
      <c r="Z17" s="54">
        <f t="shared" si="17"/>
        <v>1.5815305860645772E-2</v>
      </c>
      <c r="AA17" s="113"/>
    </row>
    <row r="18" spans="1:27" x14ac:dyDescent="0.2">
      <c r="A18" s="20">
        <f t="shared" si="23"/>
        <v>0.12999999999999998</v>
      </c>
      <c r="B18" s="23">
        <f t="shared" si="24"/>
        <v>0.01</v>
      </c>
      <c r="C18" s="12">
        <f t="shared" si="25"/>
        <v>0</v>
      </c>
      <c r="D18" s="12">
        <f t="shared" si="26"/>
        <v>1198.51644454703</v>
      </c>
      <c r="E18" s="23">
        <f t="shared" si="18"/>
        <v>0.51561141871210436</v>
      </c>
      <c r="F18" s="23">
        <f t="shared" si="27"/>
        <v>135.95535029917986</v>
      </c>
      <c r="G18" s="95">
        <f t="shared" si="19"/>
        <v>0.16718038984037489</v>
      </c>
      <c r="H18" s="95">
        <f t="shared" si="20"/>
        <v>0.26442901888818099</v>
      </c>
      <c r="I18" s="95">
        <f t="shared" si="21"/>
        <v>2.0624551633334626E-3</v>
      </c>
      <c r="J18" s="12">
        <f t="shared" si="28"/>
        <v>0</v>
      </c>
      <c r="K18" s="12">
        <f t="shared" si="3"/>
        <v>1335.4210781288136</v>
      </c>
      <c r="L18" s="54">
        <f t="shared" si="4"/>
        <v>3.8610399907314398E-4</v>
      </c>
      <c r="M18" s="10">
        <f t="shared" si="5"/>
        <v>0.1018071022884257</v>
      </c>
      <c r="N18" s="10">
        <f t="shared" si="6"/>
        <v>1.2518926994519762E-4</v>
      </c>
      <c r="O18" s="10">
        <f t="shared" si="7"/>
        <v>1.9801171571943272E-4</v>
      </c>
      <c r="P18" s="10">
        <f t="shared" si="8"/>
        <v>1.5444231015309165E-6</v>
      </c>
      <c r="Q18" s="54">
        <f t="shared" si="9"/>
        <v>1.7296143314126156E-2</v>
      </c>
      <c r="R18" s="10">
        <f t="shared" si="10"/>
        <v>9.0117373929424639E-4</v>
      </c>
      <c r="S18" s="10">
        <f t="shared" si="11"/>
        <v>5.1682246650778358E-4</v>
      </c>
      <c r="T18" s="10">
        <f t="shared" si="12"/>
        <v>0.29730071984084128</v>
      </c>
      <c r="U18" s="10">
        <f t="shared" si="13"/>
        <v>0.68398511654609639</v>
      </c>
      <c r="V18" s="10">
        <f t="shared" si="14"/>
        <v>2.3799526385375873E-8</v>
      </c>
      <c r="W18" s="10">
        <f t="shared" si="15"/>
        <v>2.9360773787689222E-10</v>
      </c>
      <c r="X18" s="163">
        <f t="shared" si="22"/>
        <v>0.99999999999999989</v>
      </c>
      <c r="Y18" s="54">
        <f t="shared" si="16"/>
        <v>1.1024891102490935</v>
      </c>
      <c r="Z18" s="54">
        <f t="shared" si="17"/>
        <v>1.5806919915704327E-2</v>
      </c>
      <c r="AA18" s="113"/>
    </row>
    <row r="19" spans="1:27" x14ac:dyDescent="0.2">
      <c r="A19" s="20">
        <f t="shared" si="23"/>
        <v>0.13999999999999999</v>
      </c>
      <c r="B19" s="23">
        <f t="shared" si="24"/>
        <v>0.01</v>
      </c>
      <c r="C19" s="12">
        <f t="shared" si="25"/>
        <v>0</v>
      </c>
      <c r="D19" s="12">
        <f t="shared" si="26"/>
        <v>1198.51644454703</v>
      </c>
      <c r="E19" s="23">
        <f t="shared" si="18"/>
        <v>0.50458652760961342</v>
      </c>
      <c r="F19" s="23">
        <f t="shared" si="27"/>
        <v>135.94983785362862</v>
      </c>
      <c r="G19" s="95">
        <f t="shared" si="19"/>
        <v>0.17820528094286583</v>
      </c>
      <c r="H19" s="95">
        <f t="shared" si="20"/>
        <v>0.26427094968902393</v>
      </c>
      <c r="I19" s="95">
        <f t="shared" si="21"/>
        <v>2.2205243624905057E-3</v>
      </c>
      <c r="J19" s="12">
        <f t="shared" si="28"/>
        <v>0</v>
      </c>
      <c r="K19" s="12">
        <f t="shared" si="3"/>
        <v>1335.4155656832627</v>
      </c>
      <c r="L19" s="54">
        <f t="shared" si="4"/>
        <v>3.7784981737234936E-4</v>
      </c>
      <c r="M19" s="10">
        <f t="shared" si="5"/>
        <v>0.10180339464896844</v>
      </c>
      <c r="N19" s="10">
        <f t="shared" si="6"/>
        <v>1.3344556220721261E-4</v>
      </c>
      <c r="O19" s="10">
        <f t="shared" si="7"/>
        <v>1.9789416604097334E-4</v>
      </c>
      <c r="P19" s="10">
        <f t="shared" si="8"/>
        <v>1.6627965253305842E-6</v>
      </c>
      <c r="Q19" s="54">
        <f t="shared" si="9"/>
        <v>1.7296884532396598E-2</v>
      </c>
      <c r="R19" s="10">
        <f t="shared" si="10"/>
        <v>8.8194612321703845E-4</v>
      </c>
      <c r="S19" s="10">
        <f t="shared" si="11"/>
        <v>5.1653778983034324E-4</v>
      </c>
      <c r="T19" s="10">
        <f t="shared" si="12"/>
        <v>0.29730263288195508</v>
      </c>
      <c r="U19" s="10">
        <f t="shared" si="13"/>
        <v>0.6840019729862723</v>
      </c>
      <c r="V19" s="10">
        <f t="shared" si="14"/>
        <v>2.5370203721544275E-8</v>
      </c>
      <c r="W19" s="10">
        <f t="shared" si="15"/>
        <v>3.1612506176569425E-10</v>
      </c>
      <c r="X19" s="163">
        <f t="shared" si="22"/>
        <v>1.0000000000000002</v>
      </c>
      <c r="Y19" s="54">
        <f t="shared" si="16"/>
        <v>1.0789868104132057</v>
      </c>
      <c r="Z19" s="54">
        <f t="shared" si="17"/>
        <v>1.5798515303320958E-2</v>
      </c>
      <c r="AA19" s="113"/>
    </row>
    <row r="20" spans="1:27" x14ac:dyDescent="0.2">
      <c r="A20" s="20">
        <f t="shared" si="23"/>
        <v>0.15</v>
      </c>
      <c r="B20" s="23">
        <f t="shared" si="24"/>
        <v>0.01</v>
      </c>
      <c r="C20" s="12">
        <f t="shared" si="25"/>
        <v>0</v>
      </c>
      <c r="D20" s="12">
        <f t="shared" si="26"/>
        <v>1198.51644454703</v>
      </c>
      <c r="E20" s="23">
        <f t="shared" si="18"/>
        <v>0.49379665950548135</v>
      </c>
      <c r="F20" s="23">
        <f t="shared" si="27"/>
        <v>135.94444291957655</v>
      </c>
      <c r="G20" s="95">
        <f t="shared" si="19"/>
        <v>0.18899514904699788</v>
      </c>
      <c r="H20" s="95">
        <f t="shared" si="20"/>
        <v>0.2641129645359907</v>
      </c>
      <c r="I20" s="95">
        <f t="shared" si="21"/>
        <v>2.3785095155237153E-3</v>
      </c>
      <c r="J20" s="12">
        <f t="shared" si="28"/>
        <v>0</v>
      </c>
      <c r="K20" s="12">
        <f t="shared" si="3"/>
        <v>1335.4101707492107</v>
      </c>
      <c r="L20" s="54">
        <f t="shared" si="4"/>
        <v>3.6977152812041602E-4</v>
      </c>
      <c r="M20" s="10">
        <f t="shared" si="5"/>
        <v>0.10179976601743798</v>
      </c>
      <c r="N20" s="10">
        <f t="shared" si="6"/>
        <v>1.4152591704537127E-4</v>
      </c>
      <c r="O20" s="10">
        <f t="shared" si="7"/>
        <v>1.9777666092494586E-4</v>
      </c>
      <c r="P20" s="10">
        <f t="shared" si="8"/>
        <v>1.7811078331006647E-6</v>
      </c>
      <c r="Q20" s="54">
        <f t="shared" si="9"/>
        <v>1.7297610132075245E-2</v>
      </c>
      <c r="R20" s="10">
        <f t="shared" si="10"/>
        <v>8.6312664792699914E-4</v>
      </c>
      <c r="S20" s="10">
        <f t="shared" si="11"/>
        <v>5.1625273703504956E-4</v>
      </c>
      <c r="T20" s="10">
        <f t="shared" si="12"/>
        <v>0.29730450729041141</v>
      </c>
      <c r="U20" s="10">
        <f t="shared" si="13"/>
        <v>0.68401847594637788</v>
      </c>
      <c r="V20" s="10">
        <f t="shared" si="14"/>
        <v>2.6907541248863671E-8</v>
      </c>
      <c r="W20" s="10">
        <f t="shared" si="15"/>
        <v>3.3863219888175084E-10</v>
      </c>
      <c r="X20" s="163">
        <f t="shared" si="22"/>
        <v>1</v>
      </c>
      <c r="Y20" s="54">
        <f t="shared" si="16"/>
        <v>1.0559825245925238</v>
      </c>
      <c r="Z20" s="54">
        <f t="shared" si="17"/>
        <v>1.5790092544592672E-2</v>
      </c>
      <c r="AA20" s="113"/>
    </row>
    <row r="21" spans="1:27" x14ac:dyDescent="0.2">
      <c r="A21" s="20">
        <f t="shared" si="23"/>
        <v>0.16</v>
      </c>
      <c r="B21" s="23">
        <f t="shared" si="24"/>
        <v>0.01</v>
      </c>
      <c r="C21" s="12">
        <f t="shared" si="25"/>
        <v>0</v>
      </c>
      <c r="D21" s="12">
        <f t="shared" si="26"/>
        <v>1198.51644454703</v>
      </c>
      <c r="E21" s="23">
        <f t="shared" si="18"/>
        <v>0.4832368342595561</v>
      </c>
      <c r="F21" s="23">
        <f t="shared" si="27"/>
        <v>135.93916300695358</v>
      </c>
      <c r="G21" s="95">
        <f t="shared" si="19"/>
        <v>0.19955497429292313</v>
      </c>
      <c r="H21" s="95">
        <f t="shared" si="20"/>
        <v>0.26395506361054477</v>
      </c>
      <c r="I21" s="95">
        <f t="shared" si="21"/>
        <v>2.5364104409696421E-3</v>
      </c>
      <c r="J21" s="12">
        <f t="shared" si="28"/>
        <v>0</v>
      </c>
      <c r="K21" s="12">
        <f t="shared" si="3"/>
        <v>1335.4048908365876</v>
      </c>
      <c r="L21" s="54">
        <f t="shared" si="4"/>
        <v>3.6186540694547255E-4</v>
      </c>
      <c r="M21" s="10">
        <f t="shared" si="5"/>
        <v>0.1017962147209092</v>
      </c>
      <c r="N21" s="10">
        <f t="shared" si="6"/>
        <v>1.494340597838521E-4</v>
      </c>
      <c r="O21" s="10">
        <f t="shared" si="7"/>
        <v>1.976592009073634E-4</v>
      </c>
      <c r="P21" s="10">
        <f t="shared" si="8"/>
        <v>1.8993568605104208E-6</v>
      </c>
      <c r="Q21" s="54">
        <f t="shared" si="9"/>
        <v>1.7298320441077996E-2</v>
      </c>
      <c r="R21" s="10">
        <f t="shared" si="10"/>
        <v>8.44706738337565E-4</v>
      </c>
      <c r="S21" s="10">
        <f t="shared" si="11"/>
        <v>5.1596732014753336E-4</v>
      </c>
      <c r="T21" s="10">
        <f t="shared" si="12"/>
        <v>0.29730634387389621</v>
      </c>
      <c r="U21" s="10">
        <f t="shared" si="13"/>
        <v>0.68403463285317223</v>
      </c>
      <c r="V21" s="10">
        <f t="shared" si="14"/>
        <v>2.8412239439382777E-8</v>
      </c>
      <c r="W21" s="10">
        <f t="shared" si="15"/>
        <v>3.6112906240862165E-10</v>
      </c>
      <c r="X21" s="163">
        <f t="shared" si="22"/>
        <v>1</v>
      </c>
      <c r="Y21" s="54">
        <f t="shared" si="16"/>
        <v>1.0334658258190359</v>
      </c>
      <c r="Z21" s="54">
        <f t="shared" si="17"/>
        <v>1.5781652149570863E-2</v>
      </c>
      <c r="AA21" s="113"/>
    </row>
    <row r="22" spans="1:27" x14ac:dyDescent="0.2">
      <c r="A22" s="20">
        <f t="shared" si="23"/>
        <v>0.17</v>
      </c>
      <c r="B22" s="23">
        <f t="shared" si="24"/>
        <v>0.01</v>
      </c>
      <c r="C22" s="12">
        <f t="shared" si="25"/>
        <v>0</v>
      </c>
      <c r="D22" s="12">
        <f t="shared" si="26"/>
        <v>1198.51644454703</v>
      </c>
      <c r="E22" s="23">
        <f t="shared" si="18"/>
        <v>0.47290217600136575</v>
      </c>
      <c r="F22" s="23">
        <f t="shared" si="27"/>
        <v>135.93399567782447</v>
      </c>
      <c r="G22" s="95">
        <f t="shared" si="19"/>
        <v>0.20988963255111348</v>
      </c>
      <c r="H22" s="95">
        <f t="shared" si="20"/>
        <v>0.26379724708904906</v>
      </c>
      <c r="I22" s="95">
        <f t="shared" si="21"/>
        <v>2.6942269624653506E-3</v>
      </c>
      <c r="J22" s="12">
        <f t="shared" si="28"/>
        <v>0</v>
      </c>
      <c r="K22" s="12">
        <f t="shared" si="3"/>
        <v>1335.3997235074582</v>
      </c>
      <c r="L22" s="54">
        <f t="shared" si="4"/>
        <v>3.5412780733492833E-4</v>
      </c>
      <c r="M22" s="10">
        <f t="shared" si="5"/>
        <v>0.10179273912143001</v>
      </c>
      <c r="N22" s="10">
        <f t="shared" si="6"/>
        <v>1.5717363786764424E-4</v>
      </c>
      <c r="O22" s="10">
        <f t="shared" si="7"/>
        <v>1.9754178651181648E-4</v>
      </c>
      <c r="P22" s="10">
        <f t="shared" si="8"/>
        <v>2.0175434478815833E-6</v>
      </c>
      <c r="Q22" s="54">
        <f t="shared" si="9"/>
        <v>1.7299015780580473E-2</v>
      </c>
      <c r="R22" s="10">
        <f t="shared" si="10"/>
        <v>8.2667799580543318E-4</v>
      </c>
      <c r="S22" s="10">
        <f t="shared" si="11"/>
        <v>5.1568155093642358E-4</v>
      </c>
      <c r="T22" s="10">
        <f t="shared" si="12"/>
        <v>0.29730814342359629</v>
      </c>
      <c r="U22" s="10">
        <f t="shared" si="13"/>
        <v>0.68405045098048134</v>
      </c>
      <c r="V22" s="10">
        <f t="shared" si="14"/>
        <v>2.988498435209052E-8</v>
      </c>
      <c r="W22" s="10">
        <f t="shared" si="15"/>
        <v>3.8361556802787505E-10</v>
      </c>
      <c r="X22" s="163">
        <f t="shared" si="22"/>
        <v>0.99999999999999989</v>
      </c>
      <c r="Y22" s="54">
        <f t="shared" si="16"/>
        <v>1.0114265001358054</v>
      </c>
      <c r="Z22" s="54">
        <f t="shared" si="17"/>
        <v>1.5773194617483333E-2</v>
      </c>
      <c r="AA22" s="113"/>
    </row>
    <row r="23" spans="1:27" x14ac:dyDescent="0.2">
      <c r="A23" s="20">
        <f t="shared" si="23"/>
        <v>0.18000000000000002</v>
      </c>
      <c r="B23" s="23">
        <f t="shared" si="24"/>
        <v>0.01</v>
      </c>
      <c r="C23" s="12">
        <f t="shared" si="25"/>
        <v>0</v>
      </c>
      <c r="D23" s="12">
        <f t="shared" si="26"/>
        <v>1198.51644454703</v>
      </c>
      <c r="E23" s="23">
        <f t="shared" si="18"/>
        <v>0.46278791100000771</v>
      </c>
      <c r="F23" s="23">
        <f t="shared" si="27"/>
        <v>135.9289385453238</v>
      </c>
      <c r="G23" s="95">
        <f t="shared" si="19"/>
        <v>0.22000389755247154</v>
      </c>
      <c r="H23" s="95">
        <f t="shared" si="20"/>
        <v>0.2636395151428742</v>
      </c>
      <c r="I23" s="95">
        <f t="shared" si="21"/>
        <v>2.8519589086401839E-3</v>
      </c>
      <c r="J23" s="12">
        <f t="shared" si="28"/>
        <v>0</v>
      </c>
      <c r="K23" s="12">
        <f t="shared" si="3"/>
        <v>1335.3946663749578</v>
      </c>
      <c r="L23" s="54">
        <f t="shared" si="4"/>
        <v>3.4655515904993448E-4</v>
      </c>
      <c r="M23" s="10">
        <f t="shared" si="5"/>
        <v>0.10178933761530923</v>
      </c>
      <c r="N23" s="10">
        <f t="shared" si="6"/>
        <v>1.6474822244849218E-4</v>
      </c>
      <c r="O23" s="10">
        <f t="shared" si="7"/>
        <v>1.9742441824973441E-4</v>
      </c>
      <c r="P23" s="10">
        <f t="shared" si="8"/>
        <v>2.1356674400850114E-6</v>
      </c>
      <c r="Q23" s="54">
        <f t="shared" si="9"/>
        <v>1.7299696465150411E-2</v>
      </c>
      <c r="R23" s="10">
        <f t="shared" si="10"/>
        <v>8.0903219465690106E-4</v>
      </c>
      <c r="S23" s="10">
        <f t="shared" si="11"/>
        <v>5.1539544091857464E-4</v>
      </c>
      <c r="T23" s="10">
        <f t="shared" si="12"/>
        <v>0.29730990671451923</v>
      </c>
      <c r="U23" s="10">
        <f t="shared" si="13"/>
        <v>0.68406593745221522</v>
      </c>
      <c r="V23" s="10">
        <f t="shared" si="14"/>
        <v>3.1326447916666162E-8</v>
      </c>
      <c r="W23" s="10">
        <f t="shared" si="15"/>
        <v>4.0609163385698899E-10</v>
      </c>
      <c r="X23" s="163">
        <f t="shared" si="22"/>
        <v>0.99999999999999978</v>
      </c>
      <c r="Y23" s="54">
        <f t="shared" si="16"/>
        <v>0.98985454246908477</v>
      </c>
      <c r="Z23" s="54">
        <f t="shared" si="17"/>
        <v>1.5764720436952276E-2</v>
      </c>
      <c r="AA23" s="113"/>
    </row>
    <row r="24" spans="1:27" x14ac:dyDescent="0.2">
      <c r="A24" s="20">
        <f t="shared" si="23"/>
        <v>0.19000000000000003</v>
      </c>
      <c r="B24" s="23">
        <f t="shared" si="24"/>
        <v>0.01</v>
      </c>
      <c r="C24" s="12">
        <f t="shared" si="25"/>
        <v>0</v>
      </c>
      <c r="D24" s="12">
        <f t="shared" si="26"/>
        <v>1198.51644454703</v>
      </c>
      <c r="E24" s="23">
        <f t="shared" si="18"/>
        <v>0.45288936557531684</v>
      </c>
      <c r="F24" s="23">
        <f t="shared" si="27"/>
        <v>135.92398927261146</v>
      </c>
      <c r="G24" s="95">
        <f t="shared" si="19"/>
        <v>0.22990244297716239</v>
      </c>
      <c r="H24" s="95">
        <f t="shared" si="20"/>
        <v>0.2634818679385047</v>
      </c>
      <c r="I24" s="95">
        <f t="shared" si="21"/>
        <v>3.0096061130097068E-3</v>
      </c>
      <c r="J24" s="12">
        <f t="shared" si="28"/>
        <v>0</v>
      </c>
      <c r="K24" s="12">
        <f t="shared" si="3"/>
        <v>1335.3897171022454</v>
      </c>
      <c r="L24" s="54">
        <f t="shared" si="4"/>
        <v>3.3914396657035281E-4</v>
      </c>
      <c r="M24" s="10">
        <f t="shared" si="5"/>
        <v>0.10178600863241806</v>
      </c>
      <c r="N24" s="10">
        <f t="shared" si="6"/>
        <v>1.7216130994032484E-4</v>
      </c>
      <c r="O24" s="10">
        <f t="shared" si="7"/>
        <v>1.9730709662064212E-4</v>
      </c>
      <c r="P24" s="10">
        <f t="shared" si="8"/>
        <v>2.2537286864395358E-6</v>
      </c>
      <c r="Q24" s="54">
        <f t="shared" si="9"/>
        <v>1.7300362802877736E-2</v>
      </c>
      <c r="R24" s="10">
        <f t="shared" si="10"/>
        <v>7.9176127877591813E-4</v>
      </c>
      <c r="S24" s="10">
        <f t="shared" si="11"/>
        <v>5.1510900136419904E-4</v>
      </c>
      <c r="T24" s="10">
        <f t="shared" si="12"/>
        <v>0.29731163450580794</v>
      </c>
      <c r="U24" s="10">
        <f t="shared" si="13"/>
        <v>0.68408109924532901</v>
      </c>
      <c r="V24" s="10">
        <f t="shared" si="14"/>
        <v>3.273728821218842E-8</v>
      </c>
      <c r="W24" s="10">
        <f t="shared" si="15"/>
        <v>4.2855718038868392E-10</v>
      </c>
      <c r="X24" s="163">
        <f t="shared" si="22"/>
        <v>1.0000000000000002</v>
      </c>
      <c r="Y24" s="54">
        <f t="shared" si="16"/>
        <v>0.96874015257086987</v>
      </c>
      <c r="Z24" s="54">
        <f t="shared" si="17"/>
        <v>1.5756230086208411E-2</v>
      </c>
      <c r="AA24" s="113"/>
    </row>
    <row r="25" spans="1:27" x14ac:dyDescent="0.2">
      <c r="A25" s="20">
        <f t="shared" si="23"/>
        <v>0.20000000000000004</v>
      </c>
      <c r="B25" s="23">
        <f t="shared" si="24"/>
        <v>0.01</v>
      </c>
      <c r="C25" s="12">
        <f t="shared" si="25"/>
        <v>0</v>
      </c>
      <c r="D25" s="12">
        <f t="shared" si="26"/>
        <v>1198.51644454703</v>
      </c>
      <c r="E25" s="23">
        <f t="shared" si="18"/>
        <v>0.44320196404960815</v>
      </c>
      <c r="F25" s="23">
        <f t="shared" si="27"/>
        <v>135.91914557184862</v>
      </c>
      <c r="G25" s="95">
        <f t="shared" si="19"/>
        <v>0.2395898445028711</v>
      </c>
      <c r="H25" s="95">
        <f t="shared" si="20"/>
        <v>0.26332430563764264</v>
      </c>
      <c r="I25" s="95">
        <f t="shared" si="21"/>
        <v>3.1671684138717907E-3</v>
      </c>
      <c r="J25" s="12">
        <f t="shared" si="28"/>
        <v>0</v>
      </c>
      <c r="K25" s="12">
        <f t="shared" si="3"/>
        <v>1335.3848734014828</v>
      </c>
      <c r="L25" s="54">
        <f t="shared" si="4"/>
        <v>3.3189080756972132E-4</v>
      </c>
      <c r="M25" s="10">
        <f t="shared" si="5"/>
        <v>0.10178275063550506</v>
      </c>
      <c r="N25" s="10">
        <f t="shared" si="6"/>
        <v>1.7941632354467936E-4</v>
      </c>
      <c r="O25" s="10">
        <f t="shared" si="7"/>
        <v>1.9718982211241082E-4</v>
      </c>
      <c r="P25" s="10">
        <f t="shared" si="8"/>
        <v>2.3717270406129447E-6</v>
      </c>
      <c r="Q25" s="54">
        <f t="shared" si="9"/>
        <v>1.7301015095502286E-2</v>
      </c>
      <c r="R25" s="10">
        <f t="shared" si="10"/>
        <v>7.7485735825304409E-4</v>
      </c>
      <c r="S25" s="10">
        <f t="shared" si="11"/>
        <v>5.1482224330190083E-4</v>
      </c>
      <c r="T25" s="10">
        <f t="shared" si="12"/>
        <v>0.29731332754104861</v>
      </c>
      <c r="U25" s="10">
        <f t="shared" si="13"/>
        <v>0.68409594319273237</v>
      </c>
      <c r="V25" s="10">
        <f t="shared" si="14"/>
        <v>3.4118149740869232E-8</v>
      </c>
      <c r="W25" s="10">
        <f t="shared" si="15"/>
        <v>4.5101213043165583E-10</v>
      </c>
      <c r="X25" s="163">
        <f t="shared" si="22"/>
        <v>1.0000000000000002</v>
      </c>
      <c r="Y25" s="54">
        <f t="shared" si="16"/>
        <v>0.94807373103111903</v>
      </c>
      <c r="Z25" s="54">
        <f t="shared" si="17"/>
        <v>1.5747724033301064E-2</v>
      </c>
      <c r="AA25" s="113"/>
    </row>
    <row r="26" spans="1:27" x14ac:dyDescent="0.2">
      <c r="A26" s="20">
        <f t="shared" si="23"/>
        <v>0.21000000000000005</v>
      </c>
      <c r="B26" s="23">
        <f t="shared" si="24"/>
        <v>0.01</v>
      </c>
      <c r="C26" s="12">
        <f t="shared" si="25"/>
        <v>0</v>
      </c>
      <c r="D26" s="12">
        <f t="shared" si="26"/>
        <v>1198.51644454703</v>
      </c>
      <c r="E26" s="23">
        <f t="shared" si="18"/>
        <v>0.43372122673929697</v>
      </c>
      <c r="F26" s="23">
        <f t="shared" si="27"/>
        <v>135.91440520319347</v>
      </c>
      <c r="G26" s="95">
        <f t="shared" si="19"/>
        <v>0.24907058181318228</v>
      </c>
      <c r="H26" s="95">
        <f t="shared" si="20"/>
        <v>0.26316682839730965</v>
      </c>
      <c r="I26" s="95">
        <f t="shared" si="21"/>
        <v>3.3246456542048012E-3</v>
      </c>
      <c r="J26" s="12">
        <f t="shared" si="28"/>
        <v>0</v>
      </c>
      <c r="K26" s="12">
        <f t="shared" si="3"/>
        <v>1335.3801330328274</v>
      </c>
      <c r="L26" s="54">
        <f t="shared" si="4"/>
        <v>3.2479233141971184E-4</v>
      </c>
      <c r="M26" s="10">
        <f t="shared" si="5"/>
        <v>0.10177956211952444</v>
      </c>
      <c r="N26" s="10">
        <f t="shared" si="6"/>
        <v>1.8651661474662618E-4</v>
      </c>
      <c r="O26" s="10">
        <f t="shared" si="7"/>
        <v>1.9707259520150452E-4</v>
      </c>
      <c r="P26" s="10">
        <f t="shared" si="8"/>
        <v>2.4896623605250777E-6</v>
      </c>
      <c r="Q26" s="54">
        <f t="shared" si="9"/>
        <v>1.7301653638539329E-2</v>
      </c>
      <c r="R26" s="10">
        <f t="shared" si="10"/>
        <v>7.5831270609451069E-4</v>
      </c>
      <c r="S26" s="10">
        <f t="shared" si="11"/>
        <v>5.1453517752361884E-4</v>
      </c>
      <c r="T26" s="10">
        <f t="shared" si="12"/>
        <v>0.29731498654857552</v>
      </c>
      <c r="U26" s="10">
        <f t="shared" si="13"/>
        <v>0.68411047598614705</v>
      </c>
      <c r="V26" s="10">
        <f t="shared" si="14"/>
        <v>3.5469663696878346E-8</v>
      </c>
      <c r="W26" s="10">
        <f t="shared" si="15"/>
        <v>4.7345640905268543E-10</v>
      </c>
      <c r="X26" s="163">
        <f t="shared" si="22"/>
        <v>1</v>
      </c>
      <c r="Y26" s="54">
        <f t="shared" si="16"/>
        <v>0.92784587535884766</v>
      </c>
      <c r="Z26" s="54">
        <f t="shared" si="17"/>
        <v>1.5739202736304622E-2</v>
      </c>
      <c r="AA26" s="113"/>
    </row>
    <row r="27" spans="1:27" x14ac:dyDescent="0.2">
      <c r="A27" s="20">
        <f t="shared" si="23"/>
        <v>0.22000000000000006</v>
      </c>
      <c r="B27" s="23">
        <f t="shared" si="24"/>
        <v>0.01</v>
      </c>
      <c r="C27" s="12">
        <f t="shared" si="25"/>
        <v>0</v>
      </c>
      <c r="D27" s="12">
        <f t="shared" si="26"/>
        <v>1198.51644454703</v>
      </c>
      <c r="E27" s="23">
        <f t="shared" si="18"/>
        <v>0.42444276798570851</v>
      </c>
      <c r="F27" s="23">
        <f t="shared" si="27"/>
        <v>135.90976597381666</v>
      </c>
      <c r="G27" s="95">
        <f t="shared" si="19"/>
        <v>0.25834904056677077</v>
      </c>
      <c r="H27" s="95">
        <f t="shared" si="20"/>
        <v>0.26300943636994661</v>
      </c>
      <c r="I27" s="95">
        <f t="shared" si="21"/>
        <v>3.4820376815678476E-3</v>
      </c>
      <c r="J27" s="12">
        <f t="shared" si="28"/>
        <v>0</v>
      </c>
      <c r="K27" s="12">
        <f t="shared" si="3"/>
        <v>1335.3754938034506</v>
      </c>
      <c r="L27" s="54">
        <f t="shared" si="4"/>
        <v>3.178452577235784E-4</v>
      </c>
      <c r="M27" s="10">
        <f t="shared" si="5"/>
        <v>0.10177644161097714</v>
      </c>
      <c r="N27" s="10">
        <f t="shared" si="6"/>
        <v>1.9346546478169556E-4</v>
      </c>
      <c r="O27" s="10">
        <f t="shared" si="7"/>
        <v>1.9695541635322093E-4</v>
      </c>
      <c r="P27" s="10">
        <f t="shared" si="8"/>
        <v>2.60753450825297E-6</v>
      </c>
      <c r="Q27" s="54">
        <f t="shared" si="9"/>
        <v>1.7302278721402747E-2</v>
      </c>
      <c r="R27" s="10">
        <f t="shared" si="10"/>
        <v>7.4211975499056785E-4</v>
      </c>
      <c r="S27" s="10">
        <f t="shared" si="11"/>
        <v>5.1424781458947336E-4</v>
      </c>
      <c r="T27" s="10">
        <f t="shared" si="12"/>
        <v>0.29731661224176836</v>
      </c>
      <c r="U27" s="10">
        <f t="shared" si="13"/>
        <v>0.68412470417891069</v>
      </c>
      <c r="V27" s="10">
        <f t="shared" si="14"/>
        <v>3.6792448230324782E-8</v>
      </c>
      <c r="W27" s="10">
        <f t="shared" si="15"/>
        <v>4.9588994352008899E-10</v>
      </c>
      <c r="X27" s="163">
        <f t="shared" si="22"/>
        <v>1</v>
      </c>
      <c r="Y27" s="54">
        <f t="shared" si="16"/>
        <v>0.90804737613128605</v>
      </c>
      <c r="Z27" s="54">
        <f t="shared" si="17"/>
        <v>1.5730666643520942E-2</v>
      </c>
      <c r="AA27" s="113"/>
    </row>
    <row r="28" spans="1:27" x14ac:dyDescent="0.2">
      <c r="A28" s="20">
        <f t="shared" si="23"/>
        <v>0.23000000000000007</v>
      </c>
      <c r="B28" s="23">
        <f t="shared" si="24"/>
        <v>0.01</v>
      </c>
      <c r="C28" s="12">
        <f t="shared" si="25"/>
        <v>0</v>
      </c>
      <c r="D28" s="12">
        <f t="shared" si="26"/>
        <v>1198.51644454703</v>
      </c>
      <c r="E28" s="23">
        <f t="shared" si="18"/>
        <v>0.41536229422439563</v>
      </c>
      <c r="F28" s="23">
        <f t="shared" si="27"/>
        <v>135.90522573693602</v>
      </c>
      <c r="G28" s="95">
        <f t="shared" si="19"/>
        <v>0.26742951432808365</v>
      </c>
      <c r="H28" s="95">
        <f t="shared" si="20"/>
        <v>0.26285212970351141</v>
      </c>
      <c r="I28" s="95">
        <f t="shared" si="21"/>
        <v>3.639344348003057E-3</v>
      </c>
      <c r="J28" s="12">
        <f t="shared" si="28"/>
        <v>0</v>
      </c>
      <c r="K28" s="12">
        <f t="shared" si="3"/>
        <v>1335.3709535665701</v>
      </c>
      <c r="L28" s="54">
        <f t="shared" si="4"/>
        <v>3.110463748781018E-4</v>
      </c>
      <c r="M28" s="10">
        <f t="shared" si="5"/>
        <v>0.10177338766726511</v>
      </c>
      <c r="N28" s="10">
        <f t="shared" si="6"/>
        <v>2.0026608607430065E-4</v>
      </c>
      <c r="O28" s="10">
        <f t="shared" si="7"/>
        <v>1.9683828602192811E-4</v>
      </c>
      <c r="P28" s="10">
        <f t="shared" si="8"/>
        <v>2.7253433499380297E-6</v>
      </c>
      <c r="Q28" s="54">
        <f t="shared" si="9"/>
        <v>1.7302890627526064E-2</v>
      </c>
      <c r="R28" s="10">
        <f t="shared" si="10"/>
        <v>7.2627109414231136E-4</v>
      </c>
      <c r="S28" s="10">
        <f t="shared" si="11"/>
        <v>5.1396016483252495E-4</v>
      </c>
      <c r="T28" s="10">
        <f t="shared" si="12"/>
        <v>0.29731820531934577</v>
      </c>
      <c r="U28" s="10">
        <f t="shared" si="13"/>
        <v>0.68413863418873189</v>
      </c>
      <c r="V28" s="10">
        <f t="shared" si="14"/>
        <v>3.8087108706461633E-8</v>
      </c>
      <c r="W28" s="10">
        <f t="shared" si="15"/>
        <v>5.1831266324848975E-10</v>
      </c>
      <c r="X28" s="163">
        <f t="shared" si="22"/>
        <v>0.99999999999999989</v>
      </c>
      <c r="Y28" s="54">
        <f t="shared" si="16"/>
        <v>0.88866921321029868</v>
      </c>
      <c r="Z28" s="54">
        <f t="shared" si="17"/>
        <v>1.5722116193678234E-2</v>
      </c>
      <c r="AA28" s="113"/>
    </row>
    <row r="29" spans="1:27" x14ac:dyDescent="0.2">
      <c r="A29" s="20">
        <f t="shared" si="23"/>
        <v>0.24000000000000007</v>
      </c>
      <c r="B29" s="23">
        <f t="shared" si="24"/>
        <v>0.01</v>
      </c>
      <c r="C29" s="12">
        <f t="shared" si="25"/>
        <v>0</v>
      </c>
      <c r="D29" s="12">
        <f t="shared" si="26"/>
        <v>1198.51644454703</v>
      </c>
      <c r="E29" s="23">
        <f t="shared" si="18"/>
        <v>0.40647560209229266</v>
      </c>
      <c r="F29" s="23">
        <f t="shared" si="27"/>
        <v>135.90078239086998</v>
      </c>
      <c r="G29" s="95">
        <f t="shared" si="19"/>
        <v>0.27631620646018662</v>
      </c>
      <c r="H29" s="95">
        <f t="shared" si="20"/>
        <v>0.26269490854157462</v>
      </c>
      <c r="I29" s="95">
        <f t="shared" si="21"/>
        <v>3.7965655099398395E-3</v>
      </c>
      <c r="J29" s="12">
        <f t="shared" si="28"/>
        <v>0</v>
      </c>
      <c r="K29" s="12">
        <f t="shared" si="3"/>
        <v>1335.3665102205041</v>
      </c>
      <c r="L29" s="54">
        <f t="shared" si="4"/>
        <v>3.0439253866354103E-4</v>
      </c>
      <c r="M29" s="10">
        <f t="shared" si="5"/>
        <v>0.10177039887605777</v>
      </c>
      <c r="N29" s="10">
        <f t="shared" si="6"/>
        <v>2.0692162364814701E-4</v>
      </c>
      <c r="O29" s="10">
        <f t="shared" si="7"/>
        <v>1.9672120465129593E-4</v>
      </c>
      <c r="P29" s="10">
        <f t="shared" si="8"/>
        <v>2.8430887556951886E-6</v>
      </c>
      <c r="Q29" s="54">
        <f t="shared" si="9"/>
        <v>1.7303489634481251E-2</v>
      </c>
      <c r="R29" s="10">
        <f t="shared" si="10"/>
        <v>7.107594661461726E-4</v>
      </c>
      <c r="S29" s="10">
        <f t="shared" si="11"/>
        <v>5.1367223836343984E-4</v>
      </c>
      <c r="T29" s="10">
        <f t="shared" si="12"/>
        <v>0.297319766465653</v>
      </c>
      <c r="U29" s="10">
        <f t="shared" si="13"/>
        <v>0.68415227230039377</v>
      </c>
      <c r="V29" s="10">
        <f t="shared" si="14"/>
        <v>3.9354237960180577E-8</v>
      </c>
      <c r="W29" s="10">
        <f t="shared" si="15"/>
        <v>5.4072449974487781E-10</v>
      </c>
      <c r="X29" s="163">
        <f t="shared" si="22"/>
        <v>1</v>
      </c>
      <c r="Y29" s="54">
        <f t="shared" si="16"/>
        <v>0.86970255202523605</v>
      </c>
      <c r="Z29" s="54">
        <f t="shared" si="17"/>
        <v>1.5713551816126152E-2</v>
      </c>
      <c r="AA29" s="113"/>
    </row>
    <row r="30" spans="1:27" x14ac:dyDescent="0.2">
      <c r="A30" s="20">
        <f t="shared" si="23"/>
        <v>0.25000000000000006</v>
      </c>
      <c r="B30" s="23">
        <f t="shared" si="24"/>
        <v>0.01</v>
      </c>
      <c r="C30" s="12">
        <f t="shared" si="25"/>
        <v>0</v>
      </c>
      <c r="D30" s="12">
        <f t="shared" si="26"/>
        <v>1198.51644454703</v>
      </c>
      <c r="E30" s="23">
        <f t="shared" si="18"/>
        <v>0.3977785765720403</v>
      </c>
      <c r="F30" s="23">
        <f t="shared" si="27"/>
        <v>135.89643387810986</v>
      </c>
      <c r="G30" s="95">
        <f t="shared" si="19"/>
        <v>0.28501323198043899</v>
      </c>
      <c r="H30" s="95">
        <f t="shared" si="20"/>
        <v>0.26253777302341336</v>
      </c>
      <c r="I30" s="95">
        <f t="shared" si="21"/>
        <v>3.9537010281011009E-3</v>
      </c>
      <c r="J30" s="12">
        <f t="shared" si="28"/>
        <v>0</v>
      </c>
      <c r="K30" s="12">
        <f t="shared" si="3"/>
        <v>1335.3621617077442</v>
      </c>
      <c r="L30" s="54">
        <f t="shared" si="4"/>
        <v>2.9788067086110656E-4</v>
      </c>
      <c r="M30" s="10">
        <f t="shared" si="5"/>
        <v>0.10176747385467104</v>
      </c>
      <c r="N30" s="10">
        <f t="shared" si="6"/>
        <v>2.1343515650911236E-4</v>
      </c>
      <c r="O30" s="10">
        <f t="shared" si="7"/>
        <v>1.9660417267452278E-4</v>
      </c>
      <c r="P30" s="10">
        <f t="shared" si="8"/>
        <v>2.9607705995239986E-6</v>
      </c>
      <c r="Q30" s="54">
        <f t="shared" si="9"/>
        <v>1.7304076014095386E-2</v>
      </c>
      <c r="R30" s="10">
        <f t="shared" si="10"/>
        <v>6.9557776393525789E-4</v>
      </c>
      <c r="S30" s="10">
        <f t="shared" si="11"/>
        <v>5.1338404507506909E-4</v>
      </c>
      <c r="T30" s="10">
        <f t="shared" si="12"/>
        <v>0.29732129635094484</v>
      </c>
      <c r="U30" s="10">
        <f t="shared" si="13"/>
        <v>0.68416562466840758</v>
      </c>
      <c r="V30" s="10">
        <f t="shared" si="14"/>
        <v>4.0594416545862448E-8</v>
      </c>
      <c r="W30" s="10">
        <f t="shared" si="15"/>
        <v>5.6312538655593368E-10</v>
      </c>
      <c r="X30" s="163">
        <f t="shared" si="22"/>
        <v>1</v>
      </c>
      <c r="Y30" s="54">
        <f t="shared" si="16"/>
        <v>0.85113873992139255</v>
      </c>
      <c r="Z30" s="54">
        <f t="shared" si="17"/>
        <v>1.5704973931027221E-2</v>
      </c>
      <c r="AA30" s="113"/>
    </row>
    <row r="31" spans="1:27" x14ac:dyDescent="0.2">
      <c r="A31" s="20">
        <f t="shared" si="23"/>
        <v>0.26000000000000006</v>
      </c>
      <c r="B31" s="23">
        <f t="shared" si="24"/>
        <v>0.01</v>
      </c>
      <c r="C31" s="12">
        <f t="shared" si="25"/>
        <v>0</v>
      </c>
      <c r="D31" s="12">
        <f t="shared" si="26"/>
        <v>1198.51644454703</v>
      </c>
      <c r="E31" s="23">
        <f t="shared" si="18"/>
        <v>0.38926718917282638</v>
      </c>
      <c r="F31" s="23">
        <f t="shared" si="27"/>
        <v>135.89217818441026</v>
      </c>
      <c r="G31" s="95">
        <f t="shared" si="19"/>
        <v>0.29352461937965291</v>
      </c>
      <c r="H31" s="95">
        <f t="shared" si="20"/>
        <v>0.26238072328410306</v>
      </c>
      <c r="I31" s="95">
        <f t="shared" si="21"/>
        <v>4.110750767411373E-3</v>
      </c>
      <c r="J31" s="12">
        <f t="shared" si="28"/>
        <v>0</v>
      </c>
      <c r="K31" s="12">
        <f t="shared" si="3"/>
        <v>1335.3579060140446</v>
      </c>
      <c r="L31" s="54">
        <f t="shared" si="4"/>
        <v>2.9150775789747881E-4</v>
      </c>
      <c r="M31" s="10">
        <f t="shared" si="5"/>
        <v>0.10176461124945856</v>
      </c>
      <c r="N31" s="10">
        <f t="shared" si="6"/>
        <v>2.1980969900107497E-4</v>
      </c>
      <c r="O31" s="10">
        <f t="shared" si="7"/>
        <v>1.9648719051455817E-4</v>
      </c>
      <c r="P31" s="10">
        <f t="shared" si="8"/>
        <v>3.078388759221633E-6</v>
      </c>
      <c r="Q31" s="54">
        <f t="shared" si="9"/>
        <v>1.7304650032565188E-2</v>
      </c>
      <c r="R31" s="10">
        <f t="shared" si="10"/>
        <v>6.8071902777672839E-4</v>
      </c>
      <c r="S31" s="10">
        <f t="shared" si="11"/>
        <v>5.1309559464693942E-4</v>
      </c>
      <c r="T31" s="10">
        <f t="shared" si="12"/>
        <v>0.29732279563166347</v>
      </c>
      <c r="U31" s="10">
        <f t="shared" si="13"/>
        <v>0.68417869731961944</v>
      </c>
      <c r="V31" s="10">
        <f t="shared" si="14"/>
        <v>4.1808212982650381E-8</v>
      </c>
      <c r="W31" s="10">
        <f t="shared" si="15"/>
        <v>5.8551525921658938E-10</v>
      </c>
      <c r="X31" s="163">
        <f t="shared" si="22"/>
        <v>1</v>
      </c>
      <c r="Y31" s="54">
        <f t="shared" si="16"/>
        <v>0.83296930257324209</v>
      </c>
      <c r="Z31" s="54">
        <f t="shared" si="17"/>
        <v>1.5696382949544795E-2</v>
      </c>
      <c r="AA31" s="113"/>
    </row>
    <row r="32" spans="1:27" x14ac:dyDescent="0.2">
      <c r="A32" s="20">
        <f t="shared" si="23"/>
        <v>0.27000000000000007</v>
      </c>
      <c r="B32" s="23">
        <f t="shared" si="24"/>
        <v>0.01</v>
      </c>
      <c r="C32" s="12">
        <f t="shared" si="25"/>
        <v>0</v>
      </c>
      <c r="D32" s="12">
        <f t="shared" si="26"/>
        <v>1198.51644454703</v>
      </c>
      <c r="E32" s="23">
        <f t="shared" si="18"/>
        <v>0.38093749614709393</v>
      </c>
      <c r="F32" s="23">
        <f t="shared" si="27"/>
        <v>135.88801333789738</v>
      </c>
      <c r="G32" s="95">
        <f t="shared" si="19"/>
        <v>0.30185431240538535</v>
      </c>
      <c r="H32" s="95">
        <f t="shared" si="20"/>
        <v>0.26222375945460763</v>
      </c>
      <c r="I32" s="95">
        <f t="shared" si="21"/>
        <v>4.2677145969068206E-3</v>
      </c>
      <c r="J32" s="12">
        <f t="shared" si="28"/>
        <v>0</v>
      </c>
      <c r="K32" s="12">
        <f t="shared" si="3"/>
        <v>1335.3537411675311</v>
      </c>
      <c r="L32" s="54">
        <f t="shared" si="4"/>
        <v>2.852708495158978E-4</v>
      </c>
      <c r="M32" s="10">
        <f t="shared" si="5"/>
        <v>0.10176180973521466</v>
      </c>
      <c r="N32" s="10">
        <f t="shared" si="6"/>
        <v>2.2604820213516385E-4</v>
      </c>
      <c r="O32" s="10">
        <f t="shared" si="7"/>
        <v>1.9637025858432032E-4</v>
      </c>
      <c r="P32" s="10">
        <f t="shared" si="8"/>
        <v>3.1959431162977514E-6</v>
      </c>
      <c r="Q32" s="54">
        <f t="shared" si="9"/>
        <v>1.730521195056944E-2</v>
      </c>
      <c r="R32" s="10">
        <f t="shared" si="10"/>
        <v>6.661764423244042E-4</v>
      </c>
      <c r="S32" s="10">
        <f t="shared" si="11"/>
        <v>5.1280689654965796E-4</v>
      </c>
      <c r="T32" s="10">
        <f t="shared" si="12"/>
        <v>0.29732426495071124</v>
      </c>
      <c r="U32" s="10">
        <f t="shared" si="13"/>
        <v>0.68419149615576702</v>
      </c>
      <c r="V32" s="10">
        <f t="shared" si="14"/>
        <v>4.2996183995211765E-8</v>
      </c>
      <c r="W32" s="10">
        <f t="shared" si="15"/>
        <v>6.0789405519979899E-10</v>
      </c>
      <c r="X32" s="163">
        <f t="shared" si="22"/>
        <v>0.99999999999999978</v>
      </c>
      <c r="Y32" s="54">
        <f t="shared" si="16"/>
        <v>0.81518594046160486</v>
      </c>
      <c r="Z32" s="54">
        <f t="shared" si="17"/>
        <v>1.5687779274027376E-2</v>
      </c>
      <c r="AA32" s="113"/>
    </row>
    <row r="33" spans="1:27" x14ac:dyDescent="0.2">
      <c r="A33" s="20">
        <f t="shared" si="23"/>
        <v>0.28000000000000008</v>
      </c>
      <c r="B33" s="23">
        <f t="shared" si="24"/>
        <v>0.01</v>
      </c>
      <c r="C33" s="12">
        <f t="shared" si="25"/>
        <v>0</v>
      </c>
      <c r="D33" s="12">
        <f t="shared" si="26"/>
        <v>1198.51644454703</v>
      </c>
      <c r="E33" s="23">
        <f t="shared" si="18"/>
        <v>0.37278563674247789</v>
      </c>
      <c r="F33" s="23">
        <f t="shared" si="27"/>
        <v>135.88393740819507</v>
      </c>
      <c r="G33" s="95">
        <f t="shared" si="19"/>
        <v>0.3100061718100014</v>
      </c>
      <c r="H33" s="95">
        <f t="shared" si="20"/>
        <v>0.26206688166186737</v>
      </c>
      <c r="I33" s="95">
        <f t="shared" si="21"/>
        <v>4.4245923896470947E-3</v>
      </c>
      <c r="J33" s="12">
        <f t="shared" si="28"/>
        <v>0</v>
      </c>
      <c r="K33" s="12">
        <f t="shared" si="3"/>
        <v>1335.3496652378292</v>
      </c>
      <c r="L33" s="54">
        <f t="shared" si="4"/>
        <v>2.7916705747335759E-4</v>
      </c>
      <c r="M33" s="10">
        <f t="shared" si="5"/>
        <v>0.10175906801458912</v>
      </c>
      <c r="N33" s="10">
        <f t="shared" si="6"/>
        <v>2.3215355489289655E-4</v>
      </c>
      <c r="O33" s="10">
        <f t="shared" si="7"/>
        <v>1.9625337728690904E-4</v>
      </c>
      <c r="P33" s="10">
        <f t="shared" si="8"/>
        <v>3.3134335558911932E-6</v>
      </c>
      <c r="Q33" s="54">
        <f t="shared" si="9"/>
        <v>1.7305762023379394E-2</v>
      </c>
      <c r="R33" s="10">
        <f t="shared" si="10"/>
        <v>6.5194333372578777E-4</v>
      </c>
      <c r="S33" s="10">
        <f t="shared" si="11"/>
        <v>5.125179600492327E-4</v>
      </c>
      <c r="T33" s="10">
        <f t="shared" si="12"/>
        <v>0.29732570493771887</v>
      </c>
      <c r="U33" s="10">
        <f t="shared" si="13"/>
        <v>0.68420402695599036</v>
      </c>
      <c r="V33" s="10">
        <f t="shared" si="14"/>
        <v>4.4158874750055045E-8</v>
      </c>
      <c r="W33" s="10">
        <f t="shared" si="15"/>
        <v>6.3026171386749569E-10</v>
      </c>
      <c r="X33" s="163">
        <f t="shared" si="22"/>
        <v>1</v>
      </c>
      <c r="Y33" s="54">
        <f t="shared" si="16"/>
        <v>0.79778052541391087</v>
      </c>
      <c r="Z33" s="54">
        <f t="shared" si="17"/>
        <v>1.5679163298189518E-2</v>
      </c>
      <c r="AA33" s="113"/>
    </row>
    <row r="34" spans="1:27" x14ac:dyDescent="0.2">
      <c r="A34" s="20">
        <f t="shared" si="23"/>
        <v>0.29000000000000009</v>
      </c>
      <c r="B34" s="23">
        <f t="shared" si="24"/>
        <v>0.01</v>
      </c>
      <c r="C34" s="12">
        <f t="shared" si="25"/>
        <v>0</v>
      </c>
      <c r="D34" s="12">
        <f t="shared" si="26"/>
        <v>1198.51644454703</v>
      </c>
      <c r="E34" s="23">
        <f t="shared" si="18"/>
        <v>0.36480783148833879</v>
      </c>
      <c r="F34" s="23">
        <f t="shared" si="27"/>
        <v>135.879948505568</v>
      </c>
      <c r="G34" s="95">
        <f t="shared" si="19"/>
        <v>0.3179839770641405</v>
      </c>
      <c r="H34" s="95">
        <f t="shared" si="20"/>
        <v>0.26191009002888549</v>
      </c>
      <c r="I34" s="95">
        <f t="shared" si="21"/>
        <v>4.5813840226289898E-3</v>
      </c>
      <c r="J34" s="12">
        <f t="shared" si="28"/>
        <v>0</v>
      </c>
      <c r="K34" s="12">
        <f t="shared" si="3"/>
        <v>1335.3456763352021</v>
      </c>
      <c r="L34" s="54">
        <f t="shared" si="4"/>
        <v>2.7319355426344582E-4</v>
      </c>
      <c r="M34" s="10">
        <f t="shared" si="5"/>
        <v>0.10175638481751376</v>
      </c>
      <c r="N34" s="10">
        <f t="shared" si="6"/>
        <v>2.3812858550366795E-4</v>
      </c>
      <c r="O34" s="10">
        <f t="shared" si="7"/>
        <v>1.9613654701581561E-4</v>
      </c>
      <c r="P34" s="10">
        <f t="shared" si="8"/>
        <v>3.4308599666884742E-6</v>
      </c>
      <c r="Q34" s="54">
        <f t="shared" si="9"/>
        <v>1.7306300500967018E-2</v>
      </c>
      <c r="R34" s="10">
        <f t="shared" si="10"/>
        <v>6.3801316678269333E-4</v>
      </c>
      <c r="S34" s="10">
        <f t="shared" si="11"/>
        <v>5.1222879421130923E-4</v>
      </c>
      <c r="T34" s="10">
        <f t="shared" si="12"/>
        <v>0.29732711620930818</v>
      </c>
      <c r="U34" s="10">
        <f t="shared" si="13"/>
        <v>0.6842162953792934</v>
      </c>
      <c r="V34" s="10">
        <f t="shared" si="14"/>
        <v>4.5296819087467491E-8</v>
      </c>
      <c r="W34" s="10">
        <f t="shared" si="15"/>
        <v>6.5261817642270754E-10</v>
      </c>
      <c r="X34" s="163">
        <f t="shared" si="22"/>
        <v>0.99999999999999989</v>
      </c>
      <c r="Y34" s="54">
        <f t="shared" si="16"/>
        <v>0.78074509720670415</v>
      </c>
      <c r="Z34" s="54">
        <f t="shared" si="17"/>
        <v>1.5670535407289236E-2</v>
      </c>
      <c r="AA34" s="113"/>
    </row>
    <row r="35" spans="1:27" x14ac:dyDescent="0.2">
      <c r="A35" s="20">
        <f t="shared" si="23"/>
        <v>0.3000000000000001</v>
      </c>
      <c r="B35" s="23">
        <f t="shared" si="24"/>
        <v>0.01</v>
      </c>
      <c r="C35" s="12">
        <f t="shared" si="25"/>
        <v>0</v>
      </c>
      <c r="D35" s="12">
        <f t="shared" si="26"/>
        <v>1198.51644454703</v>
      </c>
      <c r="E35" s="23">
        <f t="shared" si="18"/>
        <v>0.35700038051627175</v>
      </c>
      <c r="F35" s="23">
        <f t="shared" si="27"/>
        <v>135.87604478008197</v>
      </c>
      <c r="G35" s="95">
        <f t="shared" si="19"/>
        <v>0.32579142803620753</v>
      </c>
      <c r="H35" s="95">
        <f t="shared" si="20"/>
        <v>0.26175338467481257</v>
      </c>
      <c r="I35" s="95">
        <f t="shared" si="21"/>
        <v>4.7380893767018824E-3</v>
      </c>
      <c r="J35" s="12">
        <f t="shared" si="28"/>
        <v>0</v>
      </c>
      <c r="K35" s="12">
        <f t="shared" si="3"/>
        <v>1335.3417726097159</v>
      </c>
      <c r="L35" s="54">
        <f t="shared" si="4"/>
        <v>2.6734757186437039E-4</v>
      </c>
      <c r="M35" s="10">
        <f t="shared" si="5"/>
        <v>0.10175375890063977</v>
      </c>
      <c r="N35" s="10">
        <f t="shared" si="6"/>
        <v>2.4397606269704222E-4</v>
      </c>
      <c r="O35" s="10">
        <f t="shared" si="7"/>
        <v>1.960197681551268E-4</v>
      </c>
      <c r="P35" s="10">
        <f t="shared" si="8"/>
        <v>3.5482222408440276E-6</v>
      </c>
      <c r="Q35" s="54">
        <f t="shared" si="9"/>
        <v>1.7306827628111414E-2</v>
      </c>
      <c r="R35" s="10">
        <f t="shared" si="10"/>
        <v>6.2437954216468597E-4</v>
      </c>
      <c r="S35" s="10">
        <f t="shared" si="11"/>
        <v>5.1193940790532724E-4</v>
      </c>
      <c r="T35" s="10">
        <f t="shared" si="12"/>
        <v>0.29732849936935096</v>
      </c>
      <c r="U35" s="10">
        <f t="shared" si="13"/>
        <v>0.68422830696696457</v>
      </c>
      <c r="V35" s="10">
        <f t="shared" si="14"/>
        <v>4.6410539749139622E-8</v>
      </c>
      <c r="W35" s="10">
        <f t="shared" si="15"/>
        <v>6.7496338586281069E-10</v>
      </c>
      <c r="X35" s="163">
        <f t="shared" si="22"/>
        <v>1</v>
      </c>
      <c r="Y35" s="54">
        <f t="shared" si="16"/>
        <v>0.76407186022955542</v>
      </c>
      <c r="Z35" s="54">
        <f t="shared" si="17"/>
        <v>1.5661895978302216E-2</v>
      </c>
      <c r="AA35" s="113"/>
    </row>
    <row r="36" spans="1:27" x14ac:dyDescent="0.2">
      <c r="A36" s="20">
        <f t="shared" si="23"/>
        <v>0.31000000000000011</v>
      </c>
      <c r="B36" s="23">
        <f t="shared" si="24"/>
        <v>0.01</v>
      </c>
      <c r="C36" s="12">
        <f t="shared" si="25"/>
        <v>0</v>
      </c>
      <c r="D36" s="12">
        <f t="shared" si="26"/>
        <v>1198.51644454703</v>
      </c>
      <c r="E36" s="23">
        <f t="shared" si="18"/>
        <v>0.34935966191397622</v>
      </c>
      <c r="F36" s="23">
        <f t="shared" si="27"/>
        <v>135.87222442078081</v>
      </c>
      <c r="G36" s="95">
        <f t="shared" si="19"/>
        <v>0.33343214663850307</v>
      </c>
      <c r="H36" s="95">
        <f t="shared" si="20"/>
        <v>0.26159676571502954</v>
      </c>
      <c r="I36" s="95">
        <f t="shared" si="21"/>
        <v>4.8947083364849044E-3</v>
      </c>
      <c r="J36" s="12">
        <f t="shared" si="28"/>
        <v>0</v>
      </c>
      <c r="K36" s="12">
        <f t="shared" si="3"/>
        <v>1335.3379522504147</v>
      </c>
      <c r="L36" s="54">
        <f t="shared" si="4"/>
        <v>2.6162640051172686E-4</v>
      </c>
      <c r="M36" s="10">
        <f t="shared" si="5"/>
        <v>0.10175118904678658</v>
      </c>
      <c r="N36" s="10">
        <f t="shared" si="6"/>
        <v>2.4969869693029952E-4</v>
      </c>
      <c r="O36" s="10">
        <f t="shared" si="7"/>
        <v>1.9590304107972552E-4</v>
      </c>
      <c r="P36" s="10">
        <f t="shared" si="8"/>
        <v>3.665520273902171E-6</v>
      </c>
      <c r="Q36" s="54">
        <f t="shared" si="9"/>
        <v>1.7307343644503096E-2</v>
      </c>
      <c r="R36" s="10">
        <f t="shared" si="10"/>
        <v>6.1103619367451904E-4</v>
      </c>
      <c r="S36" s="10">
        <f t="shared" si="11"/>
        <v>5.1164980980859353E-4</v>
      </c>
      <c r="T36" s="10">
        <f t="shared" si="12"/>
        <v>0.29732985500922221</v>
      </c>
      <c r="U36" s="10">
        <f t="shared" si="13"/>
        <v>0.68424006714494567</v>
      </c>
      <c r="V36" s="10">
        <f t="shared" si="14"/>
        <v>4.7500548601541436E-8</v>
      </c>
      <c r="W36" s="10">
        <f t="shared" si="15"/>
        <v>6.9729728693389023E-10</v>
      </c>
      <c r="X36" s="163">
        <f t="shared" si="22"/>
        <v>1</v>
      </c>
      <c r="Y36" s="54">
        <f t="shared" si="16"/>
        <v>0.74775318020951598</v>
      </c>
      <c r="Z36" s="54">
        <f t="shared" si="17"/>
        <v>1.5653245380092422E-2</v>
      </c>
      <c r="AA36" s="113"/>
    </row>
    <row r="37" spans="1:27" x14ac:dyDescent="0.2">
      <c r="A37" s="20">
        <f t="shared" si="23"/>
        <v>0.32000000000000012</v>
      </c>
      <c r="B37" s="23">
        <f t="shared" si="24"/>
        <v>0.01</v>
      </c>
      <c r="C37" s="12">
        <f t="shared" si="25"/>
        <v>0</v>
      </c>
      <c r="D37" s="12">
        <f t="shared" si="26"/>
        <v>1198.51644454703</v>
      </c>
      <c r="E37" s="23">
        <f t="shared" si="18"/>
        <v>0.34188213011188107</v>
      </c>
      <c r="F37" s="23">
        <f t="shared" si="27"/>
        <v>135.86848565487978</v>
      </c>
      <c r="G37" s="95">
        <f t="shared" si="19"/>
        <v>0.34090967844059822</v>
      </c>
      <c r="H37" s="95">
        <f t="shared" si="20"/>
        <v>0.26144023326122862</v>
      </c>
      <c r="I37" s="95">
        <f t="shared" si="21"/>
        <v>5.0512407902858283E-3</v>
      </c>
      <c r="J37" s="12">
        <f t="shared" si="28"/>
        <v>0</v>
      </c>
      <c r="K37" s="12">
        <f t="shared" ref="K37:K68" si="29">SUM(C37:J37)</f>
        <v>1335.3342134845136</v>
      </c>
      <c r="L37" s="54">
        <f t="shared" ref="L37:L68" si="30">+E37/$K37*P_t</f>
        <v>2.5602738749556198E-4</v>
      </c>
      <c r="M37" s="10">
        <f t="shared" ref="M37:M68" si="31">+F37/$K37*P_t</f>
        <v>0.10174867406440155</v>
      </c>
      <c r="N37" s="10">
        <f t="shared" ref="N37:N68" si="32">+G37/$K37*P_t</f>
        <v>2.5529914159168056E-4</v>
      </c>
      <c r="O37" s="10">
        <f t="shared" ref="O37:O68" si="33">+H37/$K37*P_t</f>
        <v>1.9578636615548729E-4</v>
      </c>
      <c r="P37" s="10">
        <f t="shared" ref="P37:P68" si="34">+I37/$K37*P_t</f>
        <v>3.7827539647207652E-6</v>
      </c>
      <c r="Q37" s="54">
        <f t="shared" ref="Q37:Q68" si="35">1/(1+K1_*L37+K2_*M37+SQRT(K2_*K3_*M37)+1/K6_*N37+K7_*O37+P37/K10_)</f>
        <v>1.7307848784846428E-2</v>
      </c>
      <c r="R37" s="10">
        <f t="shared" ref="R37:R68" si="36">K1_*L37*Q37</f>
        <v>5.9797698556478382E-4</v>
      </c>
      <c r="S37" s="10">
        <f t="shared" ref="S37:S68" si="37">K7_*O37*Q37</f>
        <v>5.1136000841027853E-4</v>
      </c>
      <c r="T37" s="10">
        <f t="shared" ref="T37:T68" si="38">K2_*M37*Q37</f>
        <v>0.29733118370804978</v>
      </c>
      <c r="U37" s="10">
        <f t="shared" ref="U37:U68" si="39">SQRT(K2_*K3_*M37)*Q37</f>
        <v>0.68425158122616203</v>
      </c>
      <c r="V37" s="10">
        <f t="shared" ref="V37:V68" si="40">N37/K6_*Q37</f>
        <v>4.8567346855116095E-8</v>
      </c>
      <c r="W37" s="10">
        <f t="shared" ref="W37:W68" si="41">P37/K10_*Q37</f>
        <v>7.1961982608619101E-10</v>
      </c>
      <c r="X37" s="163">
        <f t="shared" si="22"/>
        <v>0.99999999999999989</v>
      </c>
      <c r="Y37" s="54">
        <f t="shared" ref="Y37:Y68" si="42">(k4f*K1_*SQRT(K2_*K3_*M37)*L37+k5f*K1_*K2_*L37*M37-k4r/K6_*N37-k5r/K6_*SQRT(K2_*K3_*M37)*N37)*Q37*Q37</f>
        <v>0.73178158099528101</v>
      </c>
      <c r="Z37" s="54">
        <f t="shared" ref="Z37:Z68" si="43">(k8f*K7_*SQRT(K2_*K3_*M37)*O37+k9f*K7_*K2_*O37*M37-k8r/K10_*P37-k9r/K10_*SQRT(K2_*K3_*M37)*P37)*Q37*Q37</f>
        <v>1.5644583973579727E-2</v>
      </c>
      <c r="AA37" s="113"/>
    </row>
    <row r="38" spans="1:27" x14ac:dyDescent="0.2">
      <c r="A38" s="20">
        <f t="shared" si="23"/>
        <v>0.33000000000000013</v>
      </c>
      <c r="B38" s="23">
        <f t="shared" si="24"/>
        <v>0.01</v>
      </c>
      <c r="C38" s="12">
        <f t="shared" si="25"/>
        <v>0</v>
      </c>
      <c r="D38" s="12">
        <f t="shared" si="26"/>
        <v>1198.51644454703</v>
      </c>
      <c r="E38" s="23">
        <f t="shared" ref="E38:E69" si="44">+E37-$B37*$Y37</f>
        <v>0.33456431430192823</v>
      </c>
      <c r="F38" s="23">
        <f t="shared" si="27"/>
        <v>135.86482674697481</v>
      </c>
      <c r="G38" s="95">
        <f t="shared" ref="G38:G69" si="45">+G37+$B37*$Y37</f>
        <v>0.34822749425055105</v>
      </c>
      <c r="H38" s="95">
        <f t="shared" ref="H38:H69" si="46">+H37-$B37*$Z37</f>
        <v>0.26128378742149283</v>
      </c>
      <c r="I38" s="95">
        <f t="shared" ref="I38:I69" si="47">+I37+$B37*$Z37</f>
        <v>5.2076866300216256E-3</v>
      </c>
      <c r="J38" s="12">
        <f t="shared" si="28"/>
        <v>0</v>
      </c>
      <c r="K38" s="12">
        <f t="shared" si="29"/>
        <v>1335.3305545766086</v>
      </c>
      <c r="L38" s="54">
        <f t="shared" si="30"/>
        <v>2.5054793598129572E-4</v>
      </c>
      <c r="M38" s="10">
        <f t="shared" si="31"/>
        <v>0.10174621278703032</v>
      </c>
      <c r="N38" s="10">
        <f t="shared" si="32"/>
        <v>2.6077999417976552E-4</v>
      </c>
      <c r="O38" s="10">
        <f t="shared" si="33"/>
        <v>1.9566974373947258E-4</v>
      </c>
      <c r="P38" s="10">
        <f t="shared" si="34"/>
        <v>3.8999232153965196E-6</v>
      </c>
      <c r="Q38" s="54">
        <f t="shared" si="35"/>
        <v>1.7308343278960081E-2</v>
      </c>
      <c r="R38" s="10">
        <f t="shared" si="36"/>
        <v>5.8519590990496772E-4</v>
      </c>
      <c r="S38" s="10">
        <f t="shared" si="37"/>
        <v>5.1107001201533282E-4</v>
      </c>
      <c r="T38" s="10">
        <f t="shared" si="38"/>
        <v>0.29733248603295848</v>
      </c>
      <c r="U38" s="10">
        <f t="shared" si="39"/>
        <v>0.68426285441280499</v>
      </c>
      <c r="V38" s="10">
        <f t="shared" si="40"/>
        <v>4.9611425279355284E-8</v>
      </c>
      <c r="W38" s="10">
        <f t="shared" si="41"/>
        <v>7.4193095143062948E-10</v>
      </c>
      <c r="X38" s="163">
        <f t="shared" si="22"/>
        <v>1</v>
      </c>
      <c r="Y38" s="54">
        <f t="shared" si="42"/>
        <v>0.71614974140019827</v>
      </c>
      <c r="Z38" s="54">
        <f t="shared" si="43"/>
        <v>1.5635912111904123E-2</v>
      </c>
      <c r="AA38" s="113"/>
    </row>
    <row r="39" spans="1:27" x14ac:dyDescent="0.2">
      <c r="A39" s="20">
        <f t="shared" si="23"/>
        <v>0.34000000000000014</v>
      </c>
      <c r="B39" s="23">
        <f t="shared" si="24"/>
        <v>0.01</v>
      </c>
      <c r="C39" s="12">
        <f t="shared" si="25"/>
        <v>0</v>
      </c>
      <c r="D39" s="12">
        <f t="shared" si="26"/>
        <v>1198.51644454703</v>
      </c>
      <c r="E39" s="23">
        <f t="shared" si="44"/>
        <v>0.32740281688792627</v>
      </c>
      <c r="F39" s="23">
        <f t="shared" ref="F39:F70" si="48">+F38-$B38*(Y38/2)</f>
        <v>135.8612459982678</v>
      </c>
      <c r="G39" s="95">
        <f t="shared" si="45"/>
        <v>0.35538899166455301</v>
      </c>
      <c r="H39" s="95">
        <f t="shared" si="46"/>
        <v>0.26112742830037378</v>
      </c>
      <c r="I39" s="95">
        <f t="shared" si="47"/>
        <v>5.3640457511406666E-3</v>
      </c>
      <c r="J39" s="12">
        <f t="shared" si="28"/>
        <v>0</v>
      </c>
      <c r="K39" s="12">
        <f t="shared" si="29"/>
        <v>1335.3269738279018</v>
      </c>
      <c r="L39" s="54">
        <f t="shared" si="30"/>
        <v>2.4518550385407124E-4</v>
      </c>
      <c r="M39" s="10">
        <f t="shared" si="31"/>
        <v>0.10174380407279762</v>
      </c>
      <c r="N39" s="10">
        <f t="shared" si="32"/>
        <v>2.6614379745941978E-4</v>
      </c>
      <c r="O39" s="10">
        <f t="shared" si="33"/>
        <v>1.9555317418011516E-4</v>
      </c>
      <c r="P39" s="10">
        <f t="shared" si="34"/>
        <v>4.017027931191922E-6</v>
      </c>
      <c r="Q39" s="54">
        <f t="shared" si="35"/>
        <v>1.7308827351875649E-2</v>
      </c>
      <c r="R39" s="10">
        <f t="shared" si="36"/>
        <v>5.7268708399814188E-4</v>
      </c>
      <c r="S39" s="10">
        <f t="shared" si="37"/>
        <v>5.1077982874832869E-4</v>
      </c>
      <c r="T39" s="10">
        <f t="shared" si="38"/>
        <v>0.29733376253930993</v>
      </c>
      <c r="U39" s="10">
        <f t="shared" si="39"/>
        <v>0.68427389179857279</v>
      </c>
      <c r="V39" s="10">
        <f t="shared" si="40"/>
        <v>5.0633264413821069E-8</v>
      </c>
      <c r="W39" s="10">
        <f t="shared" si="41"/>
        <v>7.6423061269634832E-10</v>
      </c>
      <c r="X39" s="163">
        <f t="shared" si="22"/>
        <v>0.99999999999999978</v>
      </c>
      <c r="Y39" s="54">
        <f t="shared" si="42"/>
        <v>0.70085049210328432</v>
      </c>
      <c r="Z39" s="54">
        <f t="shared" si="43"/>
        <v>1.562723014058685E-2</v>
      </c>
      <c r="AA39" s="113"/>
    </row>
    <row r="40" spans="1:27" x14ac:dyDescent="0.2">
      <c r="A40" s="20">
        <f t="shared" si="23"/>
        <v>0.35000000000000014</v>
      </c>
      <c r="B40" s="23">
        <f t="shared" si="24"/>
        <v>0.01</v>
      </c>
      <c r="C40" s="12">
        <f t="shared" si="25"/>
        <v>0</v>
      </c>
      <c r="D40" s="12">
        <f t="shared" si="26"/>
        <v>1198.51644454703</v>
      </c>
      <c r="E40" s="23">
        <f t="shared" si="44"/>
        <v>0.32039431196689344</v>
      </c>
      <c r="F40" s="23">
        <f t="shared" si="48"/>
        <v>135.85774174580729</v>
      </c>
      <c r="G40" s="95">
        <f t="shared" si="45"/>
        <v>0.36239749658558584</v>
      </c>
      <c r="H40" s="95">
        <f t="shared" si="46"/>
        <v>0.26097115599896792</v>
      </c>
      <c r="I40" s="95">
        <f t="shared" si="47"/>
        <v>5.5203180525465355E-3</v>
      </c>
      <c r="J40" s="12">
        <f t="shared" si="28"/>
        <v>0</v>
      </c>
      <c r="K40" s="12">
        <f t="shared" si="29"/>
        <v>1335.3234695754413</v>
      </c>
      <c r="L40" s="54">
        <f t="shared" si="30"/>
        <v>2.3993760258610674E-4</v>
      </c>
      <c r="M40" s="10">
        <f t="shared" si="31"/>
        <v>0.10174144680389877</v>
      </c>
      <c r="N40" s="10">
        <f t="shared" si="32"/>
        <v>2.7139304059473177E-4</v>
      </c>
      <c r="O40" s="10">
        <f t="shared" si="33"/>
        <v>1.9543665781740678E-4</v>
      </c>
      <c r="P40" s="10">
        <f t="shared" si="34"/>
        <v>4.1340680204637535E-6</v>
      </c>
      <c r="Q40" s="54">
        <f t="shared" si="35"/>
        <v>1.7309301223934374E-2</v>
      </c>
      <c r="R40" s="10">
        <f t="shared" si="36"/>
        <v>5.6044474784648841E-4</v>
      </c>
      <c r="S40" s="10">
        <f t="shared" si="37"/>
        <v>5.1048946655722529E-4</v>
      </c>
      <c r="T40" s="10">
        <f t="shared" si="38"/>
        <v>0.29733501377093902</v>
      </c>
      <c r="U40" s="10">
        <f t="shared" si="39"/>
        <v>0.68428469837086925</v>
      </c>
      <c r="V40" s="10">
        <f t="shared" si="40"/>
        <v>5.1633334775177928E-8</v>
      </c>
      <c r="W40" s="10">
        <f t="shared" si="41"/>
        <v>7.8651876118928621E-10</v>
      </c>
      <c r="X40" s="163">
        <f t="shared" si="22"/>
        <v>1</v>
      </c>
      <c r="Y40" s="54">
        <f t="shared" si="42"/>
        <v>0.68587681260739808</v>
      </c>
      <c r="Z40" s="54">
        <f t="shared" si="43"/>
        <v>1.5618538397688432E-2</v>
      </c>
      <c r="AA40" s="113"/>
    </row>
    <row r="41" spans="1:27" x14ac:dyDescent="0.2">
      <c r="A41" s="20">
        <f t="shared" si="23"/>
        <v>0.36000000000000015</v>
      </c>
      <c r="B41" s="23">
        <f t="shared" si="24"/>
        <v>0.01</v>
      </c>
      <c r="C41" s="12">
        <f t="shared" si="25"/>
        <v>0</v>
      </c>
      <c r="D41" s="12">
        <f t="shared" si="26"/>
        <v>1198.51644454703</v>
      </c>
      <c r="E41" s="23">
        <f t="shared" si="44"/>
        <v>0.31353554384081944</v>
      </c>
      <c r="F41" s="23">
        <f t="shared" si="48"/>
        <v>135.85431236174426</v>
      </c>
      <c r="G41" s="95">
        <f t="shared" si="45"/>
        <v>0.36925626471165984</v>
      </c>
      <c r="H41" s="95">
        <f t="shared" si="46"/>
        <v>0.26081497061499104</v>
      </c>
      <c r="I41" s="95">
        <f t="shared" si="47"/>
        <v>5.6765034365234201E-3</v>
      </c>
      <c r="J41" s="12">
        <f t="shared" si="28"/>
        <v>0</v>
      </c>
      <c r="K41" s="12">
        <f t="shared" si="29"/>
        <v>1335.320040191378</v>
      </c>
      <c r="L41" s="54">
        <f t="shared" si="30"/>
        <v>2.3480179612663009E-4</v>
      </c>
      <c r="M41" s="10">
        <f t="shared" si="31"/>
        <v>0.10173913988610074</v>
      </c>
      <c r="N41" s="10">
        <f t="shared" si="32"/>
        <v>2.765301602593623E-4</v>
      </c>
      <c r="O41" s="10">
        <f t="shared" si="33"/>
        <v>1.9532019498307766E-4</v>
      </c>
      <c r="P41" s="10">
        <f t="shared" si="34"/>
        <v>4.2510433945931527E-6</v>
      </c>
      <c r="Q41" s="54">
        <f t="shared" si="35"/>
        <v>1.7309765110882062E-2</v>
      </c>
      <c r="R41" s="10">
        <f t="shared" si="36"/>
        <v>5.4846326166489289E-4</v>
      </c>
      <c r="S41" s="10">
        <f t="shared" si="37"/>
        <v>5.101989332170593E-4</v>
      </c>
      <c r="T41" s="10">
        <f t="shared" si="38"/>
        <v>0.29733624026038435</v>
      </c>
      <c r="U41" s="10">
        <f t="shared" si="39"/>
        <v>0.68429527901295939</v>
      </c>
      <c r="V41" s="10">
        <f t="shared" si="40"/>
        <v>5.261209706029873E-8</v>
      </c>
      <c r="W41" s="10">
        <f t="shared" si="41"/>
        <v>8.0879534975174398E-10</v>
      </c>
      <c r="X41" s="163">
        <f t="shared" si="22"/>
        <v>1</v>
      </c>
      <c r="Y41" s="54">
        <f t="shared" si="42"/>
        <v>0.67122182825372367</v>
      </c>
      <c r="Z41" s="54">
        <f t="shared" si="43"/>
        <v>1.560983721396356E-2</v>
      </c>
      <c r="AA41" s="113"/>
    </row>
    <row r="42" spans="1:27" x14ac:dyDescent="0.2">
      <c r="A42" s="20">
        <f t="shared" si="23"/>
        <v>0.37000000000000016</v>
      </c>
      <c r="B42" s="23">
        <f t="shared" si="24"/>
        <v>0.01</v>
      </c>
      <c r="C42" s="12">
        <f t="shared" si="25"/>
        <v>0</v>
      </c>
      <c r="D42" s="12">
        <f t="shared" si="26"/>
        <v>1198.51644454703</v>
      </c>
      <c r="E42" s="23">
        <f t="shared" si="44"/>
        <v>0.30682332555828218</v>
      </c>
      <c r="F42" s="23">
        <f t="shared" si="48"/>
        <v>135.850956252603</v>
      </c>
      <c r="G42" s="95">
        <f t="shared" si="45"/>
        <v>0.37596848299419711</v>
      </c>
      <c r="H42" s="95">
        <f t="shared" si="46"/>
        <v>0.26065887224285139</v>
      </c>
      <c r="I42" s="95">
        <f t="shared" si="47"/>
        <v>5.8326018086630555E-3</v>
      </c>
      <c r="J42" s="12">
        <f t="shared" si="28"/>
        <v>0</v>
      </c>
      <c r="K42" s="12">
        <f t="shared" si="29"/>
        <v>1335.3166840822371</v>
      </c>
      <c r="L42" s="54">
        <f t="shared" si="30"/>
        <v>2.2977569981398217E-4</v>
      </c>
      <c r="M42" s="10">
        <f t="shared" si="31"/>
        <v>0.1017368822482536</v>
      </c>
      <c r="N42" s="10">
        <f t="shared" si="32"/>
        <v>2.815575417247184E-4</v>
      </c>
      <c r="O42" s="10">
        <f t="shared" si="33"/>
        <v>1.9520378600077344E-4</v>
      </c>
      <c r="P42" s="10">
        <f t="shared" si="34"/>
        <v>4.367953967917207E-6</v>
      </c>
      <c r="Q42" s="54">
        <f t="shared" si="35"/>
        <v>1.7310219223962187E-2</v>
      </c>
      <c r="R42" s="10">
        <f t="shared" si="36"/>
        <v>5.3673710344182902E-4</v>
      </c>
      <c r="S42" s="10">
        <f t="shared" si="37"/>
        <v>5.0990823633356339E-4</v>
      </c>
      <c r="T42" s="10">
        <f t="shared" si="38"/>
        <v>0.29733744252911498</v>
      </c>
      <c r="U42" s="10">
        <f t="shared" si="39"/>
        <v>0.68430563850608472</v>
      </c>
      <c r="V42" s="10">
        <f t="shared" si="40"/>
        <v>5.357000234550735E-8</v>
      </c>
      <c r="W42" s="10">
        <f t="shared" si="41"/>
        <v>8.3106033272292342E-10</v>
      </c>
      <c r="X42" s="163">
        <f t="shared" si="22"/>
        <v>0.99999999999999989</v>
      </c>
      <c r="Y42" s="54">
        <f t="shared" si="42"/>
        <v>0.6568788072917271</v>
      </c>
      <c r="Z42" s="54">
        <f t="shared" si="43"/>
        <v>1.5601126913013023E-2</v>
      </c>
      <c r="AA42" s="113"/>
    </row>
    <row r="43" spans="1:27" x14ac:dyDescent="0.2">
      <c r="A43" s="20">
        <f t="shared" si="23"/>
        <v>0.38000000000000017</v>
      </c>
      <c r="B43" s="23">
        <f t="shared" si="24"/>
        <v>0.01</v>
      </c>
      <c r="C43" s="12">
        <f t="shared" si="25"/>
        <v>0</v>
      </c>
      <c r="D43" s="12">
        <f t="shared" si="26"/>
        <v>1198.51644454703</v>
      </c>
      <c r="E43" s="23">
        <f t="shared" si="44"/>
        <v>0.3002545374853649</v>
      </c>
      <c r="F43" s="23">
        <f t="shared" si="48"/>
        <v>135.84767185856654</v>
      </c>
      <c r="G43" s="95">
        <f t="shared" si="45"/>
        <v>0.38253727106711438</v>
      </c>
      <c r="H43" s="95">
        <f t="shared" si="46"/>
        <v>0.26050286097372127</v>
      </c>
      <c r="I43" s="95">
        <f t="shared" si="47"/>
        <v>5.9886130777931854E-3</v>
      </c>
      <c r="J43" s="12">
        <f t="shared" si="28"/>
        <v>0</v>
      </c>
      <c r="K43" s="12">
        <f t="shared" si="29"/>
        <v>1335.3133996882007</v>
      </c>
      <c r="L43" s="54">
        <f t="shared" si="30"/>
        <v>2.2485697930948282E-4</v>
      </c>
      <c r="M43" s="10">
        <f t="shared" si="31"/>
        <v>0.10173467284181177</v>
      </c>
      <c r="N43" s="10">
        <f t="shared" si="32"/>
        <v>2.8647751992636177E-4</v>
      </c>
      <c r="O43" s="10">
        <f t="shared" si="33"/>
        <v>1.9508743118622893E-4</v>
      </c>
      <c r="P43" s="10">
        <f t="shared" si="34"/>
        <v>4.4847996576620458E-6</v>
      </c>
      <c r="Q43" s="54">
        <f t="shared" si="35"/>
        <v>1.7310663770007242E-2</v>
      </c>
      <c r="R43" s="10">
        <f t="shared" si="36"/>
        <v>5.2526086654677145E-4</v>
      </c>
      <c r="S43" s="10">
        <f t="shared" si="37"/>
        <v>5.0961738334671458E-4</v>
      </c>
      <c r="T43" s="10">
        <f t="shared" si="38"/>
        <v>0.29733862108775433</v>
      </c>
      <c r="U43" s="10">
        <f t="shared" si="39"/>
        <v>0.68431578153153894</v>
      </c>
      <c r="V43" s="10">
        <f t="shared" si="40"/>
        <v>5.4507492282021106E-8</v>
      </c>
      <c r="W43" s="10">
        <f t="shared" si="41"/>
        <v>8.5331366590042168E-10</v>
      </c>
      <c r="X43" s="163">
        <f t="shared" si="22"/>
        <v>1</v>
      </c>
      <c r="Y43" s="54">
        <f t="shared" si="42"/>
        <v>0.64284115800374508</v>
      </c>
      <c r="Z43" s="54">
        <f t="shared" si="43"/>
        <v>1.5592407811432719E-2</v>
      </c>
      <c r="AA43" s="113"/>
    </row>
    <row r="44" spans="1:27" x14ac:dyDescent="0.2">
      <c r="A44" s="20">
        <f t="shared" si="23"/>
        <v>0.39000000000000018</v>
      </c>
      <c r="B44" s="23">
        <f t="shared" si="24"/>
        <v>0.01</v>
      </c>
      <c r="C44" s="12">
        <f t="shared" si="25"/>
        <v>0</v>
      </c>
      <c r="D44" s="12">
        <f t="shared" si="26"/>
        <v>1198.51644454703</v>
      </c>
      <c r="E44" s="23">
        <f t="shared" si="44"/>
        <v>0.29382612590532747</v>
      </c>
      <c r="F44" s="23">
        <f t="shared" si="48"/>
        <v>135.84445765277653</v>
      </c>
      <c r="G44" s="95">
        <f t="shared" si="45"/>
        <v>0.38896568264715181</v>
      </c>
      <c r="H44" s="95">
        <f t="shared" si="46"/>
        <v>0.26034693689560695</v>
      </c>
      <c r="I44" s="95">
        <f t="shared" si="47"/>
        <v>6.1445371559075129E-3</v>
      </c>
      <c r="J44" s="12">
        <f t="shared" si="28"/>
        <v>0</v>
      </c>
      <c r="K44" s="12">
        <f t="shared" si="29"/>
        <v>1335.3101854824104</v>
      </c>
      <c r="L44" s="54">
        <f t="shared" si="30"/>
        <v>2.2004334955265565E-4</v>
      </c>
      <c r="M44" s="10">
        <f t="shared" si="31"/>
        <v>0.10173251064036459</v>
      </c>
      <c r="N44" s="10">
        <f t="shared" si="32"/>
        <v>2.9129238050904952E-4</v>
      </c>
      <c r="O44" s="10">
        <f t="shared" si="33"/>
        <v>1.9497113084743741E-4</v>
      </c>
      <c r="P44" s="10">
        <f t="shared" si="34"/>
        <v>4.6015803838773709E-6</v>
      </c>
      <c r="Q44" s="54">
        <f t="shared" si="35"/>
        <v>1.7311098951528325E-2</v>
      </c>
      <c r="R44" s="10">
        <f t="shared" si="36"/>
        <v>5.1402925738337269E-4</v>
      </c>
      <c r="S44" s="10">
        <f t="shared" si="37"/>
        <v>5.0932638153420879E-4</v>
      </c>
      <c r="T44" s="10">
        <f t="shared" si="38"/>
        <v>0.29733977643629766</v>
      </c>
      <c r="U44" s="10">
        <f t="shared" si="39"/>
        <v>0.68432571267270192</v>
      </c>
      <c r="V44" s="10">
        <f t="shared" si="40"/>
        <v>5.5424999287654326E-8</v>
      </c>
      <c r="W44" s="10">
        <f t="shared" si="41"/>
        <v>8.7555530650264989E-10</v>
      </c>
      <c r="X44" s="163">
        <f t="shared" si="22"/>
        <v>1.0000000000000002</v>
      </c>
      <c r="Y44" s="54">
        <f t="shared" si="42"/>
        <v>0.62910242588336984</v>
      </c>
      <c r="Z44" s="54">
        <f t="shared" si="43"/>
        <v>1.558368021895965E-2</v>
      </c>
      <c r="AA44" s="113"/>
    </row>
    <row r="45" spans="1:27" x14ac:dyDescent="0.2">
      <c r="A45" s="20">
        <f t="shared" si="23"/>
        <v>0.40000000000000019</v>
      </c>
      <c r="B45" s="23">
        <f t="shared" si="24"/>
        <v>0.01</v>
      </c>
      <c r="C45" s="12">
        <f t="shared" si="25"/>
        <v>0</v>
      </c>
      <c r="D45" s="12">
        <f t="shared" si="26"/>
        <v>1198.51644454703</v>
      </c>
      <c r="E45" s="23">
        <f t="shared" si="44"/>
        <v>0.28753510164649376</v>
      </c>
      <c r="F45" s="23">
        <f t="shared" si="48"/>
        <v>135.84131214064712</v>
      </c>
      <c r="G45" s="95">
        <f t="shared" si="45"/>
        <v>0.39525670690598552</v>
      </c>
      <c r="H45" s="95">
        <f t="shared" si="46"/>
        <v>0.26019110009341734</v>
      </c>
      <c r="I45" s="95">
        <f t="shared" si="47"/>
        <v>6.3003739580971092E-3</v>
      </c>
      <c r="J45" s="12">
        <f t="shared" si="28"/>
        <v>0</v>
      </c>
      <c r="K45" s="12">
        <f t="shared" si="29"/>
        <v>1335.3070399702808</v>
      </c>
      <c r="L45" s="54">
        <f t="shared" si="30"/>
        <v>2.1533257373741792E-4</v>
      </c>
      <c r="M45" s="10">
        <f t="shared" si="31"/>
        <v>0.10173039463917637</v>
      </c>
      <c r="N45" s="10">
        <f t="shared" si="32"/>
        <v>2.9600436085080664E-4</v>
      </c>
      <c r="O45" s="10">
        <f t="shared" si="33"/>
        <v>1.9485488528481678E-4</v>
      </c>
      <c r="P45" s="10">
        <f t="shared" si="34"/>
        <v>4.7182960693724296E-6</v>
      </c>
      <c r="Q45" s="54">
        <f t="shared" si="35"/>
        <v>1.7311524966803028E-2</v>
      </c>
      <c r="R45" s="10">
        <f t="shared" si="36"/>
        <v>5.0303709308765544E-4</v>
      </c>
      <c r="S45" s="10">
        <f t="shared" si="37"/>
        <v>5.090352380148689E-4</v>
      </c>
      <c r="T45" s="10">
        <f t="shared" si="38"/>
        <v>0.2973409090643267</v>
      </c>
      <c r="U45" s="10">
        <f t="shared" si="39"/>
        <v>0.68433543641703587</v>
      </c>
      <c r="V45" s="10">
        <f t="shared" si="40"/>
        <v>5.6322946734845071E-8</v>
      </c>
      <c r="W45" s="10">
        <f t="shared" si="41"/>
        <v>8.9778521313216677E-10</v>
      </c>
      <c r="X45" s="163">
        <f t="shared" si="22"/>
        <v>1</v>
      </c>
      <c r="Y45" s="54">
        <f t="shared" si="42"/>
        <v>0.61565629086680163</v>
      </c>
      <c r="Z45" s="54">
        <f t="shared" si="43"/>
        <v>1.5574944438615079E-2</v>
      </c>
      <c r="AA45" s="113"/>
    </row>
    <row r="46" spans="1:27" x14ac:dyDescent="0.2">
      <c r="A46" s="20">
        <f t="shared" si="23"/>
        <v>0.4100000000000002</v>
      </c>
      <c r="B46" s="23">
        <f t="shared" si="24"/>
        <v>0.01</v>
      </c>
      <c r="C46" s="12">
        <f t="shared" si="25"/>
        <v>0</v>
      </c>
      <c r="D46" s="12">
        <f t="shared" si="26"/>
        <v>1198.51644454703</v>
      </c>
      <c r="E46" s="23">
        <f t="shared" si="44"/>
        <v>0.28137853873782576</v>
      </c>
      <c r="F46" s="23">
        <f t="shared" si="48"/>
        <v>135.8382338591928</v>
      </c>
      <c r="G46" s="95">
        <f t="shared" si="45"/>
        <v>0.40141326981465353</v>
      </c>
      <c r="H46" s="95">
        <f t="shared" si="46"/>
        <v>0.26003535064903116</v>
      </c>
      <c r="I46" s="95">
        <f t="shared" si="47"/>
        <v>6.4561234024832596E-3</v>
      </c>
      <c r="J46" s="12">
        <f t="shared" si="28"/>
        <v>0</v>
      </c>
      <c r="K46" s="12">
        <f t="shared" si="29"/>
        <v>1335.3039616888268</v>
      </c>
      <c r="L46" s="54">
        <f t="shared" si="30"/>
        <v>2.1072246230884541E-4</v>
      </c>
      <c r="M46" s="10">
        <f t="shared" si="31"/>
        <v>0.10172832385473587</v>
      </c>
      <c r="N46" s="10">
        <f t="shared" si="32"/>
        <v>3.0061565106641769E-4</v>
      </c>
      <c r="O46" s="10">
        <f t="shared" si="33"/>
        <v>1.9473869479137262E-4</v>
      </c>
      <c r="P46" s="10">
        <f t="shared" si="34"/>
        <v>4.8349466396533957E-6</v>
      </c>
      <c r="Q46" s="54">
        <f t="shared" si="35"/>
        <v>1.731194200996165E-2</v>
      </c>
      <c r="R46" s="10">
        <f t="shared" si="36"/>
        <v>4.9227929927047459E-4</v>
      </c>
      <c r="S46" s="10">
        <f t="shared" si="37"/>
        <v>5.0874395975198468E-4</v>
      </c>
      <c r="T46" s="10">
        <f t="shared" si="38"/>
        <v>0.2973420194512203</v>
      </c>
      <c r="U46" s="10">
        <f t="shared" si="39"/>
        <v>0.68434495715804322</v>
      </c>
      <c r="V46" s="10">
        <f t="shared" si="40"/>
        <v>5.720174913506581E-8</v>
      </c>
      <c r="W46" s="10">
        <f t="shared" si="41"/>
        <v>9.2000334573990121E-10</v>
      </c>
      <c r="X46" s="163">
        <f t="shared" si="22"/>
        <v>1.0000000000000002</v>
      </c>
      <c r="Y46" s="54">
        <f t="shared" si="42"/>
        <v>0.60249656461634582</v>
      </c>
      <c r="Z46" s="54">
        <f t="shared" si="43"/>
        <v>1.5566200766844942E-2</v>
      </c>
      <c r="AA46" s="113"/>
    </row>
    <row r="47" spans="1:27" x14ac:dyDescent="0.2">
      <c r="A47" s="20">
        <f t="shared" si="23"/>
        <v>0.42000000000000021</v>
      </c>
      <c r="B47" s="23">
        <f t="shared" si="24"/>
        <v>0.01</v>
      </c>
      <c r="C47" s="12">
        <f t="shared" si="25"/>
        <v>0</v>
      </c>
      <c r="D47" s="12">
        <f t="shared" si="26"/>
        <v>1198.51644454703</v>
      </c>
      <c r="E47" s="23">
        <f t="shared" si="44"/>
        <v>0.27535357309166231</v>
      </c>
      <c r="F47" s="23">
        <f t="shared" si="48"/>
        <v>135.8352213763697</v>
      </c>
      <c r="G47" s="95">
        <f t="shared" si="45"/>
        <v>0.40743823546081698</v>
      </c>
      <c r="H47" s="95">
        <f t="shared" si="46"/>
        <v>0.25987968864136274</v>
      </c>
      <c r="I47" s="95">
        <f t="shared" si="47"/>
        <v>6.6117854101517088E-3</v>
      </c>
      <c r="J47" s="12">
        <f t="shared" si="28"/>
        <v>0</v>
      </c>
      <c r="K47" s="12">
        <f t="shared" si="29"/>
        <v>1335.3009492060037</v>
      </c>
      <c r="L47" s="54">
        <f t="shared" si="30"/>
        <v>2.0621087198012777E-4</v>
      </c>
      <c r="M47" s="10">
        <f t="shared" si="31"/>
        <v>0.1017262973243148</v>
      </c>
      <c r="N47" s="10">
        <f t="shared" si="32"/>
        <v>3.0512839499072312E-4</v>
      </c>
      <c r="O47" s="10">
        <f t="shared" si="33"/>
        <v>1.9462255965285754E-4</v>
      </c>
      <c r="P47" s="10">
        <f t="shared" si="34"/>
        <v>4.9515320228621172E-6</v>
      </c>
      <c r="Q47" s="54">
        <f t="shared" si="35"/>
        <v>1.7312350271071711E-2</v>
      </c>
      <c r="R47" s="10">
        <f t="shared" si="36"/>
        <v>4.8175090780350525E-4</v>
      </c>
      <c r="S47" s="10">
        <f t="shared" si="37"/>
        <v>5.0845255355658539E-4</v>
      </c>
      <c r="T47" s="10">
        <f t="shared" si="38"/>
        <v>0.29734310806636094</v>
      </c>
      <c r="U47" s="10">
        <f t="shared" si="39"/>
        <v>0.68435427919718539</v>
      </c>
      <c r="V47" s="10">
        <f t="shared" si="40"/>
        <v>5.8061812319678321E-8</v>
      </c>
      <c r="W47" s="10">
        <f t="shared" si="41"/>
        <v>9.4220966559024491E-10</v>
      </c>
      <c r="X47" s="163">
        <f t="shared" si="22"/>
        <v>1.0000000000000002</v>
      </c>
      <c r="Y47" s="54">
        <f t="shared" si="42"/>
        <v>0.5896171878552281</v>
      </c>
      <c r="Z47" s="54">
        <f t="shared" si="43"/>
        <v>1.5557449493657413E-2</v>
      </c>
      <c r="AA47" s="113"/>
    </row>
    <row r="48" spans="1:27" x14ac:dyDescent="0.2">
      <c r="A48" s="20">
        <f t="shared" si="23"/>
        <v>0.43000000000000022</v>
      </c>
      <c r="B48" s="23">
        <f t="shared" si="24"/>
        <v>0.01</v>
      </c>
      <c r="C48" s="12">
        <f t="shared" si="25"/>
        <v>0</v>
      </c>
      <c r="D48" s="12">
        <f t="shared" si="26"/>
        <v>1198.51644454703</v>
      </c>
      <c r="E48" s="23">
        <f t="shared" si="44"/>
        <v>0.26945740121311001</v>
      </c>
      <c r="F48" s="23">
        <f t="shared" si="48"/>
        <v>135.83227329043044</v>
      </c>
      <c r="G48" s="95">
        <f t="shared" si="45"/>
        <v>0.41333440733936927</v>
      </c>
      <c r="H48" s="95">
        <f t="shared" si="46"/>
        <v>0.25972411414642615</v>
      </c>
      <c r="I48" s="95">
        <f t="shared" si="47"/>
        <v>6.7673599050882827E-3</v>
      </c>
      <c r="J48" s="12">
        <f t="shared" si="28"/>
        <v>0</v>
      </c>
      <c r="K48" s="12">
        <f t="shared" si="29"/>
        <v>1335.2980011200643</v>
      </c>
      <c r="L48" s="54">
        <f t="shared" si="30"/>
        <v>2.0179570476933678E-4</v>
      </c>
      <c r="M48" s="10">
        <f t="shared" si="31"/>
        <v>0.10172431410553499</v>
      </c>
      <c r="N48" s="10">
        <f t="shared" si="32"/>
        <v>3.095446911420966E-4</v>
      </c>
      <c r="O48" s="10">
        <f t="shared" si="33"/>
        <v>1.9450648014792681E-4</v>
      </c>
      <c r="P48" s="10">
        <f t="shared" si="34"/>
        <v>5.0680521497161966E-6</v>
      </c>
      <c r="Q48" s="54">
        <f t="shared" si="35"/>
        <v>1.7312749936220884E-2</v>
      </c>
      <c r="R48" s="10">
        <f t="shared" si="36"/>
        <v>4.7144705464802965E-4</v>
      </c>
      <c r="S48" s="10">
        <f t="shared" si="37"/>
        <v>5.0816102609064595E-4</v>
      </c>
      <c r="T48" s="10">
        <f t="shared" si="38"/>
        <v>0.29734417536933688</v>
      </c>
      <c r="U48" s="10">
        <f t="shared" si="39"/>
        <v>0.68436340674576579</v>
      </c>
      <c r="V48" s="10">
        <f t="shared" si="40"/>
        <v>5.890353361729262E-8</v>
      </c>
      <c r="W48" s="10">
        <f t="shared" si="41"/>
        <v>9.6440413522699223E-10</v>
      </c>
      <c r="X48" s="163">
        <f t="shared" si="22"/>
        <v>1</v>
      </c>
      <c r="Y48" s="54">
        <f t="shared" si="42"/>
        <v>0.57701222775291694</v>
      </c>
      <c r="Z48" s="54">
        <f t="shared" si="43"/>
        <v>1.5548690902757751E-2</v>
      </c>
      <c r="AA48" s="113"/>
    </row>
    <row r="49" spans="1:27" x14ac:dyDescent="0.2">
      <c r="A49" s="20">
        <f t="shared" si="23"/>
        <v>0.44000000000000022</v>
      </c>
      <c r="B49" s="23">
        <f t="shared" si="24"/>
        <v>0.01</v>
      </c>
      <c r="C49" s="12">
        <f t="shared" si="25"/>
        <v>0</v>
      </c>
      <c r="D49" s="12">
        <f t="shared" si="26"/>
        <v>1198.51644454703</v>
      </c>
      <c r="E49" s="23">
        <f t="shared" si="44"/>
        <v>0.26368727893558086</v>
      </c>
      <c r="F49" s="23">
        <f t="shared" si="48"/>
        <v>135.82938822929168</v>
      </c>
      <c r="G49" s="95">
        <f t="shared" si="45"/>
        <v>0.41910452961689842</v>
      </c>
      <c r="H49" s="95">
        <f t="shared" si="46"/>
        <v>0.2595686272373986</v>
      </c>
      <c r="I49" s="95">
        <f t="shared" si="47"/>
        <v>6.9228468141158605E-3</v>
      </c>
      <c r="J49" s="12">
        <f t="shared" si="28"/>
        <v>0</v>
      </c>
      <c r="K49" s="12">
        <f t="shared" si="29"/>
        <v>1335.2951160589255</v>
      </c>
      <c r="L49" s="54">
        <f t="shared" si="30"/>
        <v>1.974749070556359E-4</v>
      </c>
      <c r="M49" s="10">
        <f t="shared" si="31"/>
        <v>0.10172237327594452</v>
      </c>
      <c r="N49" s="10">
        <f t="shared" si="32"/>
        <v>3.138665936664773E-4</v>
      </c>
      <c r="O49" s="10">
        <f t="shared" si="33"/>
        <v>1.9439045654829164E-4</v>
      </c>
      <c r="P49" s="10">
        <f t="shared" si="34"/>
        <v>5.1845069534504015E-6</v>
      </c>
      <c r="Q49" s="54">
        <f t="shared" si="35"/>
        <v>1.7313141187598316E-2</v>
      </c>
      <c r="R49" s="10">
        <f t="shared" si="36"/>
        <v>4.6136297772579734E-4</v>
      </c>
      <c r="S49" s="10">
        <f t="shared" si="37"/>
        <v>5.0786938387023138E-4</v>
      </c>
      <c r="T49" s="10">
        <f t="shared" si="38"/>
        <v>0.29734522181014111</v>
      </c>
      <c r="U49" s="10">
        <f t="shared" si="39"/>
        <v>0.68437234392677571</v>
      </c>
      <c r="V49" s="10">
        <f t="shared" si="40"/>
        <v>5.9727302027689295E-8</v>
      </c>
      <c r="W49" s="10">
        <f t="shared" si="41"/>
        <v>9.8658671844011694E-10</v>
      </c>
      <c r="X49" s="163">
        <f t="shared" si="22"/>
        <v>0.99999999999999989</v>
      </c>
      <c r="Y49" s="54">
        <f t="shared" si="42"/>
        <v>0.56467587536014507</v>
      </c>
      <c r="Z49" s="54">
        <f t="shared" si="43"/>
        <v>1.5539925271680528E-2</v>
      </c>
      <c r="AA49" s="113"/>
    </row>
    <row r="50" spans="1:27" x14ac:dyDescent="0.2">
      <c r="A50" s="20">
        <f t="shared" si="23"/>
        <v>0.45000000000000023</v>
      </c>
      <c r="B50" s="23">
        <f t="shared" si="24"/>
        <v>0.01</v>
      </c>
      <c r="C50" s="12">
        <f t="shared" si="25"/>
        <v>0</v>
      </c>
      <c r="D50" s="12">
        <f t="shared" si="26"/>
        <v>1198.51644454703</v>
      </c>
      <c r="E50" s="23">
        <f t="shared" si="44"/>
        <v>0.25804052018197943</v>
      </c>
      <c r="F50" s="23">
        <f t="shared" si="48"/>
        <v>135.82656484991489</v>
      </c>
      <c r="G50" s="95">
        <f t="shared" si="45"/>
        <v>0.42475128837049986</v>
      </c>
      <c r="H50" s="95">
        <f t="shared" si="46"/>
        <v>0.2594132279846818</v>
      </c>
      <c r="I50" s="95">
        <f t="shared" si="47"/>
        <v>7.078246066832666E-3</v>
      </c>
      <c r="J50" s="12">
        <f t="shared" si="28"/>
        <v>0</v>
      </c>
      <c r="K50" s="12">
        <f t="shared" si="29"/>
        <v>1335.2922926795488</v>
      </c>
      <c r="L50" s="54">
        <f t="shared" si="30"/>
        <v>1.9324646865456408E-4</v>
      </c>
      <c r="M50" s="10">
        <f t="shared" si="31"/>
        <v>0.10172047393260236</v>
      </c>
      <c r="N50" s="10">
        <f t="shared" si="32"/>
        <v>3.1809611326232234E-4</v>
      </c>
      <c r="O50" s="10">
        <f t="shared" si="33"/>
        <v>1.9427448911886838E-4</v>
      </c>
      <c r="P50" s="10">
        <f t="shared" si="34"/>
        <v>5.3008963697593542E-6</v>
      </c>
      <c r="Q50" s="54">
        <f t="shared" si="35"/>
        <v>1.7313524203574331E-2</v>
      </c>
      <c r="R50" s="10">
        <f t="shared" si="36"/>
        <v>4.5149401483124055E-4</v>
      </c>
      <c r="S50" s="10">
        <f t="shared" si="37"/>
        <v>5.0757763326857478E-4</v>
      </c>
      <c r="T50" s="10">
        <f t="shared" si="38"/>
        <v>0.29734624782936614</v>
      </c>
      <c r="U50" s="10">
        <f t="shared" si="39"/>
        <v>0.68438109477670395</v>
      </c>
      <c r="V50" s="10">
        <f t="shared" si="40"/>
        <v>6.0533498392363353E-8</v>
      </c>
      <c r="W50" s="10">
        <f t="shared" si="41"/>
        <v>1.0087573802333543E-9</v>
      </c>
      <c r="X50" s="163">
        <f t="shared" si="22"/>
        <v>1</v>
      </c>
      <c r="Y50" s="54">
        <f t="shared" si="42"/>
        <v>0.55260244309282258</v>
      </c>
      <c r="Z50" s="54">
        <f t="shared" si="43"/>
        <v>1.553115287191916E-2</v>
      </c>
      <c r="AA50" s="113"/>
    </row>
    <row r="51" spans="1:27" x14ac:dyDescent="0.2">
      <c r="A51" s="20">
        <f t="shared" si="23"/>
        <v>0.46000000000000024</v>
      </c>
      <c r="B51" s="23">
        <f t="shared" si="24"/>
        <v>0.01</v>
      </c>
      <c r="C51" s="12">
        <f t="shared" si="25"/>
        <v>0</v>
      </c>
      <c r="D51" s="12">
        <f t="shared" si="26"/>
        <v>1198.51644454703</v>
      </c>
      <c r="E51" s="23">
        <f t="shared" si="44"/>
        <v>0.25251449575105123</v>
      </c>
      <c r="F51" s="23">
        <f t="shared" si="48"/>
        <v>135.82380183769942</v>
      </c>
      <c r="G51" s="95">
        <f t="shared" si="45"/>
        <v>0.43027731280142806</v>
      </c>
      <c r="H51" s="95">
        <f t="shared" si="46"/>
        <v>0.25925791645596263</v>
      </c>
      <c r="I51" s="95">
        <f t="shared" si="47"/>
        <v>7.2335575955518577E-3</v>
      </c>
      <c r="J51" s="12">
        <f t="shared" si="28"/>
        <v>0</v>
      </c>
      <c r="K51" s="12">
        <f t="shared" si="29"/>
        <v>1335.2895296673335</v>
      </c>
      <c r="L51" s="54">
        <f t="shared" si="30"/>
        <v>1.8910842191203377E-4</v>
      </c>
      <c r="M51" s="10">
        <f t="shared" si="31"/>
        <v>0.10171861519167143</v>
      </c>
      <c r="N51" s="10">
        <f t="shared" si="32"/>
        <v>3.2223521808684061E-4</v>
      </c>
      <c r="O51" s="10">
        <f t="shared" si="33"/>
        <v>1.9415857811792524E-4</v>
      </c>
      <c r="P51" s="10">
        <f t="shared" si="34"/>
        <v>5.4172203367414897E-6</v>
      </c>
      <c r="Q51" s="54">
        <f t="shared" si="35"/>
        <v>1.7313899158778644E-2</v>
      </c>
      <c r="R51" s="10">
        <f t="shared" si="36"/>
        <v>4.4183560158433862E-4</v>
      </c>
      <c r="S51" s="10">
        <f t="shared" si="37"/>
        <v>5.072857805190963E-4</v>
      </c>
      <c r="T51" s="10">
        <f t="shared" si="38"/>
        <v>0.29734725385839511</v>
      </c>
      <c r="U51" s="10">
        <f t="shared" si="39"/>
        <v>0.68438966324731099</v>
      </c>
      <c r="V51" s="10">
        <f t="shared" si="40"/>
        <v>6.132249556174793E-8</v>
      </c>
      <c r="W51" s="10">
        <f t="shared" si="41"/>
        <v>1.030916086792584E-9</v>
      </c>
      <c r="X51" s="163">
        <f t="shared" si="22"/>
        <v>0.99999999999999989</v>
      </c>
      <c r="Y51" s="54">
        <f t="shared" si="42"/>
        <v>0.54078636226405086</v>
      </c>
      <c r="Z51" s="54">
        <f t="shared" si="43"/>
        <v>1.5522373969052889E-2</v>
      </c>
      <c r="AA51" s="113"/>
    </row>
    <row r="52" spans="1:27" x14ac:dyDescent="0.2">
      <c r="A52" s="20">
        <f t="shared" si="23"/>
        <v>0.47000000000000025</v>
      </c>
      <c r="B52" s="23">
        <f t="shared" si="24"/>
        <v>0.01</v>
      </c>
      <c r="C52" s="12">
        <f t="shared" si="25"/>
        <v>0</v>
      </c>
      <c r="D52" s="12">
        <f t="shared" si="26"/>
        <v>1198.51644454703</v>
      </c>
      <c r="E52" s="23">
        <f t="shared" si="44"/>
        <v>0.24710663212841072</v>
      </c>
      <c r="F52" s="23">
        <f t="shared" si="48"/>
        <v>135.82109790588811</v>
      </c>
      <c r="G52" s="95">
        <f t="shared" si="45"/>
        <v>0.43568517642406857</v>
      </c>
      <c r="H52" s="95">
        <f t="shared" si="46"/>
        <v>0.25910269271627212</v>
      </c>
      <c r="I52" s="95">
        <f t="shared" si="47"/>
        <v>7.3887813352423864E-3</v>
      </c>
      <c r="J52" s="12">
        <f t="shared" si="28"/>
        <v>0</v>
      </c>
      <c r="K52" s="12">
        <f t="shared" si="29"/>
        <v>1335.2868257355221</v>
      </c>
      <c r="L52" s="54">
        <f t="shared" si="30"/>
        <v>1.850588408166881E-4</v>
      </c>
      <c r="M52" s="10">
        <f t="shared" si="31"/>
        <v>0.10171679618801986</v>
      </c>
      <c r="N52" s="10">
        <f t="shared" si="32"/>
        <v>3.2628583464386248E-4</v>
      </c>
      <c r="O52" s="10">
        <f t="shared" si="33"/>
        <v>1.9404272379722567E-4</v>
      </c>
      <c r="P52" s="10">
        <f t="shared" si="34"/>
        <v>5.533478794844239E-6</v>
      </c>
      <c r="Q52" s="54">
        <f t="shared" si="35"/>
        <v>1.7314266224177019E-2</v>
      </c>
      <c r="R52" s="10">
        <f t="shared" si="36"/>
        <v>4.3238326942342828E-4</v>
      </c>
      <c r="S52" s="10">
        <f t="shared" si="37"/>
        <v>5.0699383171835919E-4</v>
      </c>
      <c r="T52" s="10">
        <f t="shared" si="38"/>
        <v>0.29734824031958951</v>
      </c>
      <c r="U52" s="10">
        <f t="shared" si="39"/>
        <v>0.68439805320737046</v>
      </c>
      <c r="V52" s="10">
        <f t="shared" si="40"/>
        <v>6.20946585591748E-8</v>
      </c>
      <c r="W52" s="10">
        <f t="shared" si="41"/>
        <v>1.0530628054549848E-9</v>
      </c>
      <c r="X52" s="163">
        <f t="shared" si="22"/>
        <v>1</v>
      </c>
      <c r="Y52" s="54">
        <f t="shared" si="42"/>
        <v>0.52922218066344517</v>
      </c>
      <c r="Z52" s="54">
        <f t="shared" si="43"/>
        <v>1.551358882287128E-2</v>
      </c>
      <c r="AA52" s="113"/>
    </row>
    <row r="53" spans="1:27" x14ac:dyDescent="0.2">
      <c r="A53" s="20">
        <f t="shared" si="23"/>
        <v>0.48000000000000026</v>
      </c>
      <c r="B53" s="23">
        <f t="shared" si="24"/>
        <v>0.01</v>
      </c>
      <c r="C53" s="12">
        <f t="shared" si="25"/>
        <v>0</v>
      </c>
      <c r="D53" s="12">
        <f t="shared" si="26"/>
        <v>1198.51644454703</v>
      </c>
      <c r="E53" s="23">
        <f t="shared" si="44"/>
        <v>0.24181441032177628</v>
      </c>
      <c r="F53" s="23">
        <f t="shared" si="48"/>
        <v>135.81845179498478</v>
      </c>
      <c r="G53" s="95">
        <f t="shared" si="45"/>
        <v>0.44097739823070303</v>
      </c>
      <c r="H53" s="95">
        <f t="shared" si="46"/>
        <v>0.25894755682804343</v>
      </c>
      <c r="I53" s="95">
        <f t="shared" si="47"/>
        <v>7.5439172234710991E-3</v>
      </c>
      <c r="J53" s="12">
        <f t="shared" si="28"/>
        <v>0</v>
      </c>
      <c r="K53" s="12">
        <f t="shared" si="29"/>
        <v>1335.2841796246187</v>
      </c>
      <c r="L53" s="54">
        <f t="shared" si="30"/>
        <v>1.8109584013026821E-4</v>
      </c>
      <c r="M53" s="10">
        <f t="shared" si="31"/>
        <v>0.10171501607483038</v>
      </c>
      <c r="N53" s="10">
        <f t="shared" si="32"/>
        <v>3.3024984865369459E-4</v>
      </c>
      <c r="O53" s="10">
        <f t="shared" si="33"/>
        <v>1.9392692640216855E-4</v>
      </c>
      <c r="P53" s="10">
        <f t="shared" si="34"/>
        <v>5.6496716868104287E-6</v>
      </c>
      <c r="Q53" s="54">
        <f t="shared" si="35"/>
        <v>1.7314625567146417E-2</v>
      </c>
      <c r="R53" s="10">
        <f t="shared" si="36"/>
        <v>4.2313264363726762E-4</v>
      </c>
      <c r="S53" s="10">
        <f t="shared" si="37"/>
        <v>5.067017928289657E-4</v>
      </c>
      <c r="T53" s="10">
        <f t="shared" si="38"/>
        <v>0.2973492076264726</v>
      </c>
      <c r="U53" s="10">
        <f t="shared" si="39"/>
        <v>0.68440626844437247</v>
      </c>
      <c r="V53" s="10">
        <f t="shared" si="40"/>
        <v>6.2850344741628327E-8</v>
      </c>
      <c r="W53" s="10">
        <f t="shared" si="41"/>
        <v>1.0751975046789467E-9</v>
      </c>
      <c r="X53" s="163">
        <f t="shared" si="22"/>
        <v>0.99999999999999989</v>
      </c>
      <c r="Y53" s="54">
        <f t="shared" si="42"/>
        <v>0.51790456018297937</v>
      </c>
      <c r="Z53" s="54">
        <f t="shared" si="43"/>
        <v>1.5504797687496061E-2</v>
      </c>
      <c r="AA53" s="113"/>
    </row>
    <row r="54" spans="1:27" x14ac:dyDescent="0.2">
      <c r="A54" s="20">
        <f t="shared" si="23"/>
        <v>0.49000000000000027</v>
      </c>
      <c r="B54" s="23">
        <f t="shared" si="24"/>
        <v>0.01</v>
      </c>
      <c r="C54" s="12">
        <f t="shared" si="25"/>
        <v>0</v>
      </c>
      <c r="D54" s="12">
        <f t="shared" si="26"/>
        <v>1198.51644454703</v>
      </c>
      <c r="E54" s="23">
        <f t="shared" si="44"/>
        <v>0.23663536471994648</v>
      </c>
      <c r="F54" s="23">
        <f t="shared" si="48"/>
        <v>135.81586227218386</v>
      </c>
      <c r="G54" s="95">
        <f t="shared" si="45"/>
        <v>0.44615644383253283</v>
      </c>
      <c r="H54" s="95">
        <f t="shared" si="46"/>
        <v>0.2587925088511685</v>
      </c>
      <c r="I54" s="95">
        <f t="shared" si="47"/>
        <v>7.6989652003460595E-3</v>
      </c>
      <c r="J54" s="12">
        <f t="shared" si="28"/>
        <v>0</v>
      </c>
      <c r="K54" s="12">
        <f t="shared" si="29"/>
        <v>1335.2815901018178</v>
      </c>
      <c r="L54" s="54">
        <f t="shared" si="30"/>
        <v>1.7721757453564727E-4</v>
      </c>
      <c r="M54" s="10">
        <f t="shared" si="31"/>
        <v>0.10171327402321756</v>
      </c>
      <c r="N54" s="10">
        <f t="shared" si="32"/>
        <v>3.3412910590530391E-4</v>
      </c>
      <c r="O54" s="10">
        <f t="shared" si="33"/>
        <v>1.9381118617192578E-4</v>
      </c>
      <c r="P54" s="10">
        <f t="shared" si="34"/>
        <v>5.7657989576258585E-6</v>
      </c>
      <c r="Q54" s="54">
        <f t="shared" si="35"/>
        <v>1.7314977351548747E-2</v>
      </c>
      <c r="R54" s="10">
        <f t="shared" si="36"/>
        <v>4.1407944143567076E-4</v>
      </c>
      <c r="S54" s="10">
        <f t="shared" si="37"/>
        <v>5.0640966968239687E-4</v>
      </c>
      <c r="T54" s="10">
        <f t="shared" si="38"/>
        <v>0.29735015618391031</v>
      </c>
      <c r="U54" s="10">
        <f t="shared" si="39"/>
        <v>0.68441431266619868</v>
      </c>
      <c r="V54" s="10">
        <f t="shared" si="40"/>
        <v>6.3589903957349044E-8</v>
      </c>
      <c r="W54" s="10">
        <f t="shared" si="41"/>
        <v>1.0973201540147285E-9</v>
      </c>
      <c r="X54" s="163">
        <f t="shared" si="22"/>
        <v>0.99999999999999989</v>
      </c>
      <c r="Y54" s="54">
        <f t="shared" si="42"/>
        <v>0.50682827448859036</v>
      </c>
      <c r="Z54" s="54">
        <f t="shared" si="43"/>
        <v>1.5496000811500748E-2</v>
      </c>
      <c r="AA54" s="113"/>
    </row>
    <row r="55" spans="1:27" x14ac:dyDescent="0.2">
      <c r="A55" s="20">
        <f t="shared" si="23"/>
        <v>0.50000000000000022</v>
      </c>
      <c r="B55" s="23">
        <f t="shared" si="24"/>
        <v>0.01</v>
      </c>
      <c r="C55" s="12">
        <f t="shared" si="25"/>
        <v>0</v>
      </c>
      <c r="D55" s="12">
        <f t="shared" si="26"/>
        <v>1198.51644454703</v>
      </c>
      <c r="E55" s="23">
        <f t="shared" si="44"/>
        <v>0.23156708197506057</v>
      </c>
      <c r="F55" s="23">
        <f t="shared" si="48"/>
        <v>135.81332813081141</v>
      </c>
      <c r="G55" s="95">
        <f t="shared" si="45"/>
        <v>0.45122472657741874</v>
      </c>
      <c r="H55" s="95">
        <f t="shared" si="46"/>
        <v>0.25863754884305351</v>
      </c>
      <c r="I55" s="95">
        <f t="shared" si="47"/>
        <v>7.8539252084610673E-3</v>
      </c>
      <c r="J55" s="12">
        <f t="shared" si="28"/>
        <v>0</v>
      </c>
      <c r="K55" s="12">
        <f t="shared" si="29"/>
        <v>1335.2790559604457</v>
      </c>
      <c r="L55" s="54">
        <f t="shared" si="30"/>
        <v>1.7342223780219328E-4</v>
      </c>
      <c r="M55" s="10">
        <f t="shared" si="31"/>
        <v>0.10171156922185301</v>
      </c>
      <c r="N55" s="10">
        <f t="shared" si="32"/>
        <v>3.3792541309116825E-4</v>
      </c>
      <c r="O55" s="10">
        <f t="shared" si="33"/>
        <v>1.9369550333957683E-4</v>
      </c>
      <c r="P55" s="10">
        <f t="shared" si="34"/>
        <v>5.8818605544680393E-6</v>
      </c>
      <c r="Q55" s="54">
        <f t="shared" si="35"/>
        <v>1.731532173780307E-2</v>
      </c>
      <c r="R55" s="10">
        <f t="shared" si="36"/>
        <v>4.0521947005803331E-4</v>
      </c>
      <c r="S55" s="10">
        <f t="shared" si="37"/>
        <v>5.0611746798179128E-4</v>
      </c>
      <c r="T55" s="10">
        <f t="shared" si="38"/>
        <v>0.29735108638828778</v>
      </c>
      <c r="U55" s="10">
        <f t="shared" si="39"/>
        <v>0.68442218950276001</v>
      </c>
      <c r="V55" s="10">
        <f t="shared" si="40"/>
        <v>6.4313678700341769E-8</v>
      </c>
      <c r="W55" s="10">
        <f t="shared" si="41"/>
        <v>1.1194307240758334E-9</v>
      </c>
      <c r="X55" s="163">
        <f t="shared" si="22"/>
        <v>1</v>
      </c>
      <c r="Y55" s="54">
        <f t="shared" si="42"/>
        <v>0.49598820673675698</v>
      </c>
      <c r="Z55" s="54">
        <f t="shared" si="43"/>
        <v>1.548719843802767E-2</v>
      </c>
      <c r="AA55" s="113"/>
    </row>
    <row r="56" spans="1:27" x14ac:dyDescent="0.2">
      <c r="A56" s="20">
        <f t="shared" si="23"/>
        <v>0.51000000000000023</v>
      </c>
      <c r="B56" s="23">
        <f t="shared" si="24"/>
        <v>0.01</v>
      </c>
      <c r="C56" s="12">
        <f t="shared" si="25"/>
        <v>0</v>
      </c>
      <c r="D56" s="12">
        <f t="shared" si="26"/>
        <v>1198.51644454703</v>
      </c>
      <c r="E56" s="23">
        <f t="shared" si="44"/>
        <v>0.22660719990769299</v>
      </c>
      <c r="F56" s="23">
        <f t="shared" si="48"/>
        <v>135.81084818977774</v>
      </c>
      <c r="G56" s="95">
        <f t="shared" si="45"/>
        <v>0.45618460864478633</v>
      </c>
      <c r="H56" s="95">
        <f t="shared" si="46"/>
        <v>0.25848267685867321</v>
      </c>
      <c r="I56" s="95">
        <f t="shared" si="47"/>
        <v>8.0087971928413434E-3</v>
      </c>
      <c r="J56" s="12">
        <f t="shared" si="28"/>
        <v>0</v>
      </c>
      <c r="K56" s="12">
        <f t="shared" si="29"/>
        <v>1335.2765760194118</v>
      </c>
      <c r="L56" s="54">
        <f t="shared" si="30"/>
        <v>1.6970806196812865E-4</v>
      </c>
      <c r="M56" s="10">
        <f t="shared" si="31"/>
        <v>0.10170990087659815</v>
      </c>
      <c r="N56" s="10">
        <f t="shared" si="32"/>
        <v>3.4164053862512637E-4</v>
      </c>
      <c r="O56" s="10">
        <f t="shared" si="33"/>
        <v>1.9357987813224057E-4</v>
      </c>
      <c r="P56" s="10">
        <f t="shared" si="34"/>
        <v>5.9978564266560718E-6</v>
      </c>
      <c r="Q56" s="54">
        <f t="shared" si="35"/>
        <v>1.7315658882956435E-2</v>
      </c>
      <c r="R56" s="10">
        <f t="shared" si="36"/>
        <v>3.9654862491908375E-4</v>
      </c>
      <c r="S56" s="10">
        <f t="shared" si="37"/>
        <v>5.0582519330466937E-4</v>
      </c>
      <c r="T56" s="10">
        <f t="shared" si="38"/>
        <v>0.2973519986276828</v>
      </c>
      <c r="U56" s="10">
        <f t="shared" si="39"/>
        <v>0.68442990250760349</v>
      </c>
      <c r="V56" s="10">
        <f t="shared" si="40"/>
        <v>6.5022004261842911E-8</v>
      </c>
      <c r="W56" s="10">
        <f t="shared" si="41"/>
        <v>1.1415291865110955E-9</v>
      </c>
      <c r="X56" s="163">
        <f t="shared" si="22"/>
        <v>0.99999999999999989</v>
      </c>
      <c r="Y56" s="54">
        <f t="shared" si="42"/>
        <v>0.48537934733530769</v>
      </c>
      <c r="Z56" s="54">
        <f t="shared" si="43"/>
        <v>1.5478390804902709E-2</v>
      </c>
      <c r="AA56" s="113"/>
    </row>
    <row r="57" spans="1:27" x14ac:dyDescent="0.2">
      <c r="A57" s="20">
        <f t="shared" si="23"/>
        <v>0.52000000000000024</v>
      </c>
      <c r="B57" s="23">
        <f t="shared" si="24"/>
        <v>0.01</v>
      </c>
      <c r="C57" s="12">
        <f t="shared" si="25"/>
        <v>0</v>
      </c>
      <c r="D57" s="12">
        <f t="shared" si="26"/>
        <v>1198.51644454703</v>
      </c>
      <c r="E57" s="23">
        <f t="shared" si="44"/>
        <v>0.22175340643433991</v>
      </c>
      <c r="F57" s="23">
        <f t="shared" si="48"/>
        <v>135.80842129304108</v>
      </c>
      <c r="G57" s="95">
        <f t="shared" si="45"/>
        <v>0.4610384021181394</v>
      </c>
      <c r="H57" s="95">
        <f t="shared" si="46"/>
        <v>0.25832789295062419</v>
      </c>
      <c r="I57" s="95">
        <f t="shared" si="47"/>
        <v>8.1635811008903703E-3</v>
      </c>
      <c r="J57" s="12">
        <f t="shared" si="28"/>
        <v>0</v>
      </c>
      <c r="K57" s="12">
        <f t="shared" si="29"/>
        <v>1335.2741491226752</v>
      </c>
      <c r="L57" s="54">
        <f t="shared" si="30"/>
        <v>1.6607331653955868E-4</v>
      </c>
      <c r="M57" s="10">
        <f t="shared" si="31"/>
        <v>0.10170826821014416</v>
      </c>
      <c r="N57" s="10">
        <f t="shared" si="32"/>
        <v>3.4527621344355297E-4</v>
      </c>
      <c r="O57" s="10">
        <f t="shared" si="33"/>
        <v>1.9346431077120398E-4</v>
      </c>
      <c r="P57" s="10">
        <f t="shared" si="34"/>
        <v>6.1137865256016127E-6</v>
      </c>
      <c r="Q57" s="54">
        <f t="shared" si="35"/>
        <v>1.7315988940753386E-2</v>
      </c>
      <c r="R57" s="10">
        <f t="shared" si="36"/>
        <v>3.880628877912002E-4</v>
      </c>
      <c r="S57" s="10">
        <f t="shared" si="37"/>
        <v>5.0553285110560239E-4</v>
      </c>
      <c r="T57" s="10">
        <f t="shared" si="38"/>
        <v>0.29735289328203607</v>
      </c>
      <c r="U57" s="10">
        <f t="shared" si="39"/>
        <v>0.68443745515948939</v>
      </c>
      <c r="V57" s="10">
        <f t="shared" si="40"/>
        <v>6.5715208878801186E-8</v>
      </c>
      <c r="W57" s="10">
        <f t="shared" si="41"/>
        <v>1.1636155139774575E-9</v>
      </c>
      <c r="X57" s="163">
        <f t="shared" si="22"/>
        <v>1</v>
      </c>
      <c r="Y57" s="54">
        <f t="shared" si="42"/>
        <v>0.47499679174770165</v>
      </c>
      <c r="Z57" s="54">
        <f t="shared" si="43"/>
        <v>1.5469578144747784E-2</v>
      </c>
      <c r="AA57" s="113"/>
    </row>
    <row r="58" spans="1:27" x14ac:dyDescent="0.2">
      <c r="A58" s="20">
        <f t="shared" si="23"/>
        <v>0.53000000000000025</v>
      </c>
      <c r="B58" s="23">
        <f t="shared" si="24"/>
        <v>0.01</v>
      </c>
      <c r="C58" s="12">
        <f t="shared" si="25"/>
        <v>0</v>
      </c>
      <c r="D58" s="12">
        <f t="shared" si="26"/>
        <v>1198.51644454703</v>
      </c>
      <c r="E58" s="23">
        <f t="shared" si="44"/>
        <v>0.21700343851686291</v>
      </c>
      <c r="F58" s="23">
        <f t="shared" si="48"/>
        <v>135.80604630908235</v>
      </c>
      <c r="G58" s="95">
        <f t="shared" si="45"/>
        <v>0.46578837003561641</v>
      </c>
      <c r="H58" s="95">
        <f t="shared" si="46"/>
        <v>0.25817319716917669</v>
      </c>
      <c r="I58" s="95">
        <f t="shared" si="47"/>
        <v>8.3182768823378481E-3</v>
      </c>
      <c r="J58" s="12">
        <f t="shared" si="28"/>
        <v>0</v>
      </c>
      <c r="K58" s="12">
        <f t="shared" si="29"/>
        <v>1335.2717741387164</v>
      </c>
      <c r="L58" s="54">
        <f t="shared" si="30"/>
        <v>1.6251630770584927E-4</v>
      </c>
      <c r="M58" s="10">
        <f t="shared" si="31"/>
        <v>0.10170667046165986</v>
      </c>
      <c r="N58" s="10">
        <f t="shared" si="32"/>
        <v>3.4883413179018295E-4</v>
      </c>
      <c r="O58" s="10">
        <f t="shared" si="33"/>
        <v>1.9334880147204851E-4</v>
      </c>
      <c r="P58" s="10">
        <f t="shared" si="34"/>
        <v>6.2296508047609588E-6</v>
      </c>
      <c r="Q58" s="54">
        <f t="shared" si="35"/>
        <v>1.7316312061703948E-2</v>
      </c>
      <c r="R58" s="10">
        <f t="shared" si="36"/>
        <v>3.7975832502263912E-4</v>
      </c>
      <c r="S58" s="10">
        <f t="shared" si="37"/>
        <v>5.0524044671882448E-4</v>
      </c>
      <c r="T58" s="10">
        <f t="shared" si="38"/>
        <v>0.29735377072331759</v>
      </c>
      <c r="U58" s="10">
        <f t="shared" si="39"/>
        <v>0.68444485086393336</v>
      </c>
      <c r="V58" s="10">
        <f t="shared" si="40"/>
        <v>6.6393613879424312E-8</v>
      </c>
      <c r="W58" s="10">
        <f t="shared" si="41"/>
        <v>1.1856896801134183E-9</v>
      </c>
      <c r="X58" s="163">
        <f t="shared" si="22"/>
        <v>0.99999999999999978</v>
      </c>
      <c r="Y58" s="54">
        <f t="shared" si="42"/>
        <v>0.46483573834003272</v>
      </c>
      <c r="Z58" s="54">
        <f t="shared" si="43"/>
        <v>1.5460760685090892E-2</v>
      </c>
      <c r="AA58" s="113"/>
    </row>
    <row r="59" spans="1:27" x14ac:dyDescent="0.2">
      <c r="A59" s="20">
        <f t="shared" si="23"/>
        <v>0.54000000000000026</v>
      </c>
      <c r="B59" s="23">
        <f t="shared" si="24"/>
        <v>0.01</v>
      </c>
      <c r="C59" s="12">
        <f t="shared" si="25"/>
        <v>0</v>
      </c>
      <c r="D59" s="12">
        <f t="shared" si="26"/>
        <v>1198.51644454703</v>
      </c>
      <c r="E59" s="23">
        <f t="shared" si="44"/>
        <v>0.21235508113346258</v>
      </c>
      <c r="F59" s="23">
        <f t="shared" si="48"/>
        <v>135.80372213039064</v>
      </c>
      <c r="G59" s="95">
        <f t="shared" si="45"/>
        <v>0.47043672741901671</v>
      </c>
      <c r="H59" s="95">
        <f t="shared" si="46"/>
        <v>0.25801858956232576</v>
      </c>
      <c r="I59" s="95">
        <f t="shared" si="47"/>
        <v>8.4728844891887572E-3</v>
      </c>
      <c r="J59" s="12">
        <f t="shared" si="28"/>
        <v>0</v>
      </c>
      <c r="K59" s="12">
        <f t="shared" si="29"/>
        <v>1335.2694499600248</v>
      </c>
      <c r="L59" s="54">
        <f t="shared" si="30"/>
        <v>1.5903537757103636E-4</v>
      </c>
      <c r="M59" s="10">
        <f t="shared" si="31"/>
        <v>0.10170510688644627</v>
      </c>
      <c r="N59" s="10">
        <f t="shared" si="32"/>
        <v>3.5231595198489761E-4</v>
      </c>
      <c r="O59" s="10">
        <f t="shared" si="33"/>
        <v>1.9323335044477377E-4</v>
      </c>
      <c r="P59" s="10">
        <f t="shared" si="34"/>
        <v>6.3454492195881646E-6</v>
      </c>
      <c r="Q59" s="54">
        <f t="shared" si="35"/>
        <v>1.7316628393150433E-2</v>
      </c>
      <c r="R59" s="10">
        <f t="shared" si="36"/>
        <v>3.7163108579103739E-4</v>
      </c>
      <c r="S59" s="10">
        <f t="shared" si="37"/>
        <v>5.0494798536079475E-4</v>
      </c>
      <c r="T59" s="10">
        <f t="shared" si="38"/>
        <v>0.29735463131569068</v>
      </c>
      <c r="U59" s="10">
        <f t="shared" si="39"/>
        <v>0.68445209295472154</v>
      </c>
      <c r="V59" s="10">
        <f t="shared" si="40"/>
        <v>6.7057533825844978E-8</v>
      </c>
      <c r="W59" s="10">
        <f t="shared" si="41"/>
        <v>1.2077516595131488E-9</v>
      </c>
      <c r="X59" s="163">
        <f t="shared" si="22"/>
        <v>1</v>
      </c>
      <c r="Y59" s="54">
        <f t="shared" si="42"/>
        <v>0.45489148627003184</v>
      </c>
      <c r="Z59" s="54">
        <f t="shared" si="43"/>
        <v>1.5451938648474143E-2</v>
      </c>
      <c r="AA59" s="113"/>
    </row>
    <row r="60" spans="1:27" x14ac:dyDescent="0.2">
      <c r="A60" s="20">
        <f t="shared" si="23"/>
        <v>0.55000000000000027</v>
      </c>
      <c r="B60" s="23">
        <f t="shared" si="24"/>
        <v>0.01</v>
      </c>
      <c r="C60" s="12">
        <f t="shared" si="25"/>
        <v>0</v>
      </c>
      <c r="D60" s="12">
        <f t="shared" si="26"/>
        <v>1198.51644454703</v>
      </c>
      <c r="E60" s="23">
        <f t="shared" si="44"/>
        <v>0.20780616627076226</v>
      </c>
      <c r="F60" s="23">
        <f t="shared" si="48"/>
        <v>135.80144767295928</v>
      </c>
      <c r="G60" s="95">
        <f t="shared" si="45"/>
        <v>0.47498564228171702</v>
      </c>
      <c r="H60" s="95">
        <f t="shared" si="46"/>
        <v>0.25786407017584101</v>
      </c>
      <c r="I60" s="95">
        <f t="shared" si="47"/>
        <v>8.6274038756734978E-3</v>
      </c>
      <c r="J60" s="12">
        <f t="shared" si="28"/>
        <v>0</v>
      </c>
      <c r="K60" s="12">
        <f t="shared" si="29"/>
        <v>1335.2671755025933</v>
      </c>
      <c r="L60" s="54">
        <f t="shared" si="30"/>
        <v>1.5562890340095736E-4</v>
      </c>
      <c r="M60" s="10">
        <f t="shared" si="31"/>
        <v>0.10170357675559856</v>
      </c>
      <c r="N60" s="10">
        <f t="shared" si="32"/>
        <v>3.5572329717678628E-4</v>
      </c>
      <c r="O60" s="10">
        <f t="shared" si="33"/>
        <v>1.9311795789391829E-4</v>
      </c>
      <c r="P60" s="10">
        <f t="shared" si="34"/>
        <v>6.4611817274892204E-6</v>
      </c>
      <c r="Q60" s="54">
        <f t="shared" si="35"/>
        <v>1.7316938079332787E-2</v>
      </c>
      <c r="R60" s="10">
        <f t="shared" si="36"/>
        <v>3.6367740039154898E-4</v>
      </c>
      <c r="S60" s="10">
        <f t="shared" si="37"/>
        <v>5.0465547213270339E-4</v>
      </c>
      <c r="T60" s="10">
        <f t="shared" si="38"/>
        <v>0.29735547541567187</v>
      </c>
      <c r="U60" s="10">
        <f t="shared" si="39"/>
        <v>0.68445918469539302</v>
      </c>
      <c r="V60" s="10">
        <f t="shared" si="40"/>
        <v>6.7707276653956956E-8</v>
      </c>
      <c r="W60" s="10">
        <f t="shared" si="41"/>
        <v>1.2298014277012398E-9</v>
      </c>
      <c r="X60" s="163">
        <f t="shared" si="22"/>
        <v>1</v>
      </c>
      <c r="Y60" s="54">
        <f t="shared" si="42"/>
        <v>0.44515943341733027</v>
      </c>
      <c r="Z60" s="54">
        <f t="shared" si="43"/>
        <v>1.5443112252559359E-2</v>
      </c>
      <c r="AA60" s="113"/>
    </row>
    <row r="61" spans="1:27" x14ac:dyDescent="0.2">
      <c r="A61" s="20">
        <f t="shared" si="23"/>
        <v>0.56000000000000028</v>
      </c>
      <c r="B61" s="23">
        <f t="shared" si="24"/>
        <v>0.01</v>
      </c>
      <c r="C61" s="12">
        <f t="shared" si="25"/>
        <v>0</v>
      </c>
      <c r="D61" s="12">
        <f t="shared" si="26"/>
        <v>1198.51644454703</v>
      </c>
      <c r="E61" s="23">
        <f t="shared" si="44"/>
        <v>0.20335457193658896</v>
      </c>
      <c r="F61" s="23">
        <f t="shared" si="48"/>
        <v>135.7992218757922</v>
      </c>
      <c r="G61" s="95">
        <f t="shared" si="45"/>
        <v>0.47943723661589033</v>
      </c>
      <c r="H61" s="95">
        <f t="shared" si="46"/>
        <v>0.2577096390533154</v>
      </c>
      <c r="I61" s="95">
        <f t="shared" si="47"/>
        <v>8.7818349981990916E-3</v>
      </c>
      <c r="J61" s="12">
        <f t="shared" si="28"/>
        <v>0</v>
      </c>
      <c r="K61" s="12">
        <f t="shared" si="29"/>
        <v>1335.2649497054263</v>
      </c>
      <c r="L61" s="54">
        <f t="shared" si="30"/>
        <v>1.5229529688579871E-4</v>
      </c>
      <c r="M61" s="10">
        <f t="shared" si="31"/>
        <v>0.10170207935567466</v>
      </c>
      <c r="N61" s="10">
        <f t="shared" si="32"/>
        <v>3.5905775608178683E-4</v>
      </c>
      <c r="O61" s="10">
        <f t="shared" si="33"/>
        <v>1.9300262401867802E-4</v>
      </c>
      <c r="P61" s="10">
        <f t="shared" si="34"/>
        <v>6.5768482877772372E-6</v>
      </c>
      <c r="Q61" s="54">
        <f t="shared" si="35"/>
        <v>1.7317241261452749E-2</v>
      </c>
      <c r="R61" s="10">
        <f t="shared" si="36"/>
        <v>3.5589357855899442E-4</v>
      </c>
      <c r="S61" s="10">
        <f t="shared" si="37"/>
        <v>5.0436291202292881E-4</v>
      </c>
      <c r="T61" s="10">
        <f t="shared" si="38"/>
        <v>0.29735630337228824</v>
      </c>
      <c r="U61" s="10">
        <f t="shared" si="39"/>
        <v>0.68446612928069428</v>
      </c>
      <c r="V61" s="10">
        <f t="shared" si="40"/>
        <v>6.8343143810473451E-8</v>
      </c>
      <c r="W61" s="10">
        <f t="shared" si="41"/>
        <v>1.2518389611080895E-9</v>
      </c>
      <c r="X61" s="163">
        <f t="shared" si="22"/>
        <v>1</v>
      </c>
      <c r="Y61" s="54">
        <f t="shared" si="42"/>
        <v>0.43563507435427229</v>
      </c>
      <c r="Z61" s="54">
        <f t="shared" si="43"/>
        <v>1.5434281710231725E-2</v>
      </c>
      <c r="AA61" s="113"/>
    </row>
    <row r="62" spans="1:27" x14ac:dyDescent="0.2">
      <c r="A62" s="20">
        <f t="shared" si="23"/>
        <v>0.57000000000000028</v>
      </c>
      <c r="B62" s="23">
        <f t="shared" si="24"/>
        <v>0.01</v>
      </c>
      <c r="C62" s="12">
        <f t="shared" si="25"/>
        <v>0</v>
      </c>
      <c r="D62" s="12">
        <f t="shared" si="26"/>
        <v>1198.51644454703</v>
      </c>
      <c r="E62" s="23">
        <f t="shared" si="44"/>
        <v>0.19899822119304622</v>
      </c>
      <c r="F62" s="23">
        <f t="shared" si="48"/>
        <v>135.79704370042043</v>
      </c>
      <c r="G62" s="95">
        <f t="shared" si="45"/>
        <v>0.48379358735943306</v>
      </c>
      <c r="H62" s="95">
        <f t="shared" si="46"/>
        <v>0.25755529623621309</v>
      </c>
      <c r="I62" s="95">
        <f t="shared" si="47"/>
        <v>8.9361778153014097E-3</v>
      </c>
      <c r="J62" s="12">
        <f t="shared" si="28"/>
        <v>0</v>
      </c>
      <c r="K62" s="12">
        <f t="shared" si="29"/>
        <v>1335.2627715300546</v>
      </c>
      <c r="L62" s="54">
        <f t="shared" si="30"/>
        <v>1.4903300341775994E-4</v>
      </c>
      <c r="M62" s="10">
        <f t="shared" si="31"/>
        <v>0.10170061398837095</v>
      </c>
      <c r="N62" s="10">
        <f t="shared" si="32"/>
        <v>3.6232088370520684E-4</v>
      </c>
      <c r="O62" s="10">
        <f t="shared" si="33"/>
        <v>1.928873490130223E-4</v>
      </c>
      <c r="P62" s="10">
        <f t="shared" si="34"/>
        <v>6.6924488616286346E-6</v>
      </c>
      <c r="Q62" s="54">
        <f t="shared" si="35"/>
        <v>1.7317538077736654E-2</v>
      </c>
      <c r="R62" s="10">
        <f t="shared" si="36"/>
        <v>3.4827600782340377E-4</v>
      </c>
      <c r="S62" s="10">
        <f t="shared" si="37"/>
        <v>5.0407030990944339E-4</v>
      </c>
      <c r="T62" s="10">
        <f t="shared" si="38"/>
        <v>0.29735711552723132</v>
      </c>
      <c r="U62" s="10">
        <f t="shared" si="39"/>
        <v>0.68447292983800445</v>
      </c>
      <c r="V62" s="10">
        <f t="shared" si="40"/>
        <v>6.896543038725733E-8</v>
      </c>
      <c r="W62" s="10">
        <f t="shared" si="41"/>
        <v>1.2738642370458988E-9</v>
      </c>
      <c r="X62" s="163">
        <f t="shared" si="22"/>
        <v>0.99999999999999989</v>
      </c>
      <c r="Y62" s="54">
        <f t="shared" si="42"/>
        <v>0.42631399835656331</v>
      </c>
      <c r="Z62" s="54">
        <f t="shared" si="43"/>
        <v>1.542544722970122E-2</v>
      </c>
      <c r="AA62" s="113"/>
    </row>
    <row r="63" spans="1:27" x14ac:dyDescent="0.2">
      <c r="A63" s="20">
        <f t="shared" si="23"/>
        <v>0.58000000000000029</v>
      </c>
      <c r="B63" s="23">
        <f t="shared" si="24"/>
        <v>0.01</v>
      </c>
      <c r="C63" s="12">
        <f t="shared" si="25"/>
        <v>0</v>
      </c>
      <c r="D63" s="12">
        <f t="shared" si="26"/>
        <v>1198.51644454703</v>
      </c>
      <c r="E63" s="23">
        <f t="shared" si="44"/>
        <v>0.19473508120948058</v>
      </c>
      <c r="F63" s="23">
        <f t="shared" si="48"/>
        <v>135.79491213042866</v>
      </c>
      <c r="G63" s="95">
        <f t="shared" si="45"/>
        <v>0.48805672734299871</v>
      </c>
      <c r="H63" s="95">
        <f t="shared" si="46"/>
        <v>0.25740104176391609</v>
      </c>
      <c r="I63" s="95">
        <f t="shared" si="47"/>
        <v>9.0904322875984215E-3</v>
      </c>
      <c r="J63" s="12">
        <f t="shared" si="28"/>
        <v>0</v>
      </c>
      <c r="K63" s="12">
        <f t="shared" si="29"/>
        <v>1335.2606399600627</v>
      </c>
      <c r="L63" s="54">
        <f t="shared" si="30"/>
        <v>1.4584050138353891E-4</v>
      </c>
      <c r="M63" s="10">
        <f t="shared" si="31"/>
        <v>0.10169917997020436</v>
      </c>
      <c r="N63" s="10">
        <f t="shared" si="32"/>
        <v>3.6551420204941886E-4</v>
      </c>
      <c r="O63" s="10">
        <f t="shared" si="33"/>
        <v>1.927721330658072E-4</v>
      </c>
      <c r="P63" s="10">
        <f t="shared" si="34"/>
        <v>6.8079834120402995E-6</v>
      </c>
      <c r="Q63" s="54">
        <f t="shared" si="35"/>
        <v>1.7317828663497042E-2</v>
      </c>
      <c r="R63" s="10">
        <f t="shared" si="36"/>
        <v>3.4082115189834519E-4</v>
      </c>
      <c r="S63" s="10">
        <f t="shared" si="37"/>
        <v>5.0377767056216912E-4</v>
      </c>
      <c r="T63" s="10">
        <f t="shared" si="38"/>
        <v>0.29735791221500874</v>
      </c>
      <c r="U63" s="10">
        <f t="shared" si="39"/>
        <v>0.68447958942873133</v>
      </c>
      <c r="V63" s="10">
        <f t="shared" si="40"/>
        <v>6.957442525297321E-8</v>
      </c>
      <c r="W63" s="10">
        <f t="shared" si="41"/>
        <v>1.2958772336852687E-9</v>
      </c>
      <c r="X63" s="163">
        <f t="shared" si="22"/>
        <v>1</v>
      </c>
      <c r="Y63" s="54">
        <f t="shared" si="42"/>
        <v>0.41719188745305352</v>
      </c>
      <c r="Z63" s="54">
        <f t="shared" si="43"/>
        <v>1.5416609014601975E-2</v>
      </c>
      <c r="AA63" s="113"/>
    </row>
    <row r="64" spans="1:27" x14ac:dyDescent="0.2">
      <c r="A64" s="20">
        <f t="shared" si="23"/>
        <v>0.5900000000000003</v>
      </c>
      <c r="B64" s="23">
        <f t="shared" si="24"/>
        <v>0.01</v>
      </c>
      <c r="C64" s="12">
        <f t="shared" si="25"/>
        <v>0</v>
      </c>
      <c r="D64" s="12">
        <f t="shared" si="26"/>
        <v>1198.51644454703</v>
      </c>
      <c r="E64" s="23">
        <f t="shared" si="44"/>
        <v>0.19056316233495005</v>
      </c>
      <c r="F64" s="23">
        <f t="shared" si="48"/>
        <v>135.79282617099139</v>
      </c>
      <c r="G64" s="95">
        <f t="shared" si="45"/>
        <v>0.49222864621752926</v>
      </c>
      <c r="H64" s="95">
        <f t="shared" si="46"/>
        <v>0.25724687567377008</v>
      </c>
      <c r="I64" s="95">
        <f t="shared" si="47"/>
        <v>9.2445983777444413E-3</v>
      </c>
      <c r="J64" s="12">
        <f t="shared" si="28"/>
        <v>0</v>
      </c>
      <c r="K64" s="12">
        <f t="shared" si="29"/>
        <v>1335.2585540006253</v>
      </c>
      <c r="L64" s="54">
        <f t="shared" si="30"/>
        <v>1.4271630147134846E-4</v>
      </c>
      <c r="M64" s="10">
        <f t="shared" si="31"/>
        <v>0.10169777663220107</v>
      </c>
      <c r="N64" s="10">
        <f t="shared" si="32"/>
        <v>3.6863920080702122E-4</v>
      </c>
      <c r="O64" s="10">
        <f t="shared" si="33"/>
        <v>1.926569763608866E-4</v>
      </c>
      <c r="P64" s="10">
        <f t="shared" si="34"/>
        <v>6.9234519037877004E-6</v>
      </c>
      <c r="Q64" s="54">
        <f t="shared" si="35"/>
        <v>1.7318113151193013E-2</v>
      </c>
      <c r="R64" s="10">
        <f t="shared" si="36"/>
        <v>3.3352554910143982E-4</v>
      </c>
      <c r="S64" s="10">
        <f t="shared" si="37"/>
        <v>5.0348499864528561E-4</v>
      </c>
      <c r="T64" s="10">
        <f t="shared" si="38"/>
        <v>0.29735869376309126</v>
      </c>
      <c r="U64" s="10">
        <f t="shared" si="39"/>
        <v>0.68448611104968016</v>
      </c>
      <c r="V64" s="10">
        <f t="shared" si="40"/>
        <v>7.0170411182110516E-8</v>
      </c>
      <c r="W64" s="10">
        <f t="shared" si="41"/>
        <v>1.3178779300323821E-9</v>
      </c>
      <c r="X64" s="163">
        <f t="shared" si="22"/>
        <v>1.0000000000000002</v>
      </c>
      <c r="Y64" s="54">
        <f t="shared" si="42"/>
        <v>0.40826451451396378</v>
      </c>
      <c r="Z64" s="54">
        <f t="shared" si="43"/>
        <v>1.5407767264089663E-2</v>
      </c>
      <c r="AA64" s="113"/>
    </row>
    <row r="65" spans="1:27" x14ac:dyDescent="0.2">
      <c r="A65" s="20">
        <f t="shared" si="23"/>
        <v>0.60000000000000031</v>
      </c>
      <c r="B65" s="23">
        <f t="shared" si="24"/>
        <v>0.01</v>
      </c>
      <c r="C65" s="12">
        <f t="shared" si="25"/>
        <v>0</v>
      </c>
      <c r="D65" s="12">
        <f t="shared" si="26"/>
        <v>1198.51644454703</v>
      </c>
      <c r="E65" s="23">
        <f t="shared" si="44"/>
        <v>0.1864805171898104</v>
      </c>
      <c r="F65" s="23">
        <f t="shared" si="48"/>
        <v>135.79078484841881</v>
      </c>
      <c r="G65" s="95">
        <f t="shared" si="45"/>
        <v>0.49631129136266888</v>
      </c>
      <c r="H65" s="95">
        <f t="shared" si="46"/>
        <v>0.25709279800112916</v>
      </c>
      <c r="I65" s="95">
        <f t="shared" si="47"/>
        <v>9.3986760503853382E-3</v>
      </c>
      <c r="J65" s="12">
        <f t="shared" si="28"/>
        <v>0</v>
      </c>
      <c r="K65" s="12">
        <f t="shared" si="29"/>
        <v>1335.2565126780528</v>
      </c>
      <c r="L65" s="54">
        <f t="shared" si="30"/>
        <v>1.3965894599217972E-4</v>
      </c>
      <c r="M65" s="10">
        <f t="shared" si="31"/>
        <v>0.10169640331959173</v>
      </c>
      <c r="N65" s="10">
        <f t="shared" si="32"/>
        <v>3.7169733803974771E-4</v>
      </c>
      <c r="O65" s="10">
        <f t="shared" si="33"/>
        <v>1.9254187907722078E-4</v>
      </c>
      <c r="P65" s="10">
        <f t="shared" si="34"/>
        <v>7.038854303383935E-6</v>
      </c>
      <c r="Q65" s="54">
        <f t="shared" si="35"/>
        <v>1.7318391670489368E-2</v>
      </c>
      <c r="R65" s="10">
        <f t="shared" si="36"/>
        <v>3.2638581080647095E-4</v>
      </c>
      <c r="S65" s="10">
        <f t="shared" si="37"/>
        <v>5.0319229871948932E-4</v>
      </c>
      <c r="T65" s="10">
        <f t="shared" si="38"/>
        <v>0.29735946049205891</v>
      </c>
      <c r="U65" s="10">
        <f t="shared" si="39"/>
        <v>0.68449249763439446</v>
      </c>
      <c r="V65" s="10">
        <f t="shared" si="40"/>
        <v>7.0753664981425562E-8</v>
      </c>
      <c r="W65" s="10">
        <f t="shared" si="41"/>
        <v>1.3398663059067589E-9</v>
      </c>
      <c r="X65" s="163">
        <f t="shared" si="22"/>
        <v>0.99999999999999989</v>
      </c>
      <c r="Y65" s="54">
        <f t="shared" si="42"/>
        <v>0.39952774137686936</v>
      </c>
      <c r="Z65" s="54">
        <f t="shared" si="43"/>
        <v>1.5398922172936794E-2</v>
      </c>
      <c r="AA65" s="113"/>
    </row>
    <row r="66" spans="1:27" x14ac:dyDescent="0.2">
      <c r="A66" s="20">
        <f t="shared" si="23"/>
        <v>0.61000000000000032</v>
      </c>
      <c r="B66" s="23">
        <f t="shared" si="24"/>
        <v>0.01</v>
      </c>
      <c r="C66" s="12">
        <f t="shared" si="25"/>
        <v>0</v>
      </c>
      <c r="D66" s="12">
        <f t="shared" si="26"/>
        <v>1198.51644454703</v>
      </c>
      <c r="E66" s="23">
        <f t="shared" si="44"/>
        <v>0.1824852397760417</v>
      </c>
      <c r="F66" s="23">
        <f t="shared" si="48"/>
        <v>135.78878720971193</v>
      </c>
      <c r="G66" s="95">
        <f t="shared" si="45"/>
        <v>0.50030656877643753</v>
      </c>
      <c r="H66" s="95">
        <f t="shared" si="46"/>
        <v>0.25693880877939979</v>
      </c>
      <c r="I66" s="95">
        <f t="shared" si="47"/>
        <v>9.5526652721147059E-3</v>
      </c>
      <c r="J66" s="12">
        <f t="shared" si="28"/>
        <v>0</v>
      </c>
      <c r="K66" s="12">
        <f t="shared" si="29"/>
        <v>1335.254515039346</v>
      </c>
      <c r="L66" s="54">
        <f t="shared" si="30"/>
        <v>1.3666700821503262E-4</v>
      </c>
      <c r="M66" s="10">
        <f t="shared" si="31"/>
        <v>0.10169505939151281</v>
      </c>
      <c r="N66" s="10">
        <f t="shared" si="32"/>
        <v>3.7469004084340803E-4</v>
      </c>
      <c r="O66" s="10">
        <f t="shared" si="33"/>
        <v>1.9242684138898311E-4</v>
      </c>
      <c r="P66" s="10">
        <f t="shared" si="34"/>
        <v>7.1541905790396952E-6</v>
      </c>
      <c r="Q66" s="54">
        <f t="shared" si="35"/>
        <v>1.7318664348314611E-2</v>
      </c>
      <c r="R66" s="10">
        <f t="shared" si="36"/>
        <v>3.1939861992650605E-4</v>
      </c>
      <c r="S66" s="10">
        <f t="shared" si="37"/>
        <v>5.0289957524420807E-4</v>
      </c>
      <c r="T66" s="10">
        <f t="shared" si="38"/>
        <v>0.29736021271574298</v>
      </c>
      <c r="U66" s="10">
        <f t="shared" si="39"/>
        <v>0.68449875205447186</v>
      </c>
      <c r="V66" s="10">
        <f t="shared" si="40"/>
        <v>7.1324457613850561E-8</v>
      </c>
      <c r="W66" s="10">
        <f t="shared" si="41"/>
        <v>1.361842341919569E-9</v>
      </c>
      <c r="X66" s="163">
        <f t="shared" si="22"/>
        <v>1</v>
      </c>
      <c r="Y66" s="54">
        <f t="shared" si="42"/>
        <v>0.39097751700977007</v>
      </c>
      <c r="Z66" s="54">
        <f t="shared" si="43"/>
        <v>1.539007393162619E-2</v>
      </c>
      <c r="AA66" s="113"/>
    </row>
    <row r="67" spans="1:27" x14ac:dyDescent="0.2">
      <c r="A67" s="20">
        <f t="shared" si="23"/>
        <v>0.62000000000000033</v>
      </c>
      <c r="B67" s="23">
        <f t="shared" si="24"/>
        <v>0.01</v>
      </c>
      <c r="C67" s="12">
        <f t="shared" si="25"/>
        <v>0</v>
      </c>
      <c r="D67" s="12">
        <f t="shared" si="26"/>
        <v>1198.51644454703</v>
      </c>
      <c r="E67" s="23">
        <f t="shared" si="44"/>
        <v>0.17857546460594401</v>
      </c>
      <c r="F67" s="23">
        <f t="shared" si="48"/>
        <v>135.78683232212688</v>
      </c>
      <c r="G67" s="95">
        <f t="shared" si="45"/>
        <v>0.50421634394653525</v>
      </c>
      <c r="H67" s="95">
        <f t="shared" si="46"/>
        <v>0.25678490804008353</v>
      </c>
      <c r="I67" s="95">
        <f t="shared" si="47"/>
        <v>9.7065660114309671E-3</v>
      </c>
      <c r="J67" s="12">
        <f t="shared" si="28"/>
        <v>0</v>
      </c>
      <c r="K67" s="12">
        <f t="shared" si="29"/>
        <v>1335.2525601517609</v>
      </c>
      <c r="L67" s="54">
        <f t="shared" si="30"/>
        <v>1.3373909171583812E-4</v>
      </c>
      <c r="M67" s="10">
        <f t="shared" si="31"/>
        <v>0.10169374422071413</v>
      </c>
      <c r="N67" s="10">
        <f t="shared" si="32"/>
        <v>3.7761870599913136E-4</v>
      </c>
      <c r="O67" s="10">
        <f t="shared" si="33"/>
        <v>1.9231186346566382E-4</v>
      </c>
      <c r="P67" s="10">
        <f t="shared" si="34"/>
        <v>7.2694607006241182E-6</v>
      </c>
      <c r="Q67" s="54">
        <f t="shared" si="35"/>
        <v>1.7318931308917717E-2</v>
      </c>
      <c r="R67" s="10">
        <f t="shared" si="36"/>
        <v>3.125607294274557E-4</v>
      </c>
      <c r="S67" s="10">
        <f t="shared" si="37"/>
        <v>5.0260683257976647E-4</v>
      </c>
      <c r="T67" s="10">
        <f t="shared" si="38"/>
        <v>0.29736095074136493</v>
      </c>
      <c r="U67" s="10">
        <f t="shared" si="39"/>
        <v>0.68450487712084962</v>
      </c>
      <c r="V67" s="10">
        <f t="shared" si="40"/>
        <v>7.1883054319915907E-8</v>
      </c>
      <c r="W67" s="10">
        <f t="shared" si="41"/>
        <v>1.3838060194524882E-9</v>
      </c>
      <c r="X67" s="163">
        <f t="shared" si="22"/>
        <v>0.99999999999999978</v>
      </c>
      <c r="Y67" s="54">
        <f t="shared" si="42"/>
        <v>0.38260987571057348</v>
      </c>
      <c r="Z67" s="54">
        <f t="shared" si="43"/>
        <v>1.5381222726442365E-2</v>
      </c>
      <c r="AA67" s="113"/>
    </row>
    <row r="68" spans="1:27" x14ac:dyDescent="0.2">
      <c r="A68" s="20">
        <f t="shared" si="23"/>
        <v>0.63000000000000034</v>
      </c>
      <c r="B68" s="23">
        <f t="shared" si="24"/>
        <v>0.01</v>
      </c>
      <c r="C68" s="12">
        <f t="shared" si="25"/>
        <v>0</v>
      </c>
      <c r="D68" s="12">
        <f t="shared" si="26"/>
        <v>1198.51644454703</v>
      </c>
      <c r="E68" s="23">
        <f t="shared" si="44"/>
        <v>0.17474936584883827</v>
      </c>
      <c r="F68" s="23">
        <f t="shared" si="48"/>
        <v>135.78491927274834</v>
      </c>
      <c r="G68" s="95">
        <f t="shared" si="45"/>
        <v>0.50804244270364096</v>
      </c>
      <c r="H68" s="95">
        <f t="shared" si="46"/>
        <v>0.25663109581281912</v>
      </c>
      <c r="I68" s="95">
        <f t="shared" si="47"/>
        <v>9.8603782386953911E-3</v>
      </c>
      <c r="J68" s="12">
        <f t="shared" si="28"/>
        <v>0</v>
      </c>
      <c r="K68" s="12">
        <f t="shared" si="29"/>
        <v>1335.2506471023823</v>
      </c>
      <c r="L68" s="54">
        <f t="shared" si="30"/>
        <v>1.3087382973980247E-4</v>
      </c>
      <c r="M68" s="10">
        <f t="shared" si="31"/>
        <v>0.10169245719327244</v>
      </c>
      <c r="N68" s="10">
        <f t="shared" si="32"/>
        <v>3.80484700611185E-4</v>
      </c>
      <c r="O68" s="10">
        <f t="shared" si="33"/>
        <v>1.9219694547217213E-4</v>
      </c>
      <c r="P68" s="10">
        <f t="shared" si="34"/>
        <v>7.3846646396265197E-6</v>
      </c>
      <c r="Q68" s="54">
        <f t="shared" si="35"/>
        <v>1.7319192673923848E-2</v>
      </c>
      <c r="R68" s="10">
        <f t="shared" si="36"/>
        <v>3.0586896087150638E-4</v>
      </c>
      <c r="S68" s="10">
        <f t="shared" si="37"/>
        <v>5.0231407498950995E-4</v>
      </c>
      <c r="T68" s="10">
        <f t="shared" si="38"/>
        <v>0.29736167486967419</v>
      </c>
      <c r="U68" s="10">
        <f t="shared" si="39"/>
        <v>0.68451087558506896</v>
      </c>
      <c r="V68" s="10">
        <f t="shared" si="40"/>
        <v>7.242971473673269E-8</v>
      </c>
      <c r="W68" s="10">
        <f t="shared" si="41"/>
        <v>1.4057573206370922E-9</v>
      </c>
      <c r="X68" s="163">
        <f t="shared" si="22"/>
        <v>1.0000000000000002</v>
      </c>
      <c r="Y68" s="54">
        <f t="shared" si="42"/>
        <v>0.37442093534234383</v>
      </c>
      <c r="Z68" s="54">
        <f t="shared" si="43"/>
        <v>1.5372368739561207E-2</v>
      </c>
      <c r="AA68" s="113"/>
    </row>
    <row r="69" spans="1:27" x14ac:dyDescent="0.2">
      <c r="A69" s="20">
        <f t="shared" si="23"/>
        <v>0.64000000000000035</v>
      </c>
      <c r="B69" s="23">
        <f t="shared" si="24"/>
        <v>0.01</v>
      </c>
      <c r="C69" s="12">
        <f t="shared" si="25"/>
        <v>0</v>
      </c>
      <c r="D69" s="12">
        <f t="shared" si="26"/>
        <v>1198.51644454703</v>
      </c>
      <c r="E69" s="23">
        <f t="shared" si="44"/>
        <v>0.17100515649541484</v>
      </c>
      <c r="F69" s="23">
        <f t="shared" si="48"/>
        <v>135.78304716807162</v>
      </c>
      <c r="G69" s="95">
        <f t="shared" si="45"/>
        <v>0.51178665205706442</v>
      </c>
      <c r="H69" s="95">
        <f t="shared" si="46"/>
        <v>0.25647737212542349</v>
      </c>
      <c r="I69" s="95">
        <f t="shared" si="47"/>
        <v>1.0014101926091003E-2</v>
      </c>
      <c r="J69" s="12">
        <f t="shared" si="28"/>
        <v>0</v>
      </c>
      <c r="K69" s="12">
        <f t="shared" ref="K69:K100" si="49">SUM(C69:J69)</f>
        <v>1335.2487749977054</v>
      </c>
      <c r="L69" s="54">
        <f t="shared" ref="L69:L100" si="50">+E69/$K69*P_t</f>
        <v>1.2806988457690868E-4</v>
      </c>
      <c r="M69" s="10">
        <f t="shared" ref="M69:M100" si="51">+F69/$K69*P_t</f>
        <v>0.10169119770831092</v>
      </c>
      <c r="N69" s="10">
        <f t="shared" ref="N69:N100" si="52">+G69/$K69*P_t</f>
        <v>3.8328936273163323E-4</v>
      </c>
      <c r="O69" s="10">
        <f t="shared" ref="O69:O100" si="53">+H69/$K69*P_t</f>
        <v>1.9208208756893579E-4</v>
      </c>
      <c r="P69" s="10">
        <f t="shared" ref="P69:P100" si="54">+I69/$K69*P_t</f>
        <v>7.4998023691189778E-6</v>
      </c>
      <c r="Q69" s="54">
        <f t="shared" ref="Q69:Q100" si="55">1/(1+K1_*L69+K2_*M69+SQRT(K2_*K3_*M69)+1/K6_*N69+K7_*O69+P69/K10_)</f>
        <v>1.7319448562388862E-2</v>
      </c>
      <c r="R69" s="10">
        <f t="shared" ref="R69:R100" si="56">K1_*L69*Q69</f>
        <v>2.9932020298986754E-4</v>
      </c>
      <c r="S69" s="10">
        <f t="shared" ref="S69:S100" si="57">K7_*O69*Q69</f>
        <v>5.0202130664188144E-4</v>
      </c>
      <c r="T69" s="10">
        <f t="shared" ref="T69:T100" si="58">K2_*M69*Q69</f>
        <v>0.2973623853950807</v>
      </c>
      <c r="U69" s="10">
        <f t="shared" ref="U69:U100" si="59">SQRT(K2_*K3_*M69)*Q69</f>
        <v>0.6845167501405095</v>
      </c>
      <c r="V69" s="10">
        <f t="shared" ref="V69:V100" si="60">N69/K6_*Q69</f>
        <v>7.2964693014580167E-8</v>
      </c>
      <c r="W69" s="10">
        <f t="shared" ref="W69:W100" si="61">P69/K10_*Q69</f>
        <v>1.4276962283347621E-9</v>
      </c>
      <c r="X69" s="163">
        <f t="shared" si="22"/>
        <v>1.0000000000000002</v>
      </c>
      <c r="Y69" s="54">
        <f t="shared" ref="Y69:Y100" si="62">(k4f*K1_*SQRT(K2_*K3_*M69)*L69+k5f*K1_*K2_*L69*M69-k4r/K6_*N69-k5r/K6_*SQRT(K2_*K3_*M69)*N69)*Q69*Q69</f>
        <v>0.3664068956036578</v>
      </c>
      <c r="Z69" s="54">
        <f t="shared" ref="Z69:Z100" si="63">(k8f*K7_*SQRT(K2_*K3_*M69)*O69+k9f*K7_*K2_*O69*M69-k8r/K10_*P69-k9r/K10_*SQRT(K2_*K3_*M69)*P69)*Q69*Q69</f>
        <v>1.5363512149137625E-2</v>
      </c>
      <c r="AA69" s="113"/>
    </row>
    <row r="70" spans="1:27" x14ac:dyDescent="0.2">
      <c r="A70" s="20">
        <f t="shared" si="23"/>
        <v>0.65000000000000036</v>
      </c>
      <c r="B70" s="23">
        <f t="shared" si="24"/>
        <v>0.01</v>
      </c>
      <c r="C70" s="12">
        <f t="shared" si="25"/>
        <v>0</v>
      </c>
      <c r="D70" s="12">
        <f t="shared" si="26"/>
        <v>1198.51644454703</v>
      </c>
      <c r="E70" s="23">
        <f t="shared" ref="E70:E101" si="64">+E69-$B69*$Y69</f>
        <v>0.16734108753937826</v>
      </c>
      <c r="F70" s="23">
        <f t="shared" si="48"/>
        <v>135.78121513359361</v>
      </c>
      <c r="G70" s="95">
        <f t="shared" ref="G70:G101" si="65">+G69+$B69*$Y69</f>
        <v>0.51545072101310097</v>
      </c>
      <c r="H70" s="95">
        <f t="shared" ref="H70:H101" si="66">+H69-$B69*$Z69</f>
        <v>0.25632373700393213</v>
      </c>
      <c r="I70" s="95">
        <f t="shared" ref="I70:I101" si="67">+I69+$B69*$Z69</f>
        <v>1.016773704758238E-2</v>
      </c>
      <c r="J70" s="12">
        <f t="shared" si="28"/>
        <v>0</v>
      </c>
      <c r="K70" s="12">
        <f t="shared" si="49"/>
        <v>1335.2469429632276</v>
      </c>
      <c r="L70" s="54">
        <f t="shared" si="50"/>
        <v>1.253259469503139E-4</v>
      </c>
      <c r="M70" s="10">
        <f t="shared" si="51"/>
        <v>0.10168996517772443</v>
      </c>
      <c r="N70" s="10">
        <f t="shared" si="52"/>
        <v>3.8603400197209539E-4</v>
      </c>
      <c r="O70" s="10">
        <f t="shared" si="53"/>
        <v>1.9196728991199887E-4</v>
      </c>
      <c r="P70" s="10">
        <f t="shared" si="54"/>
        <v>7.6148738637197521E-6</v>
      </c>
      <c r="Q70" s="54">
        <f t="shared" si="55"/>
        <v>1.7319699090852798E-2</v>
      </c>
      <c r="R70" s="10">
        <f t="shared" si="56"/>
        <v>2.9291141028428639E-4</v>
      </c>
      <c r="S70" s="10">
        <f t="shared" si="57"/>
        <v>5.0172853161245697E-4</v>
      </c>
      <c r="T70" s="10">
        <f t="shared" si="58"/>
        <v>0.29736308260578737</v>
      </c>
      <c r="U70" s="10">
        <f t="shared" si="59"/>
        <v>0.68452250342360232</v>
      </c>
      <c r="V70" s="10">
        <f t="shared" si="60"/>
        <v>7.3488237931143612E-8</v>
      </c>
      <c r="W70" s="10">
        <f t="shared" si="61"/>
        <v>1.4496227261171031E-9</v>
      </c>
      <c r="X70" s="163">
        <f t="shared" ref="X70:X133" si="68">SUM(Q70:W70)</f>
        <v>0.99999999999999989</v>
      </c>
      <c r="Y70" s="54">
        <f t="shared" si="62"/>
        <v>0.35856403633343875</v>
      </c>
      <c r="Z70" s="54">
        <f t="shared" si="63"/>
        <v>1.5354653129391542E-2</v>
      </c>
      <c r="AA70" s="113"/>
    </row>
    <row r="71" spans="1:27" x14ac:dyDescent="0.2">
      <c r="A71" s="20">
        <f t="shared" ref="A71:A134" si="69">+A70+B71</f>
        <v>0.66000000000000036</v>
      </c>
      <c r="B71" s="23">
        <f t="shared" ref="B71:B134" si="70">MIN(B70,1-A70)</f>
        <v>0.01</v>
      </c>
      <c r="C71" s="12">
        <f t="shared" ref="C71:C134" si="71">+C70</f>
        <v>0</v>
      </c>
      <c r="D71" s="12">
        <f t="shared" ref="D71:D134" si="72">+D70</f>
        <v>1198.51644454703</v>
      </c>
      <c r="E71" s="23">
        <f t="shared" si="64"/>
        <v>0.16375544717604387</v>
      </c>
      <c r="F71" s="23">
        <f t="shared" ref="F71:F102" si="73">+F70-$B70*(Y70/2)</f>
        <v>135.77942231341194</v>
      </c>
      <c r="G71" s="95">
        <f t="shared" si="65"/>
        <v>0.51903636137643538</v>
      </c>
      <c r="H71" s="95">
        <f t="shared" si="66"/>
        <v>0.25617019047263823</v>
      </c>
      <c r="I71" s="95">
        <f t="shared" si="67"/>
        <v>1.0321283578876296E-2</v>
      </c>
      <c r="J71" s="12">
        <f t="shared" ref="J71:J134" si="74">+J70</f>
        <v>0</v>
      </c>
      <c r="K71" s="12">
        <f t="shared" si="49"/>
        <v>1335.245150143046</v>
      </c>
      <c r="L71" s="54">
        <f t="shared" si="50"/>
        <v>1.2264073541738804E-4</v>
      </c>
      <c r="M71" s="10">
        <f t="shared" si="51"/>
        <v>0.10168875902591054</v>
      </c>
      <c r="N71" s="10">
        <f t="shared" si="52"/>
        <v>3.887199001028617E-4</v>
      </c>
      <c r="O71" s="10">
        <f t="shared" si="53"/>
        <v>1.9185255265311729E-4</v>
      </c>
      <c r="P71" s="10">
        <f t="shared" si="54"/>
        <v>7.7298790995575366E-6</v>
      </c>
      <c r="Q71" s="54">
        <f t="shared" si="55"/>
        <v>1.7319944373392248E-2</v>
      </c>
      <c r="R71" s="10">
        <f t="shared" si="56"/>
        <v>2.8663960165679073E-4</v>
      </c>
      <c r="S71" s="10">
        <f t="shared" si="57"/>
        <v>5.0143575388593919E-4</v>
      </c>
      <c r="T71" s="10">
        <f t="shared" si="58"/>
        <v>0.29736376678391857</v>
      </c>
      <c r="U71" s="10">
        <f t="shared" si="59"/>
        <v>0.68452813801501666</v>
      </c>
      <c r="V71" s="10">
        <f t="shared" si="60"/>
        <v>7.4000593003446386E-8</v>
      </c>
      <c r="W71" s="10">
        <f t="shared" si="61"/>
        <v>1.4715367982468586E-9</v>
      </c>
      <c r="X71" s="163">
        <f t="shared" si="68"/>
        <v>1</v>
      </c>
      <c r="Y71" s="54">
        <f t="shared" si="62"/>
        <v>0.35088871584963111</v>
      </c>
      <c r="Z71" s="54">
        <f t="shared" si="63"/>
        <v>1.5345791850692044E-2</v>
      </c>
      <c r="AA71" s="113"/>
    </row>
    <row r="72" spans="1:27" x14ac:dyDescent="0.2">
      <c r="A72" s="20">
        <f t="shared" si="69"/>
        <v>0.67000000000000037</v>
      </c>
      <c r="B72" s="23">
        <f t="shared" si="70"/>
        <v>0.01</v>
      </c>
      <c r="C72" s="12">
        <f t="shared" si="71"/>
        <v>0</v>
      </c>
      <c r="D72" s="12">
        <f t="shared" si="72"/>
        <v>1198.51644454703</v>
      </c>
      <c r="E72" s="23">
        <f t="shared" si="64"/>
        <v>0.16024656001754756</v>
      </c>
      <c r="F72" s="23">
        <f t="shared" si="73"/>
        <v>135.7776678698327</v>
      </c>
      <c r="G72" s="95">
        <f t="shared" si="65"/>
        <v>0.52254524853493167</v>
      </c>
      <c r="H72" s="95">
        <f t="shared" si="66"/>
        <v>0.25601673255413132</v>
      </c>
      <c r="I72" s="95">
        <f t="shared" si="67"/>
        <v>1.0474741497383217E-2</v>
      </c>
      <c r="J72" s="12">
        <f t="shared" si="74"/>
        <v>0</v>
      </c>
      <c r="K72" s="12">
        <f t="shared" si="49"/>
        <v>1335.2433956994666</v>
      </c>
      <c r="L72" s="54">
        <f t="shared" si="50"/>
        <v>1.2001299578314145E-4</v>
      </c>
      <c r="M72" s="10">
        <f t="shared" si="51"/>
        <v>0.10168757868950599</v>
      </c>
      <c r="N72" s="10">
        <f t="shared" si="52"/>
        <v>3.9134831163961426E-4</v>
      </c>
      <c r="O72" s="10">
        <f t="shared" si="53"/>
        <v>1.9173787593985221E-4</v>
      </c>
      <c r="P72" s="10">
        <f t="shared" si="54"/>
        <v>7.8448180542364928E-6</v>
      </c>
      <c r="Q72" s="54">
        <f t="shared" si="55"/>
        <v>1.7320184521671649E-2</v>
      </c>
      <c r="R72" s="10">
        <f t="shared" si="56"/>
        <v>2.8050185906712462E-4</v>
      </c>
      <c r="S72" s="10">
        <f t="shared" si="57"/>
        <v>5.0114297735810622E-4</v>
      </c>
      <c r="T72" s="10">
        <f t="shared" si="58"/>
        <v>0.29736443820564562</v>
      </c>
      <c r="U72" s="10">
        <f t="shared" si="59"/>
        <v>0.68453365644082242</v>
      </c>
      <c r="V72" s="10">
        <f t="shared" si="60"/>
        <v>7.4501996597519289E-8</v>
      </c>
      <c r="W72" s="10">
        <f t="shared" si="61"/>
        <v>1.4934384296593029E-9</v>
      </c>
      <c r="X72" s="163">
        <f t="shared" si="68"/>
        <v>1</v>
      </c>
      <c r="Y72" s="54">
        <f t="shared" si="62"/>
        <v>0.34337736932109691</v>
      </c>
      <c r="Z72" s="54">
        <f t="shared" si="63"/>
        <v>1.533692847963972E-2</v>
      </c>
      <c r="AA72" s="113"/>
    </row>
    <row r="73" spans="1:27" x14ac:dyDescent="0.2">
      <c r="A73" s="20">
        <f t="shared" si="69"/>
        <v>0.68000000000000038</v>
      </c>
      <c r="B73" s="23">
        <f t="shared" si="70"/>
        <v>0.01</v>
      </c>
      <c r="C73" s="12">
        <f t="shared" si="71"/>
        <v>0</v>
      </c>
      <c r="D73" s="12">
        <f t="shared" si="72"/>
        <v>1198.51644454703</v>
      </c>
      <c r="E73" s="23">
        <f t="shared" si="64"/>
        <v>0.15681278632433659</v>
      </c>
      <c r="F73" s="23">
        <f t="shared" si="73"/>
        <v>135.7759509829861</v>
      </c>
      <c r="G73" s="95">
        <f t="shared" si="65"/>
        <v>0.52597902222814263</v>
      </c>
      <c r="H73" s="95">
        <f t="shared" si="66"/>
        <v>0.2558633632693349</v>
      </c>
      <c r="I73" s="95">
        <f t="shared" si="67"/>
        <v>1.0628110782179614E-2</v>
      </c>
      <c r="J73" s="12">
        <f t="shared" si="74"/>
        <v>0</v>
      </c>
      <c r="K73" s="12">
        <f t="shared" si="49"/>
        <v>1335.24167881262</v>
      </c>
      <c r="L73" s="54">
        <f t="shared" si="50"/>
        <v>1.1744150052579567E-4</v>
      </c>
      <c r="M73" s="10">
        <f t="shared" si="51"/>
        <v>0.10168642361712865</v>
      </c>
      <c r="N73" s="10">
        <f t="shared" si="52"/>
        <v>3.9392046441800402E-4</v>
      </c>
      <c r="O73" s="10">
        <f t="shared" si="53"/>
        <v>1.9162325991566151E-4</v>
      </c>
      <c r="P73" s="10">
        <f t="shared" si="54"/>
        <v>7.959690706802076E-6</v>
      </c>
      <c r="Q73" s="54">
        <f t="shared" si="55"/>
        <v>1.7320419644993614E-2</v>
      </c>
      <c r="R73" s="10">
        <f t="shared" si="56"/>
        <v>2.7449532621735915E-4</v>
      </c>
      <c r="S73" s="10">
        <f t="shared" si="57"/>
        <v>5.0085020583772399E-4</v>
      </c>
      <c r="T73" s="10">
        <f t="shared" si="58"/>
        <v>0.29736509714131099</v>
      </c>
      <c r="U73" s="10">
        <f t="shared" si="59"/>
        <v>0.68453906117363061</v>
      </c>
      <c r="V73" s="10">
        <f t="shared" si="60"/>
        <v>7.499268203585096E-8</v>
      </c>
      <c r="W73" s="10">
        <f t="shared" si="61"/>
        <v>1.5153276059441096E-9</v>
      </c>
      <c r="X73" s="163">
        <f t="shared" si="68"/>
        <v>1</v>
      </c>
      <c r="Y73" s="54">
        <f t="shared" si="62"/>
        <v>0.33602650717212429</v>
      </c>
      <c r="Z73" s="54">
        <f t="shared" si="63"/>
        <v>1.5328063179147445E-2</v>
      </c>
      <c r="AA73" s="113"/>
    </row>
    <row r="74" spans="1:27" x14ac:dyDescent="0.2">
      <c r="A74" s="20">
        <f t="shared" si="69"/>
        <v>0.69000000000000039</v>
      </c>
      <c r="B74" s="23">
        <f t="shared" si="70"/>
        <v>0.01</v>
      </c>
      <c r="C74" s="12">
        <f t="shared" si="71"/>
        <v>0</v>
      </c>
      <c r="D74" s="12">
        <f t="shared" si="72"/>
        <v>1198.51644454703</v>
      </c>
      <c r="E74" s="23">
        <f t="shared" si="64"/>
        <v>0.15345252125261535</v>
      </c>
      <c r="F74" s="23">
        <f t="shared" si="73"/>
        <v>135.77427085045025</v>
      </c>
      <c r="G74" s="95">
        <f t="shared" si="65"/>
        <v>0.5293392872998639</v>
      </c>
      <c r="H74" s="95">
        <f t="shared" si="66"/>
        <v>0.25571008263754341</v>
      </c>
      <c r="I74" s="95">
        <f t="shared" si="67"/>
        <v>1.0781391413971088E-2</v>
      </c>
      <c r="J74" s="12">
        <f t="shared" si="74"/>
        <v>0</v>
      </c>
      <c r="K74" s="12">
        <f t="shared" si="49"/>
        <v>1335.239998680084</v>
      </c>
      <c r="L74" s="54">
        <f t="shared" si="50"/>
        <v>1.1492504823425509E-4</v>
      </c>
      <c r="M74" s="10">
        <f t="shared" si="51"/>
        <v>0.10168529326912487</v>
      </c>
      <c r="N74" s="10">
        <f t="shared" si="52"/>
        <v>3.9643756015632261E-4</v>
      </c>
      <c r="O74" s="10">
        <f t="shared" si="53"/>
        <v>1.9150870471998951E-4</v>
      </c>
      <c r="P74" s="10">
        <f t="shared" si="54"/>
        <v>8.0744970377076373E-6</v>
      </c>
      <c r="Q74" s="54">
        <f t="shared" si="55"/>
        <v>1.732064985034815E-2</v>
      </c>
      <c r="R74" s="10">
        <f t="shared" si="56"/>
        <v>2.6861720726315761E-4</v>
      </c>
      <c r="S74" s="10">
        <f t="shared" si="57"/>
        <v>5.0055744304841501E-4</v>
      </c>
      <c r="T74" s="10">
        <f t="shared" si="58"/>
        <v>0.29736574385554904</v>
      </c>
      <c r="U74" s="10">
        <f t="shared" si="59"/>
        <v>0.68454435463370922</v>
      </c>
      <c r="V74" s="10">
        <f t="shared" si="60"/>
        <v>7.5472877702660186E-8</v>
      </c>
      <c r="W74" s="10">
        <f t="shared" si="61"/>
        <v>1.5372043133276794E-9</v>
      </c>
      <c r="X74" s="163">
        <f t="shared" si="68"/>
        <v>1</v>
      </c>
      <c r="Y74" s="54">
        <f t="shared" si="62"/>
        <v>0.32883271351893983</v>
      </c>
      <c r="Z74" s="54">
        <f t="shared" si="63"/>
        <v>1.5319196108519333E-2</v>
      </c>
      <c r="AA74" s="113"/>
    </row>
    <row r="75" spans="1:27" x14ac:dyDescent="0.2">
      <c r="A75" s="20">
        <f t="shared" si="69"/>
        <v>0.7000000000000004</v>
      </c>
      <c r="B75" s="23">
        <f t="shared" si="70"/>
        <v>0.01</v>
      </c>
      <c r="C75" s="12">
        <f t="shared" si="71"/>
        <v>0</v>
      </c>
      <c r="D75" s="12">
        <f t="shared" si="72"/>
        <v>1198.51644454703</v>
      </c>
      <c r="E75" s="23">
        <f t="shared" si="64"/>
        <v>0.15016419411742596</v>
      </c>
      <c r="F75" s="23">
        <f t="shared" si="73"/>
        <v>135.77262668688266</v>
      </c>
      <c r="G75" s="95">
        <f t="shared" si="65"/>
        <v>0.53262761443505335</v>
      </c>
      <c r="H75" s="95">
        <f t="shared" si="66"/>
        <v>0.2555568906764582</v>
      </c>
      <c r="I75" s="95">
        <f t="shared" si="67"/>
        <v>1.0934583375056281E-2</v>
      </c>
      <c r="J75" s="12">
        <f t="shared" si="74"/>
        <v>0</v>
      </c>
      <c r="K75" s="12">
        <f t="shared" si="49"/>
        <v>1335.2383545165167</v>
      </c>
      <c r="L75" s="54">
        <f t="shared" si="50"/>
        <v>1.124624630572417E-4</v>
      </c>
      <c r="M75" s="10">
        <f t="shared" si="51"/>
        <v>0.10168418711732204</v>
      </c>
      <c r="N75" s="10">
        <f t="shared" si="52"/>
        <v>3.9890077500650829E-4</v>
      </c>
      <c r="O75" s="10">
        <f t="shared" si="53"/>
        <v>1.9139421048835443E-4</v>
      </c>
      <c r="P75" s="10">
        <f t="shared" si="54"/>
        <v>8.1892370287817567E-6</v>
      </c>
      <c r="Q75" s="54">
        <f t="shared" si="55"/>
        <v>1.7320875242460957E-2</v>
      </c>
      <c r="R75" s="10">
        <f t="shared" si="56"/>
        <v>2.6286476555119277E-4</v>
      </c>
      <c r="S75" s="10">
        <f t="shared" si="57"/>
        <v>5.0026469263049077E-4</v>
      </c>
      <c r="T75" s="10">
        <f t="shared" si="58"/>
        <v>0.29736637860740489</v>
      </c>
      <c r="U75" s="10">
        <f t="shared" si="59"/>
        <v>0.68454953919007677</v>
      </c>
      <c r="V75" s="10">
        <f t="shared" si="60"/>
        <v>7.5942807147032368E-8</v>
      </c>
      <c r="W75" s="10">
        <f t="shared" si="61"/>
        <v>1.5590685386559165E-9</v>
      </c>
      <c r="X75" s="163">
        <f t="shared" si="68"/>
        <v>1</v>
      </c>
      <c r="Y75" s="54">
        <f t="shared" si="62"/>
        <v>0.3217926446376369</v>
      </c>
      <c r="Z75" s="54">
        <f t="shared" si="63"/>
        <v>1.5310327423528133E-2</v>
      </c>
      <c r="AA75" s="113"/>
    </row>
    <row r="76" spans="1:27" x14ac:dyDescent="0.2">
      <c r="A76" s="20">
        <f t="shared" si="69"/>
        <v>0.71000000000000041</v>
      </c>
      <c r="B76" s="23">
        <f t="shared" si="70"/>
        <v>0.01</v>
      </c>
      <c r="C76" s="12">
        <f t="shared" si="71"/>
        <v>0</v>
      </c>
      <c r="D76" s="12">
        <f t="shared" si="72"/>
        <v>1198.51644454703</v>
      </c>
      <c r="E76" s="23">
        <f t="shared" si="64"/>
        <v>0.1469462676710496</v>
      </c>
      <c r="F76" s="23">
        <f t="shared" si="73"/>
        <v>135.77101772365947</v>
      </c>
      <c r="G76" s="95">
        <f t="shared" si="65"/>
        <v>0.53584554088142977</v>
      </c>
      <c r="H76" s="95">
        <f t="shared" si="66"/>
        <v>0.25540378740222291</v>
      </c>
      <c r="I76" s="95">
        <f t="shared" si="67"/>
        <v>1.1087686649291563E-2</v>
      </c>
      <c r="J76" s="12">
        <f t="shared" si="74"/>
        <v>0</v>
      </c>
      <c r="K76" s="12">
        <f t="shared" si="49"/>
        <v>1335.2367455532933</v>
      </c>
      <c r="L76" s="54">
        <f t="shared" si="50"/>
        <v>1.1005259416385986E-4</v>
      </c>
      <c r="M76" s="10">
        <f t="shared" si="51"/>
        <v>0.10168310464478633</v>
      </c>
      <c r="N76" s="10">
        <f t="shared" si="52"/>
        <v>4.013112600937199E-4</v>
      </c>
      <c r="O76" s="10">
        <f t="shared" si="53"/>
        <v>1.912797773524343E-4</v>
      </c>
      <c r="P76" s="10">
        <f t="shared" si="54"/>
        <v>8.3039106631963342E-6</v>
      </c>
      <c r="Q76" s="54">
        <f t="shared" si="55"/>
        <v>1.7321095923840697E-2</v>
      </c>
      <c r="R76" s="10">
        <f t="shared" si="56"/>
        <v>2.572353223822153E-4</v>
      </c>
      <c r="S76" s="10">
        <f t="shared" si="57"/>
        <v>4.9997195814274363E-4</v>
      </c>
      <c r="T76" s="10">
        <f t="shared" si="58"/>
        <v>0.29736700165045077</v>
      </c>
      <c r="U76" s="10">
        <f t="shared" si="59"/>
        <v>0.68455461716157417</v>
      </c>
      <c r="V76" s="10">
        <f t="shared" si="60"/>
        <v>7.6402689183960597E-8</v>
      </c>
      <c r="W76" s="10">
        <f t="shared" si="61"/>
        <v>1.5809202693774456E-9</v>
      </c>
      <c r="X76" s="163">
        <f t="shared" si="68"/>
        <v>1</v>
      </c>
      <c r="Y76" s="54">
        <f t="shared" si="62"/>
        <v>0.31490302746292881</v>
      </c>
      <c r="Z76" s="54">
        <f t="shared" si="63"/>
        <v>1.530145727649101E-2</v>
      </c>
      <c r="AA76" s="113"/>
    </row>
    <row r="77" spans="1:27" x14ac:dyDescent="0.2">
      <c r="A77" s="20">
        <f t="shared" si="69"/>
        <v>0.72000000000000042</v>
      </c>
      <c r="B77" s="23">
        <f t="shared" si="70"/>
        <v>0.01</v>
      </c>
      <c r="C77" s="12">
        <f t="shared" si="71"/>
        <v>0</v>
      </c>
      <c r="D77" s="12">
        <f t="shared" si="72"/>
        <v>1198.51644454703</v>
      </c>
      <c r="E77" s="23">
        <f t="shared" si="64"/>
        <v>0.14379723739642031</v>
      </c>
      <c r="F77" s="23">
        <f t="shared" si="73"/>
        <v>135.76944320852215</v>
      </c>
      <c r="G77" s="95">
        <f t="shared" si="65"/>
        <v>0.53899457115605909</v>
      </c>
      <c r="H77" s="95">
        <f t="shared" si="66"/>
        <v>0.25525077282945802</v>
      </c>
      <c r="I77" s="95">
        <f t="shared" si="67"/>
        <v>1.1240701222056473E-2</v>
      </c>
      <c r="J77" s="12">
        <f t="shared" si="74"/>
        <v>0</v>
      </c>
      <c r="K77" s="12">
        <f t="shared" si="49"/>
        <v>1335.2351710381563</v>
      </c>
      <c r="L77" s="54">
        <f t="shared" si="50"/>
        <v>1.0769431521536148E-4</v>
      </c>
      <c r="M77" s="10">
        <f t="shared" si="51"/>
        <v>0.1016820453455853</v>
      </c>
      <c r="N77" s="10">
        <f t="shared" si="52"/>
        <v>4.0367014204470544E-4</v>
      </c>
      <c r="O77" s="10">
        <f t="shared" si="53"/>
        <v>1.9116540544015064E-4</v>
      </c>
      <c r="P77" s="10">
        <f t="shared" si="54"/>
        <v>8.4185179254353644E-6</v>
      </c>
      <c r="Q77" s="54">
        <f t="shared" si="55"/>
        <v>1.7321311994825329E-2</v>
      </c>
      <c r="R77" s="10">
        <f t="shared" si="56"/>
        <v>2.5172625579928287E-4</v>
      </c>
      <c r="S77" s="10">
        <f t="shared" si="57"/>
        <v>4.9967924306420196E-4</v>
      </c>
      <c r="T77" s="10">
        <f t="shared" si="58"/>
        <v>0.29736761323289929</v>
      </c>
      <c r="U77" s="10">
        <f t="shared" si="59"/>
        <v>0.6845595908179144</v>
      </c>
      <c r="V77" s="10">
        <f t="shared" si="60"/>
        <v>7.68527379933312E-8</v>
      </c>
      <c r="W77" s="10">
        <f t="shared" si="61"/>
        <v>1.6027594935272526E-9</v>
      </c>
      <c r="X77" s="163">
        <f t="shared" si="68"/>
        <v>1</v>
      </c>
      <c r="Y77" s="54">
        <f t="shared" si="62"/>
        <v>0.30816065811715421</v>
      </c>
      <c r="Z77" s="54">
        <f t="shared" si="63"/>
        <v>1.5292585816343679E-2</v>
      </c>
      <c r="AA77" s="113"/>
    </row>
    <row r="78" spans="1:27" x14ac:dyDescent="0.2">
      <c r="A78" s="20">
        <f t="shared" si="69"/>
        <v>0.73000000000000043</v>
      </c>
      <c r="B78" s="23">
        <f t="shared" si="70"/>
        <v>0.01</v>
      </c>
      <c r="C78" s="12">
        <f t="shared" si="71"/>
        <v>0</v>
      </c>
      <c r="D78" s="12">
        <f t="shared" si="72"/>
        <v>1198.51644454703</v>
      </c>
      <c r="E78" s="23">
        <f t="shared" si="64"/>
        <v>0.14071563081524877</v>
      </c>
      <c r="F78" s="23">
        <f t="shared" si="73"/>
        <v>135.76790240523155</v>
      </c>
      <c r="G78" s="95">
        <f t="shared" si="65"/>
        <v>0.5420761777372306</v>
      </c>
      <c r="H78" s="95">
        <f t="shared" si="66"/>
        <v>0.25509784697129456</v>
      </c>
      <c r="I78" s="95">
        <f t="shared" si="67"/>
        <v>1.1393627080219909E-2</v>
      </c>
      <c r="J78" s="12">
        <f t="shared" si="74"/>
        <v>0</v>
      </c>
      <c r="K78" s="12">
        <f t="shared" si="49"/>
        <v>1335.2336302348656</v>
      </c>
      <c r="L78" s="54">
        <f t="shared" si="50"/>
        <v>1.0538652384788802E-4</v>
      </c>
      <c r="M78" s="10">
        <f t="shared" si="51"/>
        <v>0.10168100872455571</v>
      </c>
      <c r="N78" s="10">
        <f t="shared" si="52"/>
        <v>4.0597852350519377E-4</v>
      </c>
      <c r="O78" s="10">
        <f t="shared" si="53"/>
        <v>1.9105109487575086E-4</v>
      </c>
      <c r="P78" s="10">
        <f t="shared" si="54"/>
        <v>8.5330588012644552E-6</v>
      </c>
      <c r="Q78" s="54">
        <f t="shared" si="55"/>
        <v>1.7321523553627493E-2</v>
      </c>
      <c r="R78" s="10">
        <f t="shared" si="56"/>
        <v>2.4633499940066912E-4</v>
      </c>
      <c r="S78" s="10">
        <f t="shared" si="57"/>
        <v>4.9938655079584892E-4</v>
      </c>
      <c r="T78" s="10">
        <f t="shared" si="58"/>
        <v>0.29736821359771642</v>
      </c>
      <c r="U78" s="10">
        <f t="shared" si="59"/>
        <v>0.68456446238071011</v>
      </c>
      <c r="V78" s="10">
        <f t="shared" si="60"/>
        <v>7.7293163216893597E-8</v>
      </c>
      <c r="W78" s="10">
        <f t="shared" si="61"/>
        <v>1.6245861997107495E-9</v>
      </c>
      <c r="X78" s="163">
        <f t="shared" si="68"/>
        <v>1</v>
      </c>
      <c r="Y78" s="54">
        <f t="shared" si="62"/>
        <v>0.30156240046896599</v>
      </c>
      <c r="Z78" s="54">
        <f t="shared" si="63"/>
        <v>1.5283713188713088E-2</v>
      </c>
      <c r="AA78" s="113"/>
    </row>
    <row r="79" spans="1:27" x14ac:dyDescent="0.2">
      <c r="A79" s="20">
        <f t="shared" si="69"/>
        <v>0.74000000000000044</v>
      </c>
      <c r="B79" s="23">
        <f t="shared" si="70"/>
        <v>0.01</v>
      </c>
      <c r="C79" s="12">
        <f t="shared" si="71"/>
        <v>0</v>
      </c>
      <c r="D79" s="12">
        <f t="shared" si="72"/>
        <v>1198.51644454703</v>
      </c>
      <c r="E79" s="23">
        <f t="shared" si="64"/>
        <v>0.13770000681055911</v>
      </c>
      <c r="F79" s="23">
        <f t="shared" si="73"/>
        <v>135.76639459322919</v>
      </c>
      <c r="G79" s="95">
        <f t="shared" si="65"/>
        <v>0.54509180174192029</v>
      </c>
      <c r="H79" s="95">
        <f t="shared" si="66"/>
        <v>0.25494500983940743</v>
      </c>
      <c r="I79" s="95">
        <f t="shared" si="67"/>
        <v>1.154646421210704E-2</v>
      </c>
      <c r="J79" s="12">
        <f t="shared" si="74"/>
        <v>0</v>
      </c>
      <c r="K79" s="12">
        <f t="shared" si="49"/>
        <v>1335.2321224228633</v>
      </c>
      <c r="L79" s="54">
        <f t="shared" si="50"/>
        <v>1.0312814116596724E-4</v>
      </c>
      <c r="M79" s="10">
        <f t="shared" si="51"/>
        <v>0.10167999429707583</v>
      </c>
      <c r="N79" s="10">
        <f t="shared" si="52"/>
        <v>4.082374836465263E-4</v>
      </c>
      <c r="O79" s="10">
        <f t="shared" si="53"/>
        <v>1.9093684577988848E-4</v>
      </c>
      <c r="P79" s="10">
        <f t="shared" si="54"/>
        <v>8.6475332777009953E-6</v>
      </c>
      <c r="Q79" s="54">
        <f t="shared" si="55"/>
        <v>1.7321730696378972E-2</v>
      </c>
      <c r="R79" s="10">
        <f t="shared" si="56"/>
        <v>2.4105904117697569E-4</v>
      </c>
      <c r="S79" s="10">
        <f t="shared" si="57"/>
        <v>4.9909388466230461E-4</v>
      </c>
      <c r="T79" s="10">
        <f t="shared" si="58"/>
        <v>0.29736880298272933</v>
      </c>
      <c r="U79" s="10">
        <f t="shared" si="59"/>
        <v>0.68456923402448178</v>
      </c>
      <c r="V79" s="10">
        <f t="shared" si="60"/>
        <v>7.7724170053252865E-8</v>
      </c>
      <c r="W79" s="10">
        <f t="shared" si="61"/>
        <v>1.6464003770882406E-9</v>
      </c>
      <c r="X79" s="163">
        <f t="shared" si="68"/>
        <v>0.99999999999999989</v>
      </c>
      <c r="Y79" s="54">
        <f t="shared" si="62"/>
        <v>0.29510518472114489</v>
      </c>
      <c r="Z79" s="54">
        <f t="shared" si="63"/>
        <v>1.5274839535988502E-2</v>
      </c>
      <c r="AA79" s="113"/>
    </row>
    <row r="80" spans="1:27" x14ac:dyDescent="0.2">
      <c r="A80" s="20">
        <f t="shared" si="69"/>
        <v>0.75000000000000044</v>
      </c>
      <c r="B80" s="23">
        <f t="shared" si="70"/>
        <v>0.01</v>
      </c>
      <c r="C80" s="12">
        <f t="shared" si="71"/>
        <v>0</v>
      </c>
      <c r="D80" s="12">
        <f t="shared" si="72"/>
        <v>1198.51644454703</v>
      </c>
      <c r="E80" s="23">
        <f t="shared" si="64"/>
        <v>0.13474895496334766</v>
      </c>
      <c r="F80" s="23">
        <f t="shared" si="73"/>
        <v>135.76491906730558</v>
      </c>
      <c r="G80" s="95">
        <f t="shared" si="65"/>
        <v>0.54804285358913174</v>
      </c>
      <c r="H80" s="95">
        <f t="shared" si="66"/>
        <v>0.25479226144404754</v>
      </c>
      <c r="I80" s="95">
        <f t="shared" si="67"/>
        <v>1.1699212607466924E-2</v>
      </c>
      <c r="J80" s="12">
        <f t="shared" si="74"/>
        <v>0</v>
      </c>
      <c r="K80" s="12">
        <f t="shared" si="49"/>
        <v>1335.2306468969393</v>
      </c>
      <c r="L80" s="54">
        <f t="shared" si="50"/>
        <v>1.0091811124654955E-4</v>
      </c>
      <c r="M80" s="10">
        <f t="shared" si="51"/>
        <v>0.10167900158884287</v>
      </c>
      <c r="N80" s="10">
        <f t="shared" si="52"/>
        <v>4.1044807866174807E-4</v>
      </c>
      <c r="O80" s="10">
        <f t="shared" si="53"/>
        <v>1.9082265826970182E-4</v>
      </c>
      <c r="P80" s="10">
        <f t="shared" si="54"/>
        <v>8.7619413429850199E-6</v>
      </c>
      <c r="Q80" s="54">
        <f t="shared" si="55"/>
        <v>1.7321933517174249E-2</v>
      </c>
      <c r="R80" s="10">
        <f t="shared" si="56"/>
        <v>2.3589592237198331E-4</v>
      </c>
      <c r="S80" s="10">
        <f t="shared" si="57"/>
        <v>4.9880124791347252E-4</v>
      </c>
      <c r="T80" s="10">
        <f t="shared" si="58"/>
        <v>0.29736938162073479</v>
      </c>
      <c r="U80" s="10">
        <f t="shared" si="59"/>
        <v>0.68457390787764427</v>
      </c>
      <c r="V80" s="10">
        <f t="shared" si="60"/>
        <v>7.8145959350923315E-8</v>
      </c>
      <c r="W80" s="10">
        <f t="shared" si="61"/>
        <v>1.6682020153597901E-9</v>
      </c>
      <c r="X80" s="163">
        <f t="shared" si="68"/>
        <v>1</v>
      </c>
      <c r="Y80" s="54">
        <f t="shared" si="62"/>
        <v>0.28878600602698795</v>
      </c>
      <c r="Z80" s="54">
        <f t="shared" si="63"/>
        <v>1.526596499739115E-2</v>
      </c>
      <c r="AA80" s="113"/>
    </row>
    <row r="81" spans="1:27" x14ac:dyDescent="0.2">
      <c r="A81" s="20">
        <f t="shared" si="69"/>
        <v>0.76000000000000045</v>
      </c>
      <c r="B81" s="23">
        <f t="shared" si="70"/>
        <v>0.01</v>
      </c>
      <c r="C81" s="12">
        <f t="shared" si="71"/>
        <v>0</v>
      </c>
      <c r="D81" s="12">
        <f t="shared" si="72"/>
        <v>1198.51644454703</v>
      </c>
      <c r="E81" s="23">
        <f t="shared" si="64"/>
        <v>0.13186109490307776</v>
      </c>
      <c r="F81" s="23">
        <f t="shared" si="73"/>
        <v>135.76347513727544</v>
      </c>
      <c r="G81" s="95">
        <f t="shared" si="65"/>
        <v>0.5509307136494016</v>
      </c>
      <c r="H81" s="95">
        <f t="shared" si="66"/>
        <v>0.25463960179407363</v>
      </c>
      <c r="I81" s="95">
        <f t="shared" si="67"/>
        <v>1.1851872257440835E-2</v>
      </c>
      <c r="J81" s="12">
        <f t="shared" si="74"/>
        <v>0</v>
      </c>
      <c r="K81" s="12">
        <f t="shared" si="49"/>
        <v>1335.2292029669095</v>
      </c>
      <c r="L81" s="54">
        <f t="shared" si="50"/>
        <v>9.8755400653370546E-5</v>
      </c>
      <c r="M81" s="10">
        <f t="shared" si="51"/>
        <v>0.10167803013565456</v>
      </c>
      <c r="N81" s="10">
        <f t="shared" si="52"/>
        <v>4.1261134225136859E-4</v>
      </c>
      <c r="O81" s="10">
        <f t="shared" si="53"/>
        <v>1.9070853245889072E-4</v>
      </c>
      <c r="P81" s="10">
        <f t="shared" si="54"/>
        <v>8.8762829865507043E-6</v>
      </c>
      <c r="Q81" s="54">
        <f t="shared" si="55"/>
        <v>1.7322132108113154E-2</v>
      </c>
      <c r="R81" s="10">
        <f t="shared" si="56"/>
        <v>2.3084323636678004E-4</v>
      </c>
      <c r="S81" s="10">
        <f t="shared" si="57"/>
        <v>4.9850864372615099E-4</v>
      </c>
      <c r="T81" s="10">
        <f t="shared" si="58"/>
        <v>0.29736994973960301</v>
      </c>
      <c r="U81" s="10">
        <f t="shared" si="59"/>
        <v>0.68457848602347204</v>
      </c>
      <c r="V81" s="10">
        <f t="shared" si="60"/>
        <v>7.8558727699480229E-8</v>
      </c>
      <c r="W81" s="10">
        <f t="shared" si="61"/>
        <v>1.689991104750473E-9</v>
      </c>
      <c r="X81" s="163">
        <f t="shared" si="68"/>
        <v>1</v>
      </c>
      <c r="Y81" s="54">
        <f t="shared" si="62"/>
        <v>0.28260192313472982</v>
      </c>
      <c r="Z81" s="54">
        <f t="shared" si="63"/>
        <v>1.5257089709042333E-2</v>
      </c>
      <c r="AA81" s="113"/>
    </row>
    <row r="82" spans="1:27" x14ac:dyDescent="0.2">
      <c r="A82" s="20">
        <f t="shared" si="69"/>
        <v>0.77000000000000046</v>
      </c>
      <c r="B82" s="23">
        <f t="shared" si="70"/>
        <v>0.01</v>
      </c>
      <c r="C82" s="12">
        <f t="shared" si="71"/>
        <v>0</v>
      </c>
      <c r="D82" s="12">
        <f t="shared" si="72"/>
        <v>1198.51644454703</v>
      </c>
      <c r="E82" s="23">
        <f t="shared" si="64"/>
        <v>0.12903507567173048</v>
      </c>
      <c r="F82" s="23">
        <f t="shared" si="73"/>
        <v>135.76206212765976</v>
      </c>
      <c r="G82" s="95">
        <f t="shared" si="65"/>
        <v>0.55375673288074889</v>
      </c>
      <c r="H82" s="95">
        <f t="shared" si="66"/>
        <v>0.25448703089698321</v>
      </c>
      <c r="I82" s="95">
        <f t="shared" si="67"/>
        <v>1.2004443154531259E-2</v>
      </c>
      <c r="J82" s="12">
        <f t="shared" si="74"/>
        <v>0</v>
      </c>
      <c r="K82" s="12">
        <f t="shared" si="49"/>
        <v>1335.2277899572939</v>
      </c>
      <c r="L82" s="54">
        <f t="shared" si="50"/>
        <v>9.6638997961432153E-5</v>
      </c>
      <c r="M82" s="10">
        <f t="shared" si="51"/>
        <v>0.10167707948319589</v>
      </c>
      <c r="N82" s="10">
        <f t="shared" si="52"/>
        <v>4.147282860990036E-4</v>
      </c>
      <c r="O82" s="10">
        <f t="shared" si="53"/>
        <v>1.9059446845779232E-4</v>
      </c>
      <c r="P82" s="10">
        <f t="shared" si="54"/>
        <v>8.9905581989985478E-6</v>
      </c>
      <c r="Q82" s="54">
        <f t="shared" si="55"/>
        <v>1.7322326559342675E-2</v>
      </c>
      <c r="R82" s="10">
        <f t="shared" si="56"/>
        <v>2.2589862758671975E-4</v>
      </c>
      <c r="S82" s="10">
        <f t="shared" si="57"/>
        <v>4.9821607520561246E-4</v>
      </c>
      <c r="T82" s="10">
        <f t="shared" si="58"/>
        <v>0.29737050756238176</v>
      </c>
      <c r="U82" s="10">
        <f t="shared" si="59"/>
        <v>0.68458297050104799</v>
      </c>
      <c r="V82" s="10">
        <f t="shared" si="60"/>
        <v>7.8962667518847411E-8</v>
      </c>
      <c r="W82" s="10">
        <f t="shared" si="61"/>
        <v>1.7117676359960138E-9</v>
      </c>
      <c r="X82" s="163">
        <f t="shared" si="68"/>
        <v>0.99999999999999989</v>
      </c>
      <c r="Y82" s="54">
        <f t="shared" si="62"/>
        <v>0.276550057059467</v>
      </c>
      <c r="Z82" s="54">
        <f t="shared" si="63"/>
        <v>1.5248213804030235E-2</v>
      </c>
      <c r="AA82" s="113"/>
    </row>
    <row r="83" spans="1:27" x14ac:dyDescent="0.2">
      <c r="A83" s="20">
        <f t="shared" si="69"/>
        <v>0.78000000000000047</v>
      </c>
      <c r="B83" s="23">
        <f t="shared" si="70"/>
        <v>0.01</v>
      </c>
      <c r="C83" s="12">
        <f t="shared" si="71"/>
        <v>0</v>
      </c>
      <c r="D83" s="12">
        <f t="shared" si="72"/>
        <v>1198.51644454703</v>
      </c>
      <c r="E83" s="23">
        <f t="shared" si="64"/>
        <v>0.12626957510113582</v>
      </c>
      <c r="F83" s="23">
        <f t="shared" si="73"/>
        <v>135.76067937737446</v>
      </c>
      <c r="G83" s="95">
        <f t="shared" si="65"/>
        <v>0.55652223345134355</v>
      </c>
      <c r="H83" s="95">
        <f t="shared" si="66"/>
        <v>0.2543345487589429</v>
      </c>
      <c r="I83" s="95">
        <f t="shared" si="67"/>
        <v>1.2156925292571561E-2</v>
      </c>
      <c r="J83" s="12">
        <f t="shared" si="74"/>
        <v>0</v>
      </c>
      <c r="K83" s="12">
        <f t="shared" si="49"/>
        <v>1335.2264072070082</v>
      </c>
      <c r="L83" s="54">
        <f t="shared" si="50"/>
        <v>9.4567913291396941E-5</v>
      </c>
      <c r="M83" s="10">
        <f t="shared" si="51"/>
        <v>0.10167614918682975</v>
      </c>
      <c r="N83" s="10">
        <f t="shared" si="52"/>
        <v>4.1679990033709885E-4</v>
      </c>
      <c r="O83" s="10">
        <f t="shared" si="53"/>
        <v>1.9048046637345443E-4</v>
      </c>
      <c r="P83" s="10">
        <f t="shared" si="54"/>
        <v>9.1047669720681308E-6</v>
      </c>
      <c r="Q83" s="54">
        <f t="shared" si="55"/>
        <v>1.7322516959097901E-2</v>
      </c>
      <c r="R83" s="10">
        <f t="shared" si="56"/>
        <v>2.2105979043076336E-4</v>
      </c>
      <c r="S83" s="10">
        <f t="shared" si="57"/>
        <v>4.9792354538714815E-4</v>
      </c>
      <c r="T83" s="10">
        <f t="shared" si="58"/>
        <v>0.29737105530739638</v>
      </c>
      <c r="U83" s="10">
        <f t="shared" si="59"/>
        <v>0.68458736330618919</v>
      </c>
      <c r="V83" s="10">
        <f t="shared" si="60"/>
        <v>7.9357967146755699E-8</v>
      </c>
      <c r="W83" s="10">
        <f t="shared" si="61"/>
        <v>1.7335316003287851E-9</v>
      </c>
      <c r="X83" s="163">
        <f t="shared" si="68"/>
        <v>1.0000000000000002</v>
      </c>
      <c r="Y83" s="54">
        <f t="shared" si="62"/>
        <v>0.27062758978205753</v>
      </c>
      <c r="Z83" s="54">
        <f t="shared" si="63"/>
        <v>1.5239337412475224E-2</v>
      </c>
      <c r="AA83" s="113"/>
    </row>
    <row r="84" spans="1:27" x14ac:dyDescent="0.2">
      <c r="A84" s="20">
        <f t="shared" si="69"/>
        <v>0.79000000000000048</v>
      </c>
      <c r="B84" s="23">
        <f t="shared" si="70"/>
        <v>0.01</v>
      </c>
      <c r="C84" s="12">
        <f t="shared" si="71"/>
        <v>0</v>
      </c>
      <c r="D84" s="12">
        <f t="shared" si="72"/>
        <v>1198.51644454703</v>
      </c>
      <c r="E84" s="23">
        <f t="shared" si="64"/>
        <v>0.12356329920331524</v>
      </c>
      <c r="F84" s="23">
        <f t="shared" si="73"/>
        <v>135.75932623942555</v>
      </c>
      <c r="G84" s="95">
        <f t="shared" si="65"/>
        <v>0.55922850934916413</v>
      </c>
      <c r="H84" s="95">
        <f t="shared" si="66"/>
        <v>0.25418215538481814</v>
      </c>
      <c r="I84" s="95">
        <f t="shared" si="67"/>
        <v>1.2309318666696314E-2</v>
      </c>
      <c r="J84" s="12">
        <f t="shared" si="74"/>
        <v>0</v>
      </c>
      <c r="K84" s="12">
        <f t="shared" si="49"/>
        <v>1335.2250540690595</v>
      </c>
      <c r="L84" s="54">
        <f t="shared" si="50"/>
        <v>9.2541177853695659E-5</v>
      </c>
      <c r="M84" s="10">
        <f t="shared" si="51"/>
        <v>0.10167523881139209</v>
      </c>
      <c r="N84" s="10">
        <f t="shared" si="52"/>
        <v>4.1882715400293869E-4</v>
      </c>
      <c r="O84" s="10">
        <f t="shared" si="53"/>
        <v>1.9036652630970743E-4</v>
      </c>
      <c r="P84" s="10">
        <f t="shared" si="54"/>
        <v>9.2189092986115133E-6</v>
      </c>
      <c r="Q84" s="54">
        <f t="shared" si="55"/>
        <v>1.7322703393742103E-2</v>
      </c>
      <c r="R84" s="10">
        <f t="shared" si="56"/>
        <v>2.1632446822276936E-4</v>
      </c>
      <c r="S84" s="10">
        <f t="shared" si="57"/>
        <v>4.9763105723757829E-4</v>
      </c>
      <c r="T84" s="10">
        <f t="shared" si="58"/>
        <v>0.29737159318834827</v>
      </c>
      <c r="U84" s="10">
        <f t="shared" si="59"/>
        <v>0.68459166639235536</v>
      </c>
      <c r="V84" s="10">
        <f t="shared" si="60"/>
        <v>7.9744810924408616E-8</v>
      </c>
      <c r="W84" s="10">
        <f t="shared" si="61"/>
        <v>1.7552829894641675E-9</v>
      </c>
      <c r="X84" s="163">
        <f t="shared" si="68"/>
        <v>1</v>
      </c>
      <c r="Y84" s="54">
        <f t="shared" si="62"/>
        <v>0.26483176297448102</v>
      </c>
      <c r="Z84" s="54">
        <f t="shared" si="63"/>
        <v>1.5230460661593767E-2</v>
      </c>
      <c r="AA84" s="113"/>
    </row>
    <row r="85" spans="1:27" x14ac:dyDescent="0.2">
      <c r="A85" s="20">
        <f t="shared" si="69"/>
        <v>0.80000000000000049</v>
      </c>
      <c r="B85" s="23">
        <f t="shared" si="70"/>
        <v>0.01</v>
      </c>
      <c r="C85" s="12">
        <f t="shared" si="71"/>
        <v>0</v>
      </c>
      <c r="D85" s="12">
        <f t="shared" si="72"/>
        <v>1198.51644454703</v>
      </c>
      <c r="E85" s="23">
        <f t="shared" si="64"/>
        <v>0.12091498157357043</v>
      </c>
      <c r="F85" s="23">
        <f t="shared" si="73"/>
        <v>135.75800208061068</v>
      </c>
      <c r="G85" s="95">
        <f t="shared" si="65"/>
        <v>0.56187682697890895</v>
      </c>
      <c r="H85" s="95">
        <f t="shared" si="66"/>
        <v>0.25402985077820223</v>
      </c>
      <c r="I85" s="95">
        <f t="shared" si="67"/>
        <v>1.2461623273312251E-2</v>
      </c>
      <c r="J85" s="12">
        <f t="shared" si="74"/>
        <v>0</v>
      </c>
      <c r="K85" s="12">
        <f t="shared" si="49"/>
        <v>1335.2237299102446</v>
      </c>
      <c r="L85" s="54">
        <f t="shared" si="50"/>
        <v>9.0557843502151123E-5</v>
      </c>
      <c r="M85" s="10">
        <f t="shared" si="51"/>
        <v>0.10167434793099168</v>
      </c>
      <c r="N85" s="10">
        <f t="shared" si="52"/>
        <v>4.2081099548513793E-4</v>
      </c>
      <c r="O85" s="10">
        <f t="shared" si="53"/>
        <v>1.9025264836723538E-4</v>
      </c>
      <c r="P85" s="10">
        <f t="shared" si="54"/>
        <v>9.3329851725672498E-6</v>
      </c>
      <c r="Q85" s="54">
        <f t="shared" si="55"/>
        <v>1.7322885947806028E-2</v>
      </c>
      <c r="R85" s="10">
        <f t="shared" si="56"/>
        <v>2.1169045218430592E-4</v>
      </c>
      <c r="S85" s="10">
        <f t="shared" si="57"/>
        <v>4.9733861365673464E-4</v>
      </c>
      <c r="T85" s="10">
        <f t="shared" si="58"/>
        <v>0.29737212141441249</v>
      </c>
      <c r="U85" s="10">
        <f t="shared" si="59"/>
        <v>0.6845958816715394</v>
      </c>
      <c r="V85" s="10">
        <f t="shared" si="60"/>
        <v>8.0123379280390491E-8</v>
      </c>
      <c r="W85" s="10">
        <f t="shared" si="61"/>
        <v>1.7770217955872701E-9</v>
      </c>
      <c r="X85" s="163">
        <f t="shared" si="68"/>
        <v>1</v>
      </c>
      <c r="Y85" s="54">
        <f t="shared" si="62"/>
        <v>0.25915987675115648</v>
      </c>
      <c r="Z85" s="54">
        <f t="shared" si="63"/>
        <v>1.5221583675761133E-2</v>
      </c>
      <c r="AA85" s="113"/>
    </row>
    <row r="86" spans="1:27" x14ac:dyDescent="0.2">
      <c r="A86" s="20">
        <f t="shared" si="69"/>
        <v>0.8100000000000005</v>
      </c>
      <c r="B86" s="23">
        <f t="shared" si="70"/>
        <v>0.01</v>
      </c>
      <c r="C86" s="12">
        <f t="shared" si="71"/>
        <v>0</v>
      </c>
      <c r="D86" s="12">
        <f t="shared" si="72"/>
        <v>1198.51644454703</v>
      </c>
      <c r="E86" s="23">
        <f t="shared" si="64"/>
        <v>0.11832338280605886</v>
      </c>
      <c r="F86" s="23">
        <f t="shared" si="73"/>
        <v>135.75670628122691</v>
      </c>
      <c r="G86" s="95">
        <f t="shared" si="65"/>
        <v>0.56446842574642053</v>
      </c>
      <c r="H86" s="95">
        <f t="shared" si="66"/>
        <v>0.25387763494144461</v>
      </c>
      <c r="I86" s="95">
        <f t="shared" si="67"/>
        <v>1.2613839110069863E-2</v>
      </c>
      <c r="J86" s="12">
        <f t="shared" si="74"/>
        <v>0</v>
      </c>
      <c r="K86" s="12">
        <f t="shared" si="49"/>
        <v>1335.2224341108608</v>
      </c>
      <c r="L86" s="54">
        <f t="shared" si="50"/>
        <v>8.8616982296924702E-5</v>
      </c>
      <c r="M86" s="10">
        <f t="shared" si="51"/>
        <v>0.10167347612881353</v>
      </c>
      <c r="N86" s="10">
        <f t="shared" si="52"/>
        <v>4.2275235296080553E-4</v>
      </c>
      <c r="O86" s="10">
        <f t="shared" si="53"/>
        <v>1.901388326436445E-4</v>
      </c>
      <c r="P86" s="10">
        <f t="shared" si="54"/>
        <v>9.4469945889349556E-6</v>
      </c>
      <c r="Q86" s="54">
        <f t="shared" si="55"/>
        <v>1.7323064704026364E-2</v>
      </c>
      <c r="R86" s="10">
        <f t="shared" si="56"/>
        <v>2.0715558042856122E-4</v>
      </c>
      <c r="S86" s="10">
        <f t="shared" si="57"/>
        <v>4.9704621747890772E-4</v>
      </c>
      <c r="T86" s="10">
        <f t="shared" si="58"/>
        <v>0.29737264019033172</v>
      </c>
      <c r="U86" s="10">
        <f t="shared" si="59"/>
        <v>0.68460001101513768</v>
      </c>
      <c r="V86" s="10">
        <f t="shared" si="60"/>
        <v>8.0493848812850453E-8</v>
      </c>
      <c r="W86" s="10">
        <f t="shared" si="61"/>
        <v>1.7987480113399809E-9</v>
      </c>
      <c r="X86" s="163">
        <f t="shared" si="68"/>
        <v>1</v>
      </c>
      <c r="Y86" s="54">
        <f t="shared" si="62"/>
        <v>0.25360928844571173</v>
      </c>
      <c r="Z86" s="54">
        <f t="shared" si="63"/>
        <v>1.52127065765726E-2</v>
      </c>
      <c r="AA86" s="113"/>
    </row>
    <row r="87" spans="1:27" x14ac:dyDescent="0.2">
      <c r="A87" s="20">
        <f t="shared" si="69"/>
        <v>0.82000000000000051</v>
      </c>
      <c r="B87" s="23">
        <f t="shared" si="70"/>
        <v>0.01</v>
      </c>
      <c r="C87" s="12">
        <f t="shared" si="71"/>
        <v>0</v>
      </c>
      <c r="D87" s="12">
        <f t="shared" si="72"/>
        <v>1198.51644454703</v>
      </c>
      <c r="E87" s="23">
        <f t="shared" si="64"/>
        <v>0.11578728992160174</v>
      </c>
      <c r="F87" s="23">
        <f t="shared" si="73"/>
        <v>135.75543823478469</v>
      </c>
      <c r="G87" s="95">
        <f t="shared" si="65"/>
        <v>0.56700451863087764</v>
      </c>
      <c r="H87" s="95">
        <f t="shared" si="66"/>
        <v>0.25372550787567888</v>
      </c>
      <c r="I87" s="95">
        <f t="shared" si="67"/>
        <v>1.2765966175835589E-2</v>
      </c>
      <c r="J87" s="12">
        <f t="shared" si="74"/>
        <v>0</v>
      </c>
      <c r="K87" s="12">
        <f t="shared" si="49"/>
        <v>1335.2211660644189</v>
      </c>
      <c r="L87" s="54">
        <f t="shared" si="50"/>
        <v>8.6717686076596756E-5</v>
      </c>
      <c r="M87" s="10">
        <f t="shared" si="51"/>
        <v>0.10167262299692682</v>
      </c>
      <c r="N87" s="10">
        <f t="shared" si="52"/>
        <v>4.2465213482357426E-4</v>
      </c>
      <c r="O87" s="10">
        <f t="shared" si="53"/>
        <v>1.9002507923353103E-4</v>
      </c>
      <c r="P87" s="10">
        <f t="shared" si="54"/>
        <v>9.5609375437504743E-6</v>
      </c>
      <c r="Q87" s="54">
        <f t="shared" si="55"/>
        <v>1.7323239743383425E-2</v>
      </c>
      <c r="R87" s="10">
        <f t="shared" si="56"/>
        <v>2.0271773697494097E-4</v>
      </c>
      <c r="S87" s="10">
        <f t="shared" si="57"/>
        <v>4.967538714742651E-4</v>
      </c>
      <c r="T87" s="10">
        <f t="shared" si="58"/>
        <v>0.29737314971650941</v>
      </c>
      <c r="U87" s="10">
        <f t="shared" si="59"/>
        <v>0.68460405625480403</v>
      </c>
      <c r="V87" s="10">
        <f t="shared" si="60"/>
        <v>8.0856392369997066E-8</v>
      </c>
      <c r="W87" s="10">
        <f t="shared" si="61"/>
        <v>1.8204616298083621E-9</v>
      </c>
      <c r="X87" s="163">
        <f t="shared" si="68"/>
        <v>1</v>
      </c>
      <c r="Y87" s="54">
        <f t="shared" si="62"/>
        <v>0.24817741141272032</v>
      </c>
      <c r="Z87" s="54">
        <f t="shared" si="63"/>
        <v>1.5203829482903504E-2</v>
      </c>
      <c r="AA87" s="113"/>
    </row>
    <row r="88" spans="1:27" x14ac:dyDescent="0.2">
      <c r="A88" s="20">
        <f t="shared" si="69"/>
        <v>0.83000000000000052</v>
      </c>
      <c r="B88" s="23">
        <f t="shared" si="70"/>
        <v>0.01</v>
      </c>
      <c r="C88" s="12">
        <f t="shared" si="71"/>
        <v>0</v>
      </c>
      <c r="D88" s="12">
        <f t="shared" si="72"/>
        <v>1198.51644454703</v>
      </c>
      <c r="E88" s="23">
        <f t="shared" si="64"/>
        <v>0.11330551580747454</v>
      </c>
      <c r="F88" s="23">
        <f t="shared" si="73"/>
        <v>135.75419734772763</v>
      </c>
      <c r="G88" s="95">
        <f t="shared" si="65"/>
        <v>0.56948629274500484</v>
      </c>
      <c r="H88" s="95">
        <f t="shared" si="66"/>
        <v>0.25357346958084986</v>
      </c>
      <c r="I88" s="95">
        <f t="shared" si="67"/>
        <v>1.2918004470664624E-2</v>
      </c>
      <c r="J88" s="12">
        <f t="shared" si="74"/>
        <v>0</v>
      </c>
      <c r="K88" s="12">
        <f t="shared" si="49"/>
        <v>1335.2199251773618</v>
      </c>
      <c r="L88" s="54">
        <f t="shared" si="50"/>
        <v>8.4859066039194846E-5</v>
      </c>
      <c r="M88" s="10">
        <f t="shared" si="51"/>
        <v>0.1016717881360967</v>
      </c>
      <c r="N88" s="10">
        <f t="shared" si="52"/>
        <v>4.2651123010267993E-4</v>
      </c>
      <c r="O88" s="10">
        <f t="shared" si="53"/>
        <v>1.8991138822854731E-4</v>
      </c>
      <c r="P88" s="10">
        <f t="shared" si="54"/>
        <v>9.674814034061603E-6</v>
      </c>
      <c r="Q88" s="54">
        <f t="shared" si="55"/>
        <v>1.7323411145138051E-2</v>
      </c>
      <c r="R88" s="10">
        <f t="shared" si="56"/>
        <v>1.9837485078394587E-4</v>
      </c>
      <c r="S88" s="10">
        <f t="shared" si="57"/>
        <v>4.9646157835023979E-4</v>
      </c>
      <c r="T88" s="10">
        <f t="shared" si="58"/>
        <v>0.29737365018910061</v>
      </c>
      <c r="U88" s="10">
        <f t="shared" si="59"/>
        <v>0.68460801918328551</v>
      </c>
      <c r="V88" s="10">
        <f t="shared" si="60"/>
        <v>8.1211179128936082E-8</v>
      </c>
      <c r="W88" s="10">
        <f t="shared" si="61"/>
        <v>1.8421626445103646E-9</v>
      </c>
      <c r="X88" s="163">
        <f t="shared" si="68"/>
        <v>1</v>
      </c>
      <c r="Y88" s="54">
        <f t="shared" si="62"/>
        <v>0.24286171385392044</v>
      </c>
      <c r="Z88" s="54">
        <f t="shared" si="63"/>
        <v>1.5194952510967955E-2</v>
      </c>
      <c r="AA88" s="113"/>
    </row>
    <row r="89" spans="1:27" x14ac:dyDescent="0.2">
      <c r="A89" s="20">
        <f t="shared" si="69"/>
        <v>0.84000000000000052</v>
      </c>
      <c r="B89" s="23">
        <f t="shared" si="70"/>
        <v>0.01</v>
      </c>
      <c r="C89" s="12">
        <f t="shared" si="71"/>
        <v>0</v>
      </c>
      <c r="D89" s="12">
        <f t="shared" si="72"/>
        <v>1198.51644454703</v>
      </c>
      <c r="E89" s="23">
        <f t="shared" si="64"/>
        <v>0.11087689866893534</v>
      </c>
      <c r="F89" s="23">
        <f t="shared" si="73"/>
        <v>135.75298303915835</v>
      </c>
      <c r="G89" s="95">
        <f t="shared" si="65"/>
        <v>0.5719149098835441</v>
      </c>
      <c r="H89" s="95">
        <f t="shared" si="66"/>
        <v>0.2534215200557402</v>
      </c>
      <c r="I89" s="95">
        <f t="shared" si="67"/>
        <v>1.3069953995774304E-2</v>
      </c>
      <c r="J89" s="12">
        <f t="shared" si="74"/>
        <v>0</v>
      </c>
      <c r="K89" s="12">
        <f t="shared" si="49"/>
        <v>1335.2187108687924</v>
      </c>
      <c r="L89" s="54">
        <f t="shared" si="50"/>
        <v>8.3040252331987314E-5</v>
      </c>
      <c r="M89" s="10">
        <f t="shared" si="51"/>
        <v>0.10167097115559996</v>
      </c>
      <c r="N89" s="10">
        <f t="shared" si="52"/>
        <v>4.2833050887327201E-4</v>
      </c>
      <c r="O89" s="10">
        <f t="shared" si="53"/>
        <v>1.8979775971746633E-4</v>
      </c>
      <c r="P89" s="10">
        <f t="shared" si="54"/>
        <v>9.7886240579043568E-6</v>
      </c>
      <c r="Q89" s="54">
        <f t="shared" si="55"/>
        <v>1.7323578986867767E-2</v>
      </c>
      <c r="R89" s="10">
        <f t="shared" si="56"/>
        <v>1.941248948119292E-4</v>
      </c>
      <c r="S89" s="10">
        <f t="shared" si="57"/>
        <v>4.9616934075288877E-4</v>
      </c>
      <c r="T89" s="10">
        <f t="shared" si="58"/>
        <v>0.29737414180010113</v>
      </c>
      <c r="U89" s="10">
        <f t="shared" si="59"/>
        <v>0.68461190155524065</v>
      </c>
      <c r="V89" s="10">
        <f t="shared" si="60"/>
        <v>8.1558374672884404E-8</v>
      </c>
      <c r="W89" s="10">
        <f t="shared" si="61"/>
        <v>1.8638510493838665E-9</v>
      </c>
      <c r="X89" s="163">
        <f t="shared" si="68"/>
        <v>1.0000000000000002</v>
      </c>
      <c r="Y89" s="54">
        <f t="shared" si="62"/>
        <v>0.23765971766844285</v>
      </c>
      <c r="Z89" s="54">
        <f t="shared" si="63"/>
        <v>1.5186075774376331E-2</v>
      </c>
      <c r="AA89" s="113"/>
    </row>
    <row r="90" spans="1:27" x14ac:dyDescent="0.2">
      <c r="A90" s="20">
        <f t="shared" si="69"/>
        <v>0.85000000000000053</v>
      </c>
      <c r="B90" s="23">
        <f t="shared" si="70"/>
        <v>0.01</v>
      </c>
      <c r="C90" s="12">
        <f t="shared" si="71"/>
        <v>0</v>
      </c>
      <c r="D90" s="12">
        <f t="shared" si="72"/>
        <v>1198.51644454703</v>
      </c>
      <c r="E90" s="23">
        <f t="shared" si="64"/>
        <v>0.10850030149225091</v>
      </c>
      <c r="F90" s="23">
        <f t="shared" si="73"/>
        <v>135.75179474057001</v>
      </c>
      <c r="G90" s="95">
        <f t="shared" si="65"/>
        <v>0.57429150706022858</v>
      </c>
      <c r="H90" s="95">
        <f t="shared" si="66"/>
        <v>0.25326965929799644</v>
      </c>
      <c r="I90" s="95">
        <f t="shared" si="67"/>
        <v>1.3221814753518068E-2</v>
      </c>
      <c r="J90" s="12">
        <f t="shared" si="74"/>
        <v>0</v>
      </c>
      <c r="K90" s="12">
        <f t="shared" si="49"/>
        <v>1335.217522570204</v>
      </c>
      <c r="L90" s="54">
        <f t="shared" si="50"/>
        <v>8.1260393649863972E-5</v>
      </c>
      <c r="M90" s="10">
        <f t="shared" si="51"/>
        <v>0.10167017167304465</v>
      </c>
      <c r="N90" s="10">
        <f t="shared" si="52"/>
        <v>4.3011082265813588E-4</v>
      </c>
      <c r="O90" s="10">
        <f t="shared" si="53"/>
        <v>1.8968419378624494E-4</v>
      </c>
      <c r="P90" s="10">
        <f t="shared" si="54"/>
        <v>9.9023676142797791E-6</v>
      </c>
      <c r="Q90" s="54">
        <f t="shared" si="55"/>
        <v>1.7323743344502183E-2</v>
      </c>
      <c r="R90" s="10">
        <f t="shared" si="56"/>
        <v>1.8996588508534424E-4</v>
      </c>
      <c r="S90" s="10">
        <f t="shared" si="57"/>
        <v>4.9587716126822158E-4</v>
      </c>
      <c r="T90" s="10">
        <f t="shared" si="58"/>
        <v>0.29737462473743459</v>
      </c>
      <c r="U90" s="10">
        <f t="shared" si="59"/>
        <v>0.68461570508804181</v>
      </c>
      <c r="V90" s="10">
        <f t="shared" si="60"/>
        <v>8.1898141066791901E-8</v>
      </c>
      <c r="W90" s="10">
        <f t="shared" si="61"/>
        <v>1.8855268387750173E-9</v>
      </c>
      <c r="X90" s="163">
        <f t="shared" si="68"/>
        <v>1</v>
      </c>
      <c r="Y90" s="54">
        <f t="shared" si="62"/>
        <v>0.23256899732658073</v>
      </c>
      <c r="Z90" s="54">
        <f t="shared" si="63"/>
        <v>1.5177199384191552E-2</v>
      </c>
      <c r="AA90" s="113"/>
    </row>
    <row r="91" spans="1:27" x14ac:dyDescent="0.2">
      <c r="A91" s="20">
        <f t="shared" si="69"/>
        <v>0.86000000000000054</v>
      </c>
      <c r="B91" s="23">
        <f t="shared" si="70"/>
        <v>0.01</v>
      </c>
      <c r="C91" s="12">
        <f t="shared" si="71"/>
        <v>0</v>
      </c>
      <c r="D91" s="12">
        <f t="shared" si="72"/>
        <v>1198.51644454703</v>
      </c>
      <c r="E91" s="23">
        <f t="shared" si="64"/>
        <v>0.10617461151898511</v>
      </c>
      <c r="F91" s="23">
        <f t="shared" si="73"/>
        <v>135.75063189558338</v>
      </c>
      <c r="G91" s="95">
        <f t="shared" si="65"/>
        <v>0.57661719703349434</v>
      </c>
      <c r="H91" s="95">
        <f t="shared" si="66"/>
        <v>0.25311788730415452</v>
      </c>
      <c r="I91" s="95">
        <f t="shared" si="67"/>
        <v>1.3373586747359983E-2</v>
      </c>
      <c r="J91" s="12">
        <f t="shared" si="74"/>
        <v>0</v>
      </c>
      <c r="K91" s="12">
        <f t="shared" si="49"/>
        <v>1335.2163597252174</v>
      </c>
      <c r="L91" s="54">
        <f t="shared" si="50"/>
        <v>7.9518656842128153E-5</v>
      </c>
      <c r="M91" s="10">
        <f t="shared" si="51"/>
        <v>0.10166938931419352</v>
      </c>
      <c r="N91" s="10">
        <f t="shared" si="52"/>
        <v>4.3185300482100145E-4</v>
      </c>
      <c r="O91" s="10">
        <f t="shared" si="53"/>
        <v>1.8957069051808595E-4</v>
      </c>
      <c r="P91" s="10">
        <f t="shared" si="54"/>
        <v>1.0016044703131271E-5</v>
      </c>
      <c r="Q91" s="54">
        <f t="shared" si="55"/>
        <v>1.732390429235766E-2</v>
      </c>
      <c r="R91" s="10">
        <f t="shared" si="56"/>
        <v>1.8589587979409421E-4</v>
      </c>
      <c r="S91" s="10">
        <f t="shared" si="57"/>
        <v>4.9558504242350307E-4</v>
      </c>
      <c r="T91" s="10">
        <f t="shared" si="58"/>
        <v>0.29737509918503796</v>
      </c>
      <c r="U91" s="10">
        <f t="shared" si="59"/>
        <v>0.68461943146255977</v>
      </c>
      <c r="V91" s="10">
        <f t="shared" si="60"/>
        <v>8.2230636931402835E-8</v>
      </c>
      <c r="W91" s="10">
        <f t="shared" si="61"/>
        <v>1.9071900074268845E-9</v>
      </c>
      <c r="X91" s="163">
        <f t="shared" si="68"/>
        <v>0.99999999999999989</v>
      </c>
      <c r="Y91" s="54">
        <f t="shared" si="62"/>
        <v>0.22758717876664514</v>
      </c>
      <c r="Z91" s="54">
        <f t="shared" si="63"/>
        <v>1.5168323448984168E-2</v>
      </c>
      <c r="AA91" s="113"/>
    </row>
    <row r="92" spans="1:27" x14ac:dyDescent="0.2">
      <c r="A92" s="20">
        <f t="shared" si="69"/>
        <v>0.87000000000000055</v>
      </c>
      <c r="B92" s="23">
        <f t="shared" si="70"/>
        <v>0.01</v>
      </c>
      <c r="C92" s="12">
        <f t="shared" si="71"/>
        <v>0</v>
      </c>
      <c r="D92" s="12">
        <f t="shared" si="72"/>
        <v>1198.51644454703</v>
      </c>
      <c r="E92" s="23">
        <f t="shared" si="64"/>
        <v>0.10389873973131866</v>
      </c>
      <c r="F92" s="23">
        <f t="shared" si="73"/>
        <v>135.74949395968954</v>
      </c>
      <c r="G92" s="95">
        <f t="shared" si="65"/>
        <v>0.57889306882116076</v>
      </c>
      <c r="H92" s="95">
        <f t="shared" si="66"/>
        <v>0.25296620406966469</v>
      </c>
      <c r="I92" s="95">
        <f t="shared" si="67"/>
        <v>1.3525269981849825E-2</v>
      </c>
      <c r="J92" s="12">
        <f t="shared" si="74"/>
        <v>0</v>
      </c>
      <c r="K92" s="12">
        <f t="shared" si="49"/>
        <v>1335.2152217893233</v>
      </c>
      <c r="L92" s="54">
        <f t="shared" si="50"/>
        <v>7.7814226527528544E-5</v>
      </c>
      <c r="M92" s="10">
        <f t="shared" si="51"/>
        <v>0.10166862371279103</v>
      </c>
      <c r="N92" s="10">
        <f t="shared" si="52"/>
        <v>4.3355787095160998E-4</v>
      </c>
      <c r="O92" s="10">
        <f t="shared" si="53"/>
        <v>1.8945724999349875E-4</v>
      </c>
      <c r="P92" s="10">
        <f t="shared" si="54"/>
        <v>1.0129655325322457E-5</v>
      </c>
      <c r="Q92" s="54">
        <f t="shared" si="55"/>
        <v>1.7324061903171283E-2</v>
      </c>
      <c r="R92" s="10">
        <f t="shared" si="56"/>
        <v>1.8191297840360876E-4</v>
      </c>
      <c r="S92" s="10">
        <f t="shared" si="57"/>
        <v>4.9529298668852693E-4</v>
      </c>
      <c r="T92" s="10">
        <f t="shared" si="58"/>
        <v>0.2973755653229454</v>
      </c>
      <c r="U92" s="10">
        <f t="shared" si="59"/>
        <v>0.68462308232393321</v>
      </c>
      <c r="V92" s="10">
        <f t="shared" si="60"/>
        <v>8.2556017515787714E-8</v>
      </c>
      <c r="W92" s="10">
        <f t="shared" si="61"/>
        <v>1.928840550468405E-9</v>
      </c>
      <c r="X92" s="163">
        <f t="shared" si="68"/>
        <v>1</v>
      </c>
      <c r="Y92" s="54">
        <f t="shared" si="62"/>
        <v>0.22271193831445393</v>
      </c>
      <c r="Z92" s="54">
        <f t="shared" si="63"/>
        <v>1.5159448074886292E-2</v>
      </c>
      <c r="AA92" s="113"/>
    </row>
    <row r="93" spans="1:27" x14ac:dyDescent="0.2">
      <c r="A93" s="20">
        <f t="shared" si="69"/>
        <v>0.88000000000000056</v>
      </c>
      <c r="B93" s="23">
        <f t="shared" si="70"/>
        <v>0.01</v>
      </c>
      <c r="C93" s="12">
        <f t="shared" si="71"/>
        <v>0</v>
      </c>
      <c r="D93" s="12">
        <f t="shared" si="72"/>
        <v>1198.51644454703</v>
      </c>
      <c r="E93" s="23">
        <f t="shared" si="64"/>
        <v>0.10167162034817412</v>
      </c>
      <c r="F93" s="23">
        <f t="shared" si="73"/>
        <v>135.74838039999798</v>
      </c>
      <c r="G93" s="95">
        <f t="shared" si="65"/>
        <v>0.58112018820430533</v>
      </c>
      <c r="H93" s="95">
        <f t="shared" si="66"/>
        <v>0.25281460958891583</v>
      </c>
      <c r="I93" s="95">
        <f t="shared" si="67"/>
        <v>1.3676864462598687E-2</v>
      </c>
      <c r="J93" s="12">
        <f t="shared" si="74"/>
        <v>0</v>
      </c>
      <c r="K93" s="12">
        <f t="shared" si="49"/>
        <v>1335.2141082296323</v>
      </c>
      <c r="L93" s="54">
        <f t="shared" si="50"/>
        <v>7.6146304717361829E-5</v>
      </c>
      <c r="M93" s="10">
        <f t="shared" si="51"/>
        <v>0.10166787451039407</v>
      </c>
      <c r="N93" s="10">
        <f t="shared" si="52"/>
        <v>4.3522621924270693E-4</v>
      </c>
      <c r="O93" s="10">
        <f t="shared" si="53"/>
        <v>1.8934387229035807E-4</v>
      </c>
      <c r="P93" s="10">
        <f t="shared" si="54"/>
        <v>1.0243199482615502E-5</v>
      </c>
      <c r="Q93" s="54">
        <f t="shared" si="55"/>
        <v>1.7324216248134097E-2</v>
      </c>
      <c r="R93" s="10">
        <f t="shared" si="56"/>
        <v>1.7801532078527349E-4</v>
      </c>
      <c r="S93" s="10">
        <f t="shared" si="57"/>
        <v>4.9500099647686066E-4</v>
      </c>
      <c r="T93" s="10">
        <f t="shared" si="58"/>
        <v>0.29737602332736979</v>
      </c>
      <c r="U93" s="10">
        <f t="shared" si="59"/>
        <v>0.68462665928232058</v>
      </c>
      <c r="V93" s="10">
        <f t="shared" si="60"/>
        <v>8.2874434768375487E-8</v>
      </c>
      <c r="W93" s="10">
        <f t="shared" si="61"/>
        <v>1.9504784634036057E-9</v>
      </c>
      <c r="X93" s="163">
        <f t="shared" si="68"/>
        <v>0.99999999999999978</v>
      </c>
      <c r="Y93" s="54">
        <f t="shared" si="62"/>
        <v>0.21794100162501223</v>
      </c>
      <c r="Z93" s="54">
        <f t="shared" si="63"/>
        <v>1.5150573365644312E-2</v>
      </c>
      <c r="AA93" s="113"/>
    </row>
    <row r="94" spans="1:27" x14ac:dyDescent="0.2">
      <c r="A94" s="20">
        <f t="shared" si="69"/>
        <v>0.89000000000000057</v>
      </c>
      <c r="B94" s="23">
        <f t="shared" si="70"/>
        <v>0.01</v>
      </c>
      <c r="C94" s="12">
        <f t="shared" si="71"/>
        <v>0</v>
      </c>
      <c r="D94" s="12">
        <f t="shared" si="72"/>
        <v>1198.51644454703</v>
      </c>
      <c r="E94" s="23">
        <f t="shared" si="64"/>
        <v>9.9492210331924E-2</v>
      </c>
      <c r="F94" s="23">
        <f t="shared" si="73"/>
        <v>135.74729069498986</v>
      </c>
      <c r="G94" s="95">
        <f t="shared" si="65"/>
        <v>0.58329959822055544</v>
      </c>
      <c r="H94" s="95">
        <f t="shared" si="66"/>
        <v>0.25266310385525936</v>
      </c>
      <c r="I94" s="95">
        <f t="shared" si="67"/>
        <v>1.382837019625513E-2</v>
      </c>
      <c r="J94" s="12">
        <f t="shared" si="74"/>
        <v>0</v>
      </c>
      <c r="K94" s="12">
        <f t="shared" si="49"/>
        <v>1335.2130185246237</v>
      </c>
      <c r="L94" s="54">
        <f t="shared" si="50"/>
        <v>7.4514110446481671E-5</v>
      </c>
      <c r="M94" s="10">
        <f t="shared" si="51"/>
        <v>0.10166714135620633</v>
      </c>
      <c r="N94" s="10">
        <f t="shared" si="52"/>
        <v>4.3685883085912882E-4</v>
      </c>
      <c r="O94" s="10">
        <f t="shared" si="53"/>
        <v>1.8923055748396286E-4</v>
      </c>
      <c r="P94" s="10">
        <f t="shared" si="54"/>
        <v>1.0356677177649994E-5</v>
      </c>
      <c r="Q94" s="54">
        <f t="shared" si="55"/>
        <v>1.7324367396923692E-2</v>
      </c>
      <c r="R94" s="10">
        <f t="shared" si="56"/>
        <v>1.7420108636485041E-4</v>
      </c>
      <c r="S94" s="10">
        <f t="shared" si="57"/>
        <v>4.9470907414706812E-4</v>
      </c>
      <c r="T94" s="10">
        <f t="shared" si="58"/>
        <v>0.29737647337078382</v>
      </c>
      <c r="U94" s="10">
        <f t="shared" si="59"/>
        <v>0.68463016391363951</v>
      </c>
      <c r="V94" s="10">
        <f t="shared" si="60"/>
        <v>8.3186037406516856E-8</v>
      </c>
      <c r="W94" s="10">
        <f t="shared" si="61"/>
        <v>1.9721037421011285E-9</v>
      </c>
      <c r="X94" s="163">
        <f t="shared" si="68"/>
        <v>1.0000000000000002</v>
      </c>
      <c r="Y94" s="54">
        <f t="shared" si="62"/>
        <v>0.21327214264595151</v>
      </c>
      <c r="Z94" s="54">
        <f t="shared" si="63"/>
        <v>1.5141699422670634E-2</v>
      </c>
      <c r="AA94" s="113"/>
    </row>
    <row r="95" spans="1:27" x14ac:dyDescent="0.2">
      <c r="A95" s="20">
        <f t="shared" si="69"/>
        <v>0.90000000000000058</v>
      </c>
      <c r="B95" s="23">
        <f t="shared" si="70"/>
        <v>0.01</v>
      </c>
      <c r="C95" s="12">
        <f t="shared" si="71"/>
        <v>0</v>
      </c>
      <c r="D95" s="12">
        <f t="shared" si="72"/>
        <v>1198.51644454703</v>
      </c>
      <c r="E95" s="23">
        <f t="shared" si="64"/>
        <v>9.7359488905464489E-2</v>
      </c>
      <c r="F95" s="23">
        <f t="shared" si="73"/>
        <v>135.74622433427663</v>
      </c>
      <c r="G95" s="95">
        <f t="shared" si="65"/>
        <v>0.58543231964701492</v>
      </c>
      <c r="H95" s="95">
        <f t="shared" si="66"/>
        <v>0.25251168686103265</v>
      </c>
      <c r="I95" s="95">
        <f t="shared" si="67"/>
        <v>1.3979787190481836E-2</v>
      </c>
      <c r="J95" s="12">
        <f t="shared" si="74"/>
        <v>0</v>
      </c>
      <c r="K95" s="12">
        <f t="shared" si="49"/>
        <v>1335.2119521639106</v>
      </c>
      <c r="L95" s="54">
        <f t="shared" si="50"/>
        <v>7.2916879412050564E-5</v>
      </c>
      <c r="M95" s="10">
        <f t="shared" si="51"/>
        <v>0.10166642390691574</v>
      </c>
      <c r="N95" s="10">
        <f t="shared" si="52"/>
        <v>4.3845647029914191E-4</v>
      </c>
      <c r="O95" s="10">
        <f t="shared" si="53"/>
        <v>1.8911730564709199E-4</v>
      </c>
      <c r="P95" s="10">
        <f t="shared" si="54"/>
        <v>1.0470088413922225E-5</v>
      </c>
      <c r="Q95" s="54">
        <f t="shared" si="55"/>
        <v>1.7324515417736094E-2</v>
      </c>
      <c r="R95" s="10">
        <f t="shared" si="56"/>
        <v>1.7046849328852755E-4</v>
      </c>
      <c r="S95" s="10">
        <f t="shared" si="57"/>
        <v>4.9441722200390076E-4</v>
      </c>
      <c r="T95" s="10">
        <f t="shared" si="58"/>
        <v>0.29737691562199742</v>
      </c>
      <c r="U95" s="10">
        <f t="shared" si="59"/>
        <v>0.68463359776028665</v>
      </c>
      <c r="V95" s="10">
        <f t="shared" si="60"/>
        <v>8.3490970984606728E-8</v>
      </c>
      <c r="W95" s="10">
        <f t="shared" si="61"/>
        <v>1.9937163827840046E-9</v>
      </c>
      <c r="X95" s="163">
        <f t="shared" si="68"/>
        <v>1</v>
      </c>
      <c r="Y95" s="54">
        <f t="shared" si="62"/>
        <v>0.20870318260229617</v>
      </c>
      <c r="Z95" s="54">
        <f t="shared" si="63"/>
        <v>1.5132826345094153E-2</v>
      </c>
      <c r="AA95" s="113"/>
    </row>
    <row r="96" spans="1:27" x14ac:dyDescent="0.2">
      <c r="A96" s="20">
        <f t="shared" si="69"/>
        <v>0.91000000000000059</v>
      </c>
      <c r="B96" s="23">
        <f t="shared" si="70"/>
        <v>0.01</v>
      </c>
      <c r="C96" s="12">
        <f t="shared" si="71"/>
        <v>0</v>
      </c>
      <c r="D96" s="12">
        <f t="shared" si="72"/>
        <v>1198.51644454703</v>
      </c>
      <c r="E96" s="23">
        <f t="shared" si="64"/>
        <v>9.5272457079441528E-2</v>
      </c>
      <c r="F96" s="23">
        <f t="shared" si="73"/>
        <v>135.74518081836362</v>
      </c>
      <c r="G96" s="95">
        <f t="shared" si="65"/>
        <v>0.58751935147303791</v>
      </c>
      <c r="H96" s="95">
        <f t="shared" si="66"/>
        <v>0.25236035859758171</v>
      </c>
      <c r="I96" s="95">
        <f t="shared" si="67"/>
        <v>1.4131115453932776E-2</v>
      </c>
      <c r="J96" s="12">
        <f t="shared" si="74"/>
        <v>0</v>
      </c>
      <c r="K96" s="12">
        <f t="shared" si="49"/>
        <v>1335.2109086479977</v>
      </c>
      <c r="L96" s="54">
        <f t="shared" si="50"/>
        <v>7.1353863619877183E-5</v>
      </c>
      <c r="M96" s="10">
        <f t="shared" si="51"/>
        <v>0.10166572182653594</v>
      </c>
      <c r="N96" s="10">
        <f t="shared" si="52"/>
        <v>4.4001988574819673E-4</v>
      </c>
      <c r="O96" s="10">
        <f t="shared" si="53"/>
        <v>1.8900411685006057E-4</v>
      </c>
      <c r="P96" s="10">
        <f t="shared" si="54"/>
        <v>1.0583433195765006E-5</v>
      </c>
      <c r="Q96" s="54">
        <f t="shared" si="55"/>
        <v>1.732466037731701E-2</v>
      </c>
      <c r="R96" s="10">
        <f t="shared" si="56"/>
        <v>1.6681579760625048E-4</v>
      </c>
      <c r="S96" s="10">
        <f t="shared" si="57"/>
        <v>4.9412544229946896E-4</v>
      </c>
      <c r="T96" s="10">
        <f t="shared" si="58"/>
        <v>0.29737735024623607</v>
      </c>
      <c r="U96" s="10">
        <f t="shared" si="59"/>
        <v>0.6846369623318469</v>
      </c>
      <c r="V96" s="10">
        <f t="shared" si="60"/>
        <v>8.3789377960795654E-8</v>
      </c>
      <c r="W96" s="10">
        <f t="shared" si="61"/>
        <v>2.0153163820197178E-9</v>
      </c>
      <c r="X96" s="163">
        <f t="shared" si="68"/>
        <v>1.0000000000000002</v>
      </c>
      <c r="Y96" s="54">
        <f t="shared" si="62"/>
        <v>0.20423198900214276</v>
      </c>
      <c r="Z96" s="54">
        <f t="shared" si="63"/>
        <v>1.5123954229809793E-2</v>
      </c>
      <c r="AA96" s="113"/>
    </row>
    <row r="97" spans="1:27" x14ac:dyDescent="0.2">
      <c r="A97" s="20">
        <f t="shared" si="69"/>
        <v>0.9200000000000006</v>
      </c>
      <c r="B97" s="23">
        <f t="shared" si="70"/>
        <v>0.01</v>
      </c>
      <c r="C97" s="12">
        <f t="shared" si="71"/>
        <v>0</v>
      </c>
      <c r="D97" s="12">
        <f t="shared" si="72"/>
        <v>1198.51644454703</v>
      </c>
      <c r="E97" s="23">
        <f t="shared" si="64"/>
        <v>9.3230137189420095E-2</v>
      </c>
      <c r="F97" s="23">
        <f t="shared" si="73"/>
        <v>135.74415965841862</v>
      </c>
      <c r="G97" s="95">
        <f t="shared" si="65"/>
        <v>0.58956167136305937</v>
      </c>
      <c r="H97" s="95">
        <f t="shared" si="66"/>
        <v>0.25220911905528359</v>
      </c>
      <c r="I97" s="95">
        <f t="shared" si="67"/>
        <v>1.4282354996230874E-2</v>
      </c>
      <c r="J97" s="12">
        <f t="shared" si="74"/>
        <v>0</v>
      </c>
      <c r="K97" s="12">
        <f t="shared" si="49"/>
        <v>1335.2098874880528</v>
      </c>
      <c r="L97" s="54">
        <f t="shared" si="50"/>
        <v>6.9824331038182409E-5</v>
      </c>
      <c r="M97" s="10">
        <f t="shared" si="51"/>
        <v>0.10166503478625059</v>
      </c>
      <c r="N97" s="10">
        <f t="shared" si="52"/>
        <v>4.4154980942525014E-4</v>
      </c>
      <c r="O97" s="10">
        <f t="shared" si="53"/>
        <v>1.8889099116077383E-4</v>
      </c>
      <c r="P97" s="10">
        <f t="shared" si="54"/>
        <v>1.0696711528327916E-5</v>
      </c>
      <c r="Q97" s="54">
        <f t="shared" si="55"/>
        <v>1.7324802340992384E-2</v>
      </c>
      <c r="R97" s="10">
        <f t="shared" si="56"/>
        <v>1.6324129247198706E-4</v>
      </c>
      <c r="S97" s="10">
        <f t="shared" si="57"/>
        <v>4.9383373723438275E-4</v>
      </c>
      <c r="T97" s="10">
        <f t="shared" si="58"/>
        <v>0.29737777740521526</v>
      </c>
      <c r="U97" s="10">
        <f t="shared" si="59"/>
        <v>0.68464025910578452</v>
      </c>
      <c r="V97" s="10">
        <f t="shared" si="60"/>
        <v>8.4081397762317497E-8</v>
      </c>
      <c r="W97" s="10">
        <f t="shared" si="61"/>
        <v>2.0369037367105124E-9</v>
      </c>
      <c r="X97" s="163">
        <f t="shared" si="68"/>
        <v>1</v>
      </c>
      <c r="Y97" s="54">
        <f t="shared" si="62"/>
        <v>0.19985647466283554</v>
      </c>
      <c r="Z97" s="54">
        <f t="shared" si="63"/>
        <v>1.5115083171526896E-2</v>
      </c>
      <c r="AA97" s="113"/>
    </row>
    <row r="98" spans="1:27" x14ac:dyDescent="0.2">
      <c r="A98" s="20">
        <f t="shared" si="69"/>
        <v>0.9300000000000006</v>
      </c>
      <c r="B98" s="23">
        <f t="shared" si="70"/>
        <v>0.01</v>
      </c>
      <c r="C98" s="12">
        <f t="shared" si="71"/>
        <v>0</v>
      </c>
      <c r="D98" s="12">
        <f t="shared" si="72"/>
        <v>1198.51644454703</v>
      </c>
      <c r="E98" s="23">
        <f t="shared" si="64"/>
        <v>9.1231572442791745E-2</v>
      </c>
      <c r="F98" s="23">
        <f t="shared" si="73"/>
        <v>135.74316037604532</v>
      </c>
      <c r="G98" s="95">
        <f t="shared" si="65"/>
        <v>0.59156023610968778</v>
      </c>
      <c r="H98" s="95">
        <f t="shared" si="66"/>
        <v>0.2520579682235683</v>
      </c>
      <c r="I98" s="95">
        <f t="shared" si="67"/>
        <v>1.4433505827946143E-2</v>
      </c>
      <c r="J98" s="12">
        <f t="shared" si="74"/>
        <v>0</v>
      </c>
      <c r="K98" s="12">
        <f t="shared" si="49"/>
        <v>1335.2088882056796</v>
      </c>
      <c r="L98" s="54">
        <f t="shared" si="50"/>
        <v>6.8327565258641501E-5</v>
      </c>
      <c r="M98" s="10">
        <f t="shared" si="51"/>
        <v>0.10166436246426112</v>
      </c>
      <c r="N98" s="10">
        <f t="shared" si="52"/>
        <v>4.4304695792180947E-4</v>
      </c>
      <c r="O98" s="10">
        <f t="shared" si="53"/>
        <v>1.8877792864478035E-4</v>
      </c>
      <c r="P98" s="10">
        <f t="shared" si="54"/>
        <v>1.0809923417557989E-5</v>
      </c>
      <c r="Q98" s="54">
        <f t="shared" si="55"/>
        <v>1.7324941372698396E-2</v>
      </c>
      <c r="R98" s="10">
        <f t="shared" si="56"/>
        <v>1.5974330736058856E-4</v>
      </c>
      <c r="S98" s="10">
        <f t="shared" si="57"/>
        <v>4.935421089588732E-4</v>
      </c>
      <c r="T98" s="10">
        <f t="shared" si="58"/>
        <v>0.29737819725721493</v>
      </c>
      <c r="U98" s="10">
        <f t="shared" si="59"/>
        <v>0.68464348952812182</v>
      </c>
      <c r="V98" s="10">
        <f t="shared" si="60"/>
        <v>8.4367166849461785E-8</v>
      </c>
      <c r="W98" s="10">
        <f t="shared" si="61"/>
        <v>2.0584784440839621E-9</v>
      </c>
      <c r="X98" s="163">
        <f t="shared" si="68"/>
        <v>0.99999999999999989</v>
      </c>
      <c r="Y98" s="54">
        <f t="shared" si="62"/>
        <v>0.19557459675723646</v>
      </c>
      <c r="Z98" s="54">
        <f t="shared" si="63"/>
        <v>1.5106213262816651E-2</v>
      </c>
      <c r="AA98" s="113"/>
    </row>
    <row r="99" spans="1:27" x14ac:dyDescent="0.2">
      <c r="A99" s="20">
        <f t="shared" si="69"/>
        <v>0.94000000000000061</v>
      </c>
      <c r="B99" s="23">
        <f t="shared" si="70"/>
        <v>0.01</v>
      </c>
      <c r="C99" s="12">
        <f t="shared" si="71"/>
        <v>0</v>
      </c>
      <c r="D99" s="12">
        <f t="shared" si="72"/>
        <v>1198.51644454703</v>
      </c>
      <c r="E99" s="23">
        <f t="shared" si="64"/>
        <v>8.927582647521938E-2</v>
      </c>
      <c r="F99" s="23">
        <f t="shared" si="73"/>
        <v>135.74218250306154</v>
      </c>
      <c r="G99" s="95">
        <f t="shared" si="65"/>
        <v>0.5935159820772602</v>
      </c>
      <c r="H99" s="95">
        <f t="shared" si="66"/>
        <v>0.25190690609094013</v>
      </c>
      <c r="I99" s="95">
        <f t="shared" si="67"/>
        <v>1.4584567960574309E-2</v>
      </c>
      <c r="J99" s="12">
        <f t="shared" si="74"/>
        <v>0</v>
      </c>
      <c r="K99" s="12">
        <f t="shared" si="49"/>
        <v>1335.2079103326953</v>
      </c>
      <c r="L99" s="54">
        <f t="shared" si="50"/>
        <v>6.6862865164552858E-5</v>
      </c>
      <c r="M99" s="10">
        <f t="shared" si="51"/>
        <v>0.10166370454563776</v>
      </c>
      <c r="N99" s="10">
        <f t="shared" si="52"/>
        <v>4.4451203253384946E-4</v>
      </c>
      <c r="O99" s="10">
        <f t="shared" si="53"/>
        <v>1.8866492936532424E-4</v>
      </c>
      <c r="P99" s="10">
        <f t="shared" si="54"/>
        <v>1.0923068870180867E-5</v>
      </c>
      <c r="Q99" s="54">
        <f t="shared" si="55"/>
        <v>1.7325077535010756E-2</v>
      </c>
      <c r="R99" s="10">
        <f t="shared" si="56"/>
        <v>1.5632020730091381E-4</v>
      </c>
      <c r="S99" s="10">
        <f t="shared" si="57"/>
        <v>4.9325055957388645E-4</v>
      </c>
      <c r="T99" s="10">
        <f t="shared" si="58"/>
        <v>0.29737860995715154</v>
      </c>
      <c r="U99" s="10">
        <f t="shared" si="59"/>
        <v>0.6846466550141036</v>
      </c>
      <c r="V99" s="10">
        <f t="shared" si="60"/>
        <v>8.4646818778217441E-8</v>
      </c>
      <c r="W99" s="10">
        <f t="shared" si="61"/>
        <v>2.0800405016837873E-9</v>
      </c>
      <c r="X99" s="163">
        <f t="shared" si="68"/>
        <v>1</v>
      </c>
      <c r="Y99" s="54">
        <f t="shared" si="62"/>
        <v>0.19138435587968933</v>
      </c>
      <c r="Z99" s="54">
        <f t="shared" si="63"/>
        <v>1.5097344594158447E-2</v>
      </c>
      <c r="AA99" s="113"/>
    </row>
    <row r="100" spans="1:27" x14ac:dyDescent="0.2">
      <c r="A100" s="20">
        <f t="shared" si="69"/>
        <v>0.95000000000000062</v>
      </c>
      <c r="B100" s="23">
        <f t="shared" si="70"/>
        <v>0.01</v>
      </c>
      <c r="C100" s="12">
        <f t="shared" si="71"/>
        <v>0</v>
      </c>
      <c r="D100" s="12">
        <f t="shared" si="72"/>
        <v>1198.51644454703</v>
      </c>
      <c r="E100" s="23">
        <f t="shared" si="64"/>
        <v>8.7361982916422484E-2</v>
      </c>
      <c r="F100" s="23">
        <f t="shared" si="73"/>
        <v>135.74122558128215</v>
      </c>
      <c r="G100" s="95">
        <f t="shared" si="65"/>
        <v>0.59542982563605706</v>
      </c>
      <c r="H100" s="95">
        <f t="shared" si="66"/>
        <v>0.25175593264499857</v>
      </c>
      <c r="I100" s="95">
        <f t="shared" si="67"/>
        <v>1.4735541406515893E-2</v>
      </c>
      <c r="J100" s="12">
        <f t="shared" si="74"/>
        <v>0</v>
      </c>
      <c r="K100" s="12">
        <f t="shared" si="49"/>
        <v>1335.2069534109162</v>
      </c>
      <c r="L100" s="54">
        <f t="shared" si="50"/>
        <v>6.5429544605986203E-5</v>
      </c>
      <c r="M100" s="10">
        <f t="shared" si="51"/>
        <v>0.10166306072217342</v>
      </c>
      <c r="N100" s="10">
        <f t="shared" si="52"/>
        <v>4.4594571958674539E-4</v>
      </c>
      <c r="O100" s="10">
        <f t="shared" si="53"/>
        <v>1.8855199338339539E-4</v>
      </c>
      <c r="P100" s="10">
        <f t="shared" si="54"/>
        <v>1.1036147893682338E-5</v>
      </c>
      <c r="Q100" s="54">
        <f t="shared" si="55"/>
        <v>1.7325210889173454E-2</v>
      </c>
      <c r="R100" s="10">
        <f t="shared" si="56"/>
        <v>1.5297039212489017E-4</v>
      </c>
      <c r="S100" s="10">
        <f t="shared" si="57"/>
        <v>4.9295909113215527E-4</v>
      </c>
      <c r="T100" s="10">
        <f t="shared" si="58"/>
        <v>0.29737901565664876</v>
      </c>
      <c r="U100" s="10">
        <f t="shared" si="59"/>
        <v>0.68464975694884633</v>
      </c>
      <c r="V100" s="10">
        <f t="shared" si="60"/>
        <v>8.4920484261614468E-8</v>
      </c>
      <c r="W100" s="10">
        <f t="shared" si="61"/>
        <v>2.1015899073609053E-9</v>
      </c>
      <c r="X100" s="163">
        <f t="shared" si="68"/>
        <v>0.99999999999999978</v>
      </c>
      <c r="Y100" s="54">
        <f t="shared" si="62"/>
        <v>0.18728379513128976</v>
      </c>
      <c r="Z100" s="54">
        <f t="shared" si="63"/>
        <v>1.5088477253985282E-2</v>
      </c>
      <c r="AA100" s="113"/>
    </row>
    <row r="101" spans="1:27" x14ac:dyDescent="0.2">
      <c r="A101" s="20">
        <f t="shared" si="69"/>
        <v>0.96000000000000063</v>
      </c>
      <c r="B101" s="23">
        <f t="shared" si="70"/>
        <v>0.01</v>
      </c>
      <c r="C101" s="12">
        <f t="shared" si="71"/>
        <v>0</v>
      </c>
      <c r="D101" s="12">
        <f t="shared" si="72"/>
        <v>1198.51644454703</v>
      </c>
      <c r="E101" s="23">
        <f t="shared" si="64"/>
        <v>8.5489144965109592E-2</v>
      </c>
      <c r="F101" s="23">
        <f t="shared" si="73"/>
        <v>135.74028916230648</v>
      </c>
      <c r="G101" s="95">
        <f t="shared" si="65"/>
        <v>0.59730266358736994</v>
      </c>
      <c r="H101" s="95">
        <f t="shared" si="66"/>
        <v>0.25160504787245874</v>
      </c>
      <c r="I101" s="95">
        <f t="shared" si="67"/>
        <v>1.4886426179055745E-2</v>
      </c>
      <c r="J101" s="12">
        <f t="shared" si="74"/>
        <v>0</v>
      </c>
      <c r="K101" s="12">
        <f t="shared" ref="K101:K132" si="75">SUM(C101:J101)</f>
        <v>1335.2060169919407</v>
      </c>
      <c r="L101" s="54">
        <f t="shared" ref="L101:L132" si="76">+E101/$K101*P_t</f>
        <v>6.402693208176698E-5</v>
      </c>
      <c r="M101" s="10">
        <f t="shared" ref="M101:M132" si="77">+F101/$K101*P_t</f>
        <v>0.10166243069224111</v>
      </c>
      <c r="N101" s="10">
        <f t="shared" ref="N101:N132" si="78">+G101/$K101*P_t</f>
        <v>4.473486907533725E-4</v>
      </c>
      <c r="O101" s="10">
        <f t="shared" ref="O101:O132" si="79">+H101/$K101*P_t</f>
        <v>1.8843912075777999E-4</v>
      </c>
      <c r="P101" s="10">
        <f t="shared" ref="P101:P132" si="80">+I101/$K101*P_t</f>
        <v>1.1149160496290364E-5</v>
      </c>
      <c r="Q101" s="54">
        <f t="shared" ref="Q101:Q132" si="81">1/(1+K1_*L101+K2_*M101+SQRT(K2_*K3_*M101)+1/K6_*N101+K7_*O101+P101/K10_)</f>
        <v>1.7325341495126885E-2</v>
      </c>
      <c r="R101" s="10">
        <f t="shared" ref="R101:R132" si="82">K1_*L101*Q101</f>
        <v>1.4969229573219171E-4</v>
      </c>
      <c r="S101" s="10">
        <f t="shared" ref="S101:S132" si="83">K7_*O101*Q101</f>
        <v>4.9266770563924898E-4</v>
      </c>
      <c r="T101" s="10">
        <f t="shared" ref="T101:T132" si="84">K2_*M101*Q101</f>
        <v>0.29737941450410771</v>
      </c>
      <c r="U101" s="10">
        <f t="shared" ref="U101:U132" si="85">SQRT(K2_*K3_*M101)*Q101</f>
        <v>0.68465279668797629</v>
      </c>
      <c r="V101" s="10">
        <f t="shared" ref="V101:V132" si="86">N101/K6_*Q101</f>
        <v>8.5188291229790594E-8</v>
      </c>
      <c r="W101" s="10">
        <f t="shared" ref="W101:W132" si="87">P101/K10_*Q101</f>
        <v>2.1231266592647331E-9</v>
      </c>
      <c r="X101" s="163">
        <f t="shared" si="68"/>
        <v>1.0000000000000002</v>
      </c>
      <c r="Y101" s="54">
        <f t="shared" ref="Y101:Y132" si="88">(k4f*K1_*SQRT(K2_*K3_*M101)*L101+k5f*K1_*K2_*L101*M101-k4r/K6_*N101-k5r/K6_*SQRT(K2_*K3_*M101)*N101)*Q101*Q101</f>
        <v>0.18327099922407752</v>
      </c>
      <c r="Z101" s="54">
        <f t="shared" ref="Z101:Z132" si="89">(k8f*K7_*SQRT(K2_*K3_*M101)*O101+k9f*K7_*K2_*O101*M101-k8r/K10_*P101-k9r/K10_*SQRT(K2_*K3_*M101)*P101)*Q101*Q101</f>
        <v>1.5079611328728234E-2</v>
      </c>
      <c r="AA101" s="113"/>
    </row>
    <row r="102" spans="1:27" x14ac:dyDescent="0.2">
      <c r="A102" s="20">
        <f t="shared" si="69"/>
        <v>0.97000000000000064</v>
      </c>
      <c r="B102" s="23">
        <f t="shared" si="70"/>
        <v>0.01</v>
      </c>
      <c r="C102" s="12">
        <f t="shared" si="71"/>
        <v>0</v>
      </c>
      <c r="D102" s="12">
        <f t="shared" si="72"/>
        <v>1198.51644454703</v>
      </c>
      <c r="E102" s="23">
        <f t="shared" ref="E102:E133" si="90">+E101-$B101*$Y101</f>
        <v>8.3656434972868815E-2</v>
      </c>
      <c r="F102" s="23">
        <f t="shared" si="73"/>
        <v>135.73937280731036</v>
      </c>
      <c r="G102" s="95">
        <f t="shared" ref="G102:G133" si="91">+G101+$B101*$Y101</f>
        <v>0.59913537357961066</v>
      </c>
      <c r="H102" s="95">
        <f t="shared" ref="H102:H133" si="92">+H101-$B101*$Z101</f>
        <v>0.25145425175917147</v>
      </c>
      <c r="I102" s="95">
        <f t="shared" ref="I102:I133" si="93">+I101+$B101*$Z101</f>
        <v>1.5037222292343028E-2</v>
      </c>
      <c r="J102" s="12">
        <f t="shared" si="74"/>
        <v>0</v>
      </c>
      <c r="K102" s="12">
        <f t="shared" si="75"/>
        <v>1335.2051006369445</v>
      </c>
      <c r="L102" s="54">
        <f t="shared" si="76"/>
        <v>6.2654370428154784E-5</v>
      </c>
      <c r="M102" s="10">
        <f t="shared" si="77"/>
        <v>0.10166181416065399</v>
      </c>
      <c r="N102" s="10">
        <f t="shared" si="78"/>
        <v>4.4872160336550536E-4</v>
      </c>
      <c r="O102" s="10">
        <f t="shared" si="79"/>
        <v>1.8832631154510872E-4</v>
      </c>
      <c r="P102" s="10">
        <f t="shared" si="80"/>
        <v>1.1262106686957451E-5</v>
      </c>
      <c r="Q102" s="54">
        <f t="shared" si="81"/>
        <v>1.7325469411535337E-2</v>
      </c>
      <c r="R102" s="10">
        <f t="shared" si="82"/>
        <v>1.4648438537021808E-4</v>
      </c>
      <c r="S102" s="10">
        <f t="shared" si="83"/>
        <v>4.9237640505459771E-4</v>
      </c>
      <c r="T102" s="10">
        <f t="shared" si="84"/>
        <v>0.29737980664477348</v>
      </c>
      <c r="U102" s="10">
        <f t="shared" si="85"/>
        <v>0.68465577555825086</v>
      </c>
      <c r="V102" s="10">
        <f t="shared" si="86"/>
        <v>8.5450364888806982E-8</v>
      </c>
      <c r="W102" s="10">
        <f t="shared" si="87"/>
        <v>2.1446507558346949E-9</v>
      </c>
      <c r="X102" s="163">
        <f t="shared" si="68"/>
        <v>1.0000000000000002</v>
      </c>
      <c r="Y102" s="54">
        <f t="shared" si="88"/>
        <v>0.17934409360377074</v>
      </c>
      <c r="Z102" s="54">
        <f t="shared" si="89"/>
        <v>1.5070746902859818E-2</v>
      </c>
      <c r="AA102" s="113"/>
    </row>
    <row r="103" spans="1:27" x14ac:dyDescent="0.2">
      <c r="A103" s="20">
        <f t="shared" si="69"/>
        <v>0.98000000000000065</v>
      </c>
      <c r="B103" s="23">
        <f t="shared" si="70"/>
        <v>0.01</v>
      </c>
      <c r="C103" s="12">
        <f t="shared" si="71"/>
        <v>0</v>
      </c>
      <c r="D103" s="12">
        <f t="shared" si="72"/>
        <v>1198.51644454703</v>
      </c>
      <c r="E103" s="23">
        <f t="shared" si="90"/>
        <v>8.1862994036831102E-2</v>
      </c>
      <c r="F103" s="23">
        <f t="shared" ref="F103:F134" si="94">+F102-$B102*(Y102/2)</f>
        <v>135.73847608684235</v>
      </c>
      <c r="G103" s="95">
        <f t="shared" si="91"/>
        <v>0.60092881451564839</v>
      </c>
      <c r="H103" s="95">
        <f t="shared" si="92"/>
        <v>0.25130354429014284</v>
      </c>
      <c r="I103" s="95">
        <f t="shared" si="93"/>
        <v>1.5187929761371627E-2</v>
      </c>
      <c r="J103" s="12">
        <f t="shared" si="74"/>
        <v>0</v>
      </c>
      <c r="K103" s="12">
        <f t="shared" si="75"/>
        <v>1335.2042039164762</v>
      </c>
      <c r="L103" s="54">
        <f t="shared" si="76"/>
        <v>6.1311216514078662E-5</v>
      </c>
      <c r="M103" s="10">
        <f t="shared" si="77"/>
        <v>0.1016612108385284</v>
      </c>
      <c r="N103" s="10">
        <f t="shared" si="78"/>
        <v>4.5006510071866093E-4</v>
      </c>
      <c r="O103" s="10">
        <f t="shared" si="79"/>
        <v>1.8821356579990452E-4</v>
      </c>
      <c r="P103" s="10">
        <f t="shared" si="80"/>
        <v>1.1374986475343444E-5</v>
      </c>
      <c r="Q103" s="54">
        <f t="shared" si="81"/>
        <v>1.7325594695814042E-2</v>
      </c>
      <c r="R103" s="10">
        <f t="shared" si="82"/>
        <v>1.4334516092906875E-4</v>
      </c>
      <c r="S103" s="10">
        <f t="shared" si="83"/>
        <v>4.9208519129249906E-4</v>
      </c>
      <c r="T103" s="10">
        <f t="shared" si="84"/>
        <v>0.29738019222080297</v>
      </c>
      <c r="U103" s="10">
        <f t="shared" si="85"/>
        <v>0.68465869485817132</v>
      </c>
      <c r="V103" s="10">
        <f t="shared" si="86"/>
        <v>8.5706827778240156E-8</v>
      </c>
      <c r="W103" s="10">
        <f t="shared" si="87"/>
        <v>2.1661621957919765E-9</v>
      </c>
      <c r="X103" s="163">
        <f t="shared" si="68"/>
        <v>0.99999999999999989</v>
      </c>
      <c r="Y103" s="54">
        <f t="shared" si="88"/>
        <v>0.17550124359067956</v>
      </c>
      <c r="Z103" s="54">
        <f t="shared" si="89"/>
        <v>1.5061884058936685E-2</v>
      </c>
      <c r="AA103" s="113"/>
    </row>
    <row r="104" spans="1:27" x14ac:dyDescent="0.2">
      <c r="A104" s="20">
        <f t="shared" si="69"/>
        <v>0.99000000000000066</v>
      </c>
      <c r="B104" s="23">
        <f t="shared" si="70"/>
        <v>0.01</v>
      </c>
      <c r="C104" s="12">
        <f t="shared" si="71"/>
        <v>0</v>
      </c>
      <c r="D104" s="12">
        <f t="shared" si="72"/>
        <v>1198.51644454703</v>
      </c>
      <c r="E104" s="23">
        <f t="shared" si="90"/>
        <v>8.0107981600924305E-2</v>
      </c>
      <c r="F104" s="23">
        <f t="shared" si="94"/>
        <v>135.73759858062439</v>
      </c>
      <c r="G104" s="95">
        <f t="shared" si="91"/>
        <v>0.6026838269515552</v>
      </c>
      <c r="H104" s="95">
        <f t="shared" si="92"/>
        <v>0.25115292544955348</v>
      </c>
      <c r="I104" s="95">
        <f t="shared" si="93"/>
        <v>1.5338548601960994E-2</v>
      </c>
      <c r="J104" s="12">
        <f t="shared" si="74"/>
        <v>0</v>
      </c>
      <c r="K104" s="12">
        <f t="shared" si="75"/>
        <v>1335.2033264102583</v>
      </c>
      <c r="L104" s="54">
        <f t="shared" si="76"/>
        <v>5.9996840942792933E-5</v>
      </c>
      <c r="M104" s="10">
        <f t="shared" si="77"/>
        <v>0.10166062044314986</v>
      </c>
      <c r="N104" s="10">
        <f t="shared" si="78"/>
        <v>4.5137981237051896E-4</v>
      </c>
      <c r="O104" s="10">
        <f t="shared" si="79"/>
        <v>1.8810088357462909E-4</v>
      </c>
      <c r="P104" s="10">
        <f t="shared" si="80"/>
        <v>1.1487799871798723E-5</v>
      </c>
      <c r="Q104" s="54">
        <f t="shared" si="81"/>
        <v>1.732571740415555E-2</v>
      </c>
      <c r="R104" s="10">
        <f t="shared" si="82"/>
        <v>1.4027315425120727E-4</v>
      </c>
      <c r="S104" s="10">
        <f t="shared" si="83"/>
        <v>4.9179406622309975E-4</v>
      </c>
      <c r="T104" s="10">
        <f t="shared" si="84"/>
        <v>0.29738057137132945</v>
      </c>
      <c r="U104" s="10">
        <f t="shared" si="85"/>
        <v>0.6846615558585798</v>
      </c>
      <c r="V104" s="10">
        <f t="shared" si="86"/>
        <v>8.5957799827573219E-8</v>
      </c>
      <c r="W104" s="10">
        <f t="shared" si="87"/>
        <v>2.1876609781314859E-9</v>
      </c>
      <c r="X104" s="163">
        <f t="shared" si="68"/>
        <v>0.99999999999999989</v>
      </c>
      <c r="Y104" s="54">
        <f t="shared" si="88"/>
        <v>0.17174065353842888</v>
      </c>
      <c r="Z104" s="54">
        <f t="shared" si="89"/>
        <v>1.5053022877641188E-2</v>
      </c>
      <c r="AA104" s="113"/>
    </row>
    <row r="105" spans="1:27" x14ac:dyDescent="0.2">
      <c r="A105" s="20">
        <f t="shared" si="69"/>
        <v>1</v>
      </c>
      <c r="B105" s="23">
        <f t="shared" si="70"/>
        <v>9.9999999999993427E-3</v>
      </c>
      <c r="C105" s="12">
        <f t="shared" si="71"/>
        <v>0</v>
      </c>
      <c r="D105" s="12">
        <f t="shared" si="72"/>
        <v>1198.51644454703</v>
      </c>
      <c r="E105" s="23">
        <f t="shared" si="90"/>
        <v>7.8390575065540022E-2</v>
      </c>
      <c r="F105" s="23">
        <f t="shared" si="94"/>
        <v>135.73673987735671</v>
      </c>
      <c r="G105" s="95">
        <f t="shared" si="91"/>
        <v>0.60440123348693953</v>
      </c>
      <c r="H105" s="95">
        <f t="shared" si="92"/>
        <v>0.25100239522077705</v>
      </c>
      <c r="I105" s="95">
        <f t="shared" si="93"/>
        <v>1.5489078830737406E-2</v>
      </c>
      <c r="J105" s="12">
        <f t="shared" si="74"/>
        <v>0</v>
      </c>
      <c r="K105" s="12">
        <f t="shared" si="75"/>
        <v>1335.2024677069905</v>
      </c>
      <c r="L105" s="54">
        <f t="shared" si="76"/>
        <v>5.8710627759821358E-5</v>
      </c>
      <c r="M105" s="10">
        <f t="shared" si="77"/>
        <v>0.10166004269784204</v>
      </c>
      <c r="N105" s="10">
        <f t="shared" si="78"/>
        <v>4.5266635443305295E-4</v>
      </c>
      <c r="O105" s="10">
        <f t="shared" si="79"/>
        <v>1.8798826491972856E-4</v>
      </c>
      <c r="P105" s="10">
        <f t="shared" si="80"/>
        <v>1.1600546887347781E-5</v>
      </c>
      <c r="Q105" s="54">
        <f t="shared" si="81"/>
        <v>1.7325837591555551E-2</v>
      </c>
      <c r="R105" s="10">
        <f t="shared" si="82"/>
        <v>1.3726692845551924E-4</v>
      </c>
      <c r="S105" s="10">
        <f t="shared" si="83"/>
        <v>4.9150303167335688E-4</v>
      </c>
      <c r="T105" s="10">
        <f t="shared" si="84"/>
        <v>0.29738094423252659</v>
      </c>
      <c r="U105" s="10">
        <f t="shared" si="85"/>
        <v>0.68466435980324336</v>
      </c>
      <c r="V105" s="10">
        <f t="shared" si="86"/>
        <v>8.6203398411411389E-8</v>
      </c>
      <c r="W105" s="10">
        <f t="shared" si="87"/>
        <v>2.2091471021140249E-9</v>
      </c>
      <c r="X105" s="163">
        <f t="shared" si="68"/>
        <v>0.99999999999999989</v>
      </c>
      <c r="Y105" s="54">
        <f t="shared" si="88"/>
        <v>0.16806056601013852</v>
      </c>
      <c r="Z105" s="54">
        <f t="shared" si="89"/>
        <v>1.5044163437822101E-2</v>
      </c>
      <c r="AA105" s="113"/>
    </row>
    <row r="106" spans="1:27" x14ac:dyDescent="0.2">
      <c r="A106" s="20">
        <f t="shared" si="69"/>
        <v>1</v>
      </c>
      <c r="B106" s="23">
        <f t="shared" si="70"/>
        <v>0</v>
      </c>
      <c r="C106" s="12">
        <f t="shared" si="71"/>
        <v>0</v>
      </c>
      <c r="D106" s="12">
        <f t="shared" si="72"/>
        <v>1198.51644454703</v>
      </c>
      <c r="E106" s="23">
        <f t="shared" si="90"/>
        <v>7.6709969405438741E-2</v>
      </c>
      <c r="F106" s="23">
        <f t="shared" si="94"/>
        <v>135.73589957452666</v>
      </c>
      <c r="G106" s="95">
        <f t="shared" si="91"/>
        <v>0.60608183914704084</v>
      </c>
      <c r="H106" s="95">
        <f t="shared" si="92"/>
        <v>0.25085195358639883</v>
      </c>
      <c r="I106" s="95">
        <f t="shared" si="93"/>
        <v>1.5639520465115617E-2</v>
      </c>
      <c r="J106" s="12">
        <f t="shared" si="74"/>
        <v>0</v>
      </c>
      <c r="K106" s="12">
        <f t="shared" si="75"/>
        <v>1335.2016274041605</v>
      </c>
      <c r="L106" s="54">
        <f t="shared" si="76"/>
        <v>5.7451974167058831E-5</v>
      </c>
      <c r="M106" s="10">
        <f t="shared" si="77"/>
        <v>0.10165947733183815</v>
      </c>
      <c r="N106" s="10">
        <f t="shared" si="78"/>
        <v>4.5392532985850096E-4</v>
      </c>
      <c r="O106" s="10">
        <f t="shared" si="79"/>
        <v>1.8787570988367804E-4</v>
      </c>
      <c r="P106" s="10">
        <f t="shared" si="80"/>
        <v>1.1713227533673155E-5</v>
      </c>
      <c r="Q106" s="54">
        <f t="shared" si="81"/>
        <v>1.7325955311838243E-2</v>
      </c>
      <c r="R106" s="10">
        <f t="shared" si="82"/>
        <v>1.3432507727547391E-4</v>
      </c>
      <c r="S106" s="10">
        <f t="shared" si="83"/>
        <v>4.9121208942797955E-4</v>
      </c>
      <c r="T106" s="10">
        <f t="shared" si="84"/>
        <v>0.29738131093767056</v>
      </c>
      <c r="U106" s="10">
        <f t="shared" si="85"/>
        <v>0.68466710790942875</v>
      </c>
      <c r="V106" s="10">
        <f t="shared" si="86"/>
        <v>8.6443738403545719E-8</v>
      </c>
      <c r="W106" s="10">
        <f t="shared" si="87"/>
        <v>2.230620567258676E-9</v>
      </c>
      <c r="X106" s="163">
        <f t="shared" si="68"/>
        <v>1</v>
      </c>
      <c r="Y106" s="54">
        <f t="shared" si="88"/>
        <v>0.16445926097170985</v>
      </c>
      <c r="Z106" s="54">
        <f t="shared" si="89"/>
        <v>1.5035305816534563E-2</v>
      </c>
      <c r="AA106" s="113"/>
    </row>
    <row r="107" spans="1:27" x14ac:dyDescent="0.2">
      <c r="A107" s="20">
        <f t="shared" si="69"/>
        <v>1</v>
      </c>
      <c r="B107" s="23">
        <f t="shared" si="70"/>
        <v>0</v>
      </c>
      <c r="C107" s="12">
        <f t="shared" si="71"/>
        <v>0</v>
      </c>
      <c r="D107" s="12">
        <f t="shared" si="72"/>
        <v>1198.51644454703</v>
      </c>
      <c r="E107" s="23">
        <f t="shared" si="90"/>
        <v>7.6709969405438741E-2</v>
      </c>
      <c r="F107" s="23">
        <f t="shared" si="94"/>
        <v>135.73589957452666</v>
      </c>
      <c r="G107" s="95">
        <f t="shared" si="91"/>
        <v>0.60608183914704084</v>
      </c>
      <c r="H107" s="95">
        <f t="shared" si="92"/>
        <v>0.25085195358639883</v>
      </c>
      <c r="I107" s="95">
        <f t="shared" si="93"/>
        <v>1.5639520465115617E-2</v>
      </c>
      <c r="J107" s="12">
        <f t="shared" si="74"/>
        <v>0</v>
      </c>
      <c r="K107" s="12">
        <f t="shared" si="75"/>
        <v>1335.2016274041605</v>
      </c>
      <c r="L107" s="54">
        <f t="shared" si="76"/>
        <v>5.7451974167058831E-5</v>
      </c>
      <c r="M107" s="10">
        <f t="shared" si="77"/>
        <v>0.10165947733183815</v>
      </c>
      <c r="N107" s="10">
        <f t="shared" si="78"/>
        <v>4.5392532985850096E-4</v>
      </c>
      <c r="O107" s="10">
        <f t="shared" si="79"/>
        <v>1.8787570988367804E-4</v>
      </c>
      <c r="P107" s="10">
        <f t="shared" si="80"/>
        <v>1.1713227533673155E-5</v>
      </c>
      <c r="Q107" s="54">
        <f t="shared" si="81"/>
        <v>1.7325955311838243E-2</v>
      </c>
      <c r="R107" s="10">
        <f t="shared" si="82"/>
        <v>1.3432507727547391E-4</v>
      </c>
      <c r="S107" s="10">
        <f t="shared" si="83"/>
        <v>4.9121208942797955E-4</v>
      </c>
      <c r="T107" s="10">
        <f t="shared" si="84"/>
        <v>0.29738131093767056</v>
      </c>
      <c r="U107" s="10">
        <f t="shared" si="85"/>
        <v>0.68466710790942875</v>
      </c>
      <c r="V107" s="10">
        <f t="shared" si="86"/>
        <v>8.6443738403545719E-8</v>
      </c>
      <c r="W107" s="10">
        <f t="shared" si="87"/>
        <v>2.230620567258676E-9</v>
      </c>
      <c r="X107" s="163">
        <f t="shared" si="68"/>
        <v>1</v>
      </c>
      <c r="Y107" s="54">
        <f t="shared" si="88"/>
        <v>0.16445926097170985</v>
      </c>
      <c r="Z107" s="54">
        <f t="shared" si="89"/>
        <v>1.5035305816534563E-2</v>
      </c>
      <c r="AA107" s="113"/>
    </row>
    <row r="108" spans="1:27" x14ac:dyDescent="0.2">
      <c r="A108" s="20">
        <f t="shared" si="69"/>
        <v>1</v>
      </c>
      <c r="B108" s="23">
        <f t="shared" si="70"/>
        <v>0</v>
      </c>
      <c r="C108" s="12">
        <f t="shared" si="71"/>
        <v>0</v>
      </c>
      <c r="D108" s="12">
        <f t="shared" si="72"/>
        <v>1198.51644454703</v>
      </c>
      <c r="E108" s="23">
        <f t="shared" si="90"/>
        <v>7.6709969405438741E-2</v>
      </c>
      <c r="F108" s="23">
        <f t="shared" si="94"/>
        <v>135.73589957452666</v>
      </c>
      <c r="G108" s="95">
        <f t="shared" si="91"/>
        <v>0.60608183914704084</v>
      </c>
      <c r="H108" s="95">
        <f t="shared" si="92"/>
        <v>0.25085195358639883</v>
      </c>
      <c r="I108" s="95">
        <f t="shared" si="93"/>
        <v>1.5639520465115617E-2</v>
      </c>
      <c r="J108" s="12">
        <f t="shared" si="74"/>
        <v>0</v>
      </c>
      <c r="K108" s="12">
        <f t="shared" si="75"/>
        <v>1335.2016274041605</v>
      </c>
      <c r="L108" s="54">
        <f t="shared" si="76"/>
        <v>5.7451974167058831E-5</v>
      </c>
      <c r="M108" s="10">
        <f t="shared" si="77"/>
        <v>0.10165947733183815</v>
      </c>
      <c r="N108" s="10">
        <f t="shared" si="78"/>
        <v>4.5392532985850096E-4</v>
      </c>
      <c r="O108" s="10">
        <f t="shared" si="79"/>
        <v>1.8787570988367804E-4</v>
      </c>
      <c r="P108" s="10">
        <f t="shared" si="80"/>
        <v>1.1713227533673155E-5</v>
      </c>
      <c r="Q108" s="54">
        <f t="shared" si="81"/>
        <v>1.7325955311838243E-2</v>
      </c>
      <c r="R108" s="10">
        <f t="shared" si="82"/>
        <v>1.3432507727547391E-4</v>
      </c>
      <c r="S108" s="10">
        <f t="shared" si="83"/>
        <v>4.9121208942797955E-4</v>
      </c>
      <c r="T108" s="10">
        <f t="shared" si="84"/>
        <v>0.29738131093767056</v>
      </c>
      <c r="U108" s="10">
        <f t="shared" si="85"/>
        <v>0.68466710790942875</v>
      </c>
      <c r="V108" s="10">
        <f t="shared" si="86"/>
        <v>8.6443738403545719E-8</v>
      </c>
      <c r="W108" s="10">
        <f t="shared" si="87"/>
        <v>2.230620567258676E-9</v>
      </c>
      <c r="X108" s="163">
        <f t="shared" si="68"/>
        <v>1</v>
      </c>
      <c r="Y108" s="54">
        <f t="shared" si="88"/>
        <v>0.16445926097170985</v>
      </c>
      <c r="Z108" s="54">
        <f t="shared" si="89"/>
        <v>1.5035305816534563E-2</v>
      </c>
      <c r="AA108" s="113"/>
    </row>
    <row r="109" spans="1:27" x14ac:dyDescent="0.2">
      <c r="A109" s="20">
        <f t="shared" si="69"/>
        <v>1</v>
      </c>
      <c r="B109" s="23">
        <f t="shared" si="70"/>
        <v>0</v>
      </c>
      <c r="C109" s="12">
        <f t="shared" si="71"/>
        <v>0</v>
      </c>
      <c r="D109" s="12">
        <f t="shared" si="72"/>
        <v>1198.51644454703</v>
      </c>
      <c r="E109" s="23">
        <f t="shared" si="90"/>
        <v>7.6709969405438741E-2</v>
      </c>
      <c r="F109" s="23">
        <f t="shared" si="94"/>
        <v>135.73589957452666</v>
      </c>
      <c r="G109" s="95">
        <f t="shared" si="91"/>
        <v>0.60608183914704084</v>
      </c>
      <c r="H109" s="95">
        <f t="shared" si="92"/>
        <v>0.25085195358639883</v>
      </c>
      <c r="I109" s="95">
        <f t="shared" si="93"/>
        <v>1.5639520465115617E-2</v>
      </c>
      <c r="J109" s="12">
        <f t="shared" si="74"/>
        <v>0</v>
      </c>
      <c r="K109" s="12">
        <f t="shared" si="75"/>
        <v>1335.2016274041605</v>
      </c>
      <c r="L109" s="54">
        <f t="shared" si="76"/>
        <v>5.7451974167058831E-5</v>
      </c>
      <c r="M109" s="10">
        <f t="shared" si="77"/>
        <v>0.10165947733183815</v>
      </c>
      <c r="N109" s="10">
        <f t="shared" si="78"/>
        <v>4.5392532985850096E-4</v>
      </c>
      <c r="O109" s="10">
        <f t="shared" si="79"/>
        <v>1.8787570988367804E-4</v>
      </c>
      <c r="P109" s="10">
        <f t="shared" si="80"/>
        <v>1.1713227533673155E-5</v>
      </c>
      <c r="Q109" s="54">
        <f t="shared" si="81"/>
        <v>1.7325955311838243E-2</v>
      </c>
      <c r="R109" s="10">
        <f t="shared" si="82"/>
        <v>1.3432507727547391E-4</v>
      </c>
      <c r="S109" s="10">
        <f t="shared" si="83"/>
        <v>4.9121208942797955E-4</v>
      </c>
      <c r="T109" s="10">
        <f t="shared" si="84"/>
        <v>0.29738131093767056</v>
      </c>
      <c r="U109" s="10">
        <f t="shared" si="85"/>
        <v>0.68466710790942875</v>
      </c>
      <c r="V109" s="10">
        <f t="shared" si="86"/>
        <v>8.6443738403545719E-8</v>
      </c>
      <c r="W109" s="10">
        <f t="shared" si="87"/>
        <v>2.230620567258676E-9</v>
      </c>
      <c r="X109" s="163">
        <f t="shared" si="68"/>
        <v>1</v>
      </c>
      <c r="Y109" s="54">
        <f t="shared" si="88"/>
        <v>0.16445926097170985</v>
      </c>
      <c r="Z109" s="54">
        <f t="shared" si="89"/>
        <v>1.5035305816534563E-2</v>
      </c>
      <c r="AA109" s="113"/>
    </row>
    <row r="110" spans="1:27" x14ac:dyDescent="0.2">
      <c r="A110" s="20">
        <f t="shared" si="69"/>
        <v>1</v>
      </c>
      <c r="B110" s="23">
        <f t="shared" si="70"/>
        <v>0</v>
      </c>
      <c r="C110" s="12">
        <f t="shared" si="71"/>
        <v>0</v>
      </c>
      <c r="D110" s="12">
        <f t="shared" si="72"/>
        <v>1198.51644454703</v>
      </c>
      <c r="E110" s="23">
        <f t="shared" si="90"/>
        <v>7.6709969405438741E-2</v>
      </c>
      <c r="F110" s="23">
        <f t="shared" si="94"/>
        <v>135.73589957452666</v>
      </c>
      <c r="G110" s="95">
        <f t="shared" si="91"/>
        <v>0.60608183914704084</v>
      </c>
      <c r="H110" s="95">
        <f t="shared" si="92"/>
        <v>0.25085195358639883</v>
      </c>
      <c r="I110" s="95">
        <f t="shared" si="93"/>
        <v>1.5639520465115617E-2</v>
      </c>
      <c r="J110" s="12">
        <f t="shared" si="74"/>
        <v>0</v>
      </c>
      <c r="K110" s="12">
        <f t="shared" si="75"/>
        <v>1335.2016274041605</v>
      </c>
      <c r="L110" s="54">
        <f t="shared" si="76"/>
        <v>5.7451974167058831E-5</v>
      </c>
      <c r="M110" s="10">
        <f t="shared" si="77"/>
        <v>0.10165947733183815</v>
      </c>
      <c r="N110" s="10">
        <f t="shared" si="78"/>
        <v>4.5392532985850096E-4</v>
      </c>
      <c r="O110" s="10">
        <f t="shared" si="79"/>
        <v>1.8787570988367804E-4</v>
      </c>
      <c r="P110" s="10">
        <f t="shared" si="80"/>
        <v>1.1713227533673155E-5</v>
      </c>
      <c r="Q110" s="54">
        <f t="shared" si="81"/>
        <v>1.7325955311838243E-2</v>
      </c>
      <c r="R110" s="10">
        <f t="shared" si="82"/>
        <v>1.3432507727547391E-4</v>
      </c>
      <c r="S110" s="10">
        <f t="shared" si="83"/>
        <v>4.9121208942797955E-4</v>
      </c>
      <c r="T110" s="10">
        <f t="shared" si="84"/>
        <v>0.29738131093767056</v>
      </c>
      <c r="U110" s="10">
        <f t="shared" si="85"/>
        <v>0.68466710790942875</v>
      </c>
      <c r="V110" s="10">
        <f t="shared" si="86"/>
        <v>8.6443738403545719E-8</v>
      </c>
      <c r="W110" s="10">
        <f t="shared" si="87"/>
        <v>2.230620567258676E-9</v>
      </c>
      <c r="X110" s="163">
        <f t="shared" si="68"/>
        <v>1</v>
      </c>
      <c r="Y110" s="54">
        <f t="shared" si="88"/>
        <v>0.16445926097170985</v>
      </c>
      <c r="Z110" s="54">
        <f t="shared" si="89"/>
        <v>1.5035305816534563E-2</v>
      </c>
      <c r="AA110" s="113"/>
    </row>
    <row r="111" spans="1:27" x14ac:dyDescent="0.2">
      <c r="A111" s="20">
        <f t="shared" si="69"/>
        <v>1</v>
      </c>
      <c r="B111" s="23">
        <f t="shared" si="70"/>
        <v>0</v>
      </c>
      <c r="C111" s="12">
        <f t="shared" si="71"/>
        <v>0</v>
      </c>
      <c r="D111" s="12">
        <f t="shared" si="72"/>
        <v>1198.51644454703</v>
      </c>
      <c r="E111" s="23">
        <f t="shared" si="90"/>
        <v>7.6709969405438741E-2</v>
      </c>
      <c r="F111" s="23">
        <f t="shared" si="94"/>
        <v>135.73589957452666</v>
      </c>
      <c r="G111" s="95">
        <f t="shared" si="91"/>
        <v>0.60608183914704084</v>
      </c>
      <c r="H111" s="95">
        <f t="shared" si="92"/>
        <v>0.25085195358639883</v>
      </c>
      <c r="I111" s="95">
        <f t="shared" si="93"/>
        <v>1.5639520465115617E-2</v>
      </c>
      <c r="J111" s="12">
        <f t="shared" si="74"/>
        <v>0</v>
      </c>
      <c r="K111" s="12">
        <f t="shared" si="75"/>
        <v>1335.2016274041605</v>
      </c>
      <c r="L111" s="54">
        <f t="shared" si="76"/>
        <v>5.7451974167058831E-5</v>
      </c>
      <c r="M111" s="10">
        <f t="shared" si="77"/>
        <v>0.10165947733183815</v>
      </c>
      <c r="N111" s="10">
        <f t="shared" si="78"/>
        <v>4.5392532985850096E-4</v>
      </c>
      <c r="O111" s="10">
        <f t="shared" si="79"/>
        <v>1.8787570988367804E-4</v>
      </c>
      <c r="P111" s="10">
        <f t="shared" si="80"/>
        <v>1.1713227533673155E-5</v>
      </c>
      <c r="Q111" s="54">
        <f t="shared" si="81"/>
        <v>1.7325955311838243E-2</v>
      </c>
      <c r="R111" s="10">
        <f t="shared" si="82"/>
        <v>1.3432507727547391E-4</v>
      </c>
      <c r="S111" s="10">
        <f t="shared" si="83"/>
        <v>4.9121208942797955E-4</v>
      </c>
      <c r="T111" s="10">
        <f t="shared" si="84"/>
        <v>0.29738131093767056</v>
      </c>
      <c r="U111" s="10">
        <f t="shared" si="85"/>
        <v>0.68466710790942875</v>
      </c>
      <c r="V111" s="10">
        <f t="shared" si="86"/>
        <v>8.6443738403545719E-8</v>
      </c>
      <c r="W111" s="10">
        <f t="shared" si="87"/>
        <v>2.230620567258676E-9</v>
      </c>
      <c r="X111" s="163">
        <f t="shared" si="68"/>
        <v>1</v>
      </c>
      <c r="Y111" s="54">
        <f t="shared" si="88"/>
        <v>0.16445926097170985</v>
      </c>
      <c r="Z111" s="54">
        <f t="shared" si="89"/>
        <v>1.5035305816534563E-2</v>
      </c>
      <c r="AA111" s="113"/>
    </row>
    <row r="112" spans="1:27" x14ac:dyDescent="0.2">
      <c r="A112" s="20">
        <f t="shared" si="69"/>
        <v>1</v>
      </c>
      <c r="B112" s="23">
        <f t="shared" si="70"/>
        <v>0</v>
      </c>
      <c r="C112" s="12">
        <f t="shared" si="71"/>
        <v>0</v>
      </c>
      <c r="D112" s="12">
        <f t="shared" si="72"/>
        <v>1198.51644454703</v>
      </c>
      <c r="E112" s="23">
        <f t="shared" si="90"/>
        <v>7.6709969405438741E-2</v>
      </c>
      <c r="F112" s="23">
        <f t="shared" si="94"/>
        <v>135.73589957452666</v>
      </c>
      <c r="G112" s="95">
        <f t="shared" si="91"/>
        <v>0.60608183914704084</v>
      </c>
      <c r="H112" s="95">
        <f t="shared" si="92"/>
        <v>0.25085195358639883</v>
      </c>
      <c r="I112" s="95">
        <f t="shared" si="93"/>
        <v>1.5639520465115617E-2</v>
      </c>
      <c r="J112" s="12">
        <f t="shared" si="74"/>
        <v>0</v>
      </c>
      <c r="K112" s="12">
        <f t="shared" si="75"/>
        <v>1335.2016274041605</v>
      </c>
      <c r="L112" s="54">
        <f t="shared" si="76"/>
        <v>5.7451974167058831E-5</v>
      </c>
      <c r="M112" s="10">
        <f t="shared" si="77"/>
        <v>0.10165947733183815</v>
      </c>
      <c r="N112" s="10">
        <f t="shared" si="78"/>
        <v>4.5392532985850096E-4</v>
      </c>
      <c r="O112" s="10">
        <f t="shared" si="79"/>
        <v>1.8787570988367804E-4</v>
      </c>
      <c r="P112" s="10">
        <f t="shared" si="80"/>
        <v>1.1713227533673155E-5</v>
      </c>
      <c r="Q112" s="54">
        <f t="shared" si="81"/>
        <v>1.7325955311838243E-2</v>
      </c>
      <c r="R112" s="10">
        <f t="shared" si="82"/>
        <v>1.3432507727547391E-4</v>
      </c>
      <c r="S112" s="10">
        <f t="shared" si="83"/>
        <v>4.9121208942797955E-4</v>
      </c>
      <c r="T112" s="10">
        <f t="shared" si="84"/>
        <v>0.29738131093767056</v>
      </c>
      <c r="U112" s="10">
        <f t="shared" si="85"/>
        <v>0.68466710790942875</v>
      </c>
      <c r="V112" s="10">
        <f t="shared" si="86"/>
        <v>8.6443738403545719E-8</v>
      </c>
      <c r="W112" s="10">
        <f t="shared" si="87"/>
        <v>2.230620567258676E-9</v>
      </c>
      <c r="X112" s="163">
        <f t="shared" si="68"/>
        <v>1</v>
      </c>
      <c r="Y112" s="54">
        <f t="shared" si="88"/>
        <v>0.16445926097170985</v>
      </c>
      <c r="Z112" s="54">
        <f t="shared" si="89"/>
        <v>1.5035305816534563E-2</v>
      </c>
      <c r="AA112" s="113"/>
    </row>
    <row r="113" spans="1:27" x14ac:dyDescent="0.2">
      <c r="A113" s="20">
        <f t="shared" si="69"/>
        <v>1</v>
      </c>
      <c r="B113" s="23">
        <f t="shared" si="70"/>
        <v>0</v>
      </c>
      <c r="C113" s="12">
        <f t="shared" si="71"/>
        <v>0</v>
      </c>
      <c r="D113" s="12">
        <f t="shared" si="72"/>
        <v>1198.51644454703</v>
      </c>
      <c r="E113" s="23">
        <f t="shared" si="90"/>
        <v>7.6709969405438741E-2</v>
      </c>
      <c r="F113" s="23">
        <f t="shared" si="94"/>
        <v>135.73589957452666</v>
      </c>
      <c r="G113" s="95">
        <f t="shared" si="91"/>
        <v>0.60608183914704084</v>
      </c>
      <c r="H113" s="95">
        <f t="shared" si="92"/>
        <v>0.25085195358639883</v>
      </c>
      <c r="I113" s="95">
        <f t="shared" si="93"/>
        <v>1.5639520465115617E-2</v>
      </c>
      <c r="J113" s="12">
        <f t="shared" si="74"/>
        <v>0</v>
      </c>
      <c r="K113" s="12">
        <f t="shared" si="75"/>
        <v>1335.2016274041605</v>
      </c>
      <c r="L113" s="54">
        <f t="shared" si="76"/>
        <v>5.7451974167058831E-5</v>
      </c>
      <c r="M113" s="10">
        <f t="shared" si="77"/>
        <v>0.10165947733183815</v>
      </c>
      <c r="N113" s="10">
        <f t="shared" si="78"/>
        <v>4.5392532985850096E-4</v>
      </c>
      <c r="O113" s="10">
        <f t="shared" si="79"/>
        <v>1.8787570988367804E-4</v>
      </c>
      <c r="P113" s="10">
        <f t="shared" si="80"/>
        <v>1.1713227533673155E-5</v>
      </c>
      <c r="Q113" s="54">
        <f t="shared" si="81"/>
        <v>1.7325955311838243E-2</v>
      </c>
      <c r="R113" s="10">
        <f t="shared" si="82"/>
        <v>1.3432507727547391E-4</v>
      </c>
      <c r="S113" s="10">
        <f t="shared" si="83"/>
        <v>4.9121208942797955E-4</v>
      </c>
      <c r="T113" s="10">
        <f t="shared" si="84"/>
        <v>0.29738131093767056</v>
      </c>
      <c r="U113" s="10">
        <f t="shared" si="85"/>
        <v>0.68466710790942875</v>
      </c>
      <c r="V113" s="10">
        <f t="shared" si="86"/>
        <v>8.6443738403545719E-8</v>
      </c>
      <c r="W113" s="10">
        <f t="shared" si="87"/>
        <v>2.230620567258676E-9</v>
      </c>
      <c r="X113" s="163">
        <f t="shared" si="68"/>
        <v>1</v>
      </c>
      <c r="Y113" s="54">
        <f t="shared" si="88"/>
        <v>0.16445926097170985</v>
      </c>
      <c r="Z113" s="54">
        <f t="shared" si="89"/>
        <v>1.5035305816534563E-2</v>
      </c>
      <c r="AA113" s="113"/>
    </row>
    <row r="114" spans="1:27" x14ac:dyDescent="0.2">
      <c r="A114" s="20">
        <f t="shared" si="69"/>
        <v>1</v>
      </c>
      <c r="B114" s="23">
        <f t="shared" si="70"/>
        <v>0</v>
      </c>
      <c r="C114" s="12">
        <f t="shared" si="71"/>
        <v>0</v>
      </c>
      <c r="D114" s="12">
        <f t="shared" si="72"/>
        <v>1198.51644454703</v>
      </c>
      <c r="E114" s="23">
        <f t="shared" si="90"/>
        <v>7.6709969405438741E-2</v>
      </c>
      <c r="F114" s="23">
        <f t="shared" si="94"/>
        <v>135.73589957452666</v>
      </c>
      <c r="G114" s="95">
        <f t="shared" si="91"/>
        <v>0.60608183914704084</v>
      </c>
      <c r="H114" s="95">
        <f t="shared" si="92"/>
        <v>0.25085195358639883</v>
      </c>
      <c r="I114" s="95">
        <f t="shared" si="93"/>
        <v>1.5639520465115617E-2</v>
      </c>
      <c r="J114" s="12">
        <f t="shared" si="74"/>
        <v>0</v>
      </c>
      <c r="K114" s="12">
        <f t="shared" si="75"/>
        <v>1335.2016274041605</v>
      </c>
      <c r="L114" s="54">
        <f t="shared" si="76"/>
        <v>5.7451974167058831E-5</v>
      </c>
      <c r="M114" s="10">
        <f t="shared" si="77"/>
        <v>0.10165947733183815</v>
      </c>
      <c r="N114" s="10">
        <f t="shared" si="78"/>
        <v>4.5392532985850096E-4</v>
      </c>
      <c r="O114" s="10">
        <f t="shared" si="79"/>
        <v>1.8787570988367804E-4</v>
      </c>
      <c r="P114" s="10">
        <f t="shared" si="80"/>
        <v>1.1713227533673155E-5</v>
      </c>
      <c r="Q114" s="54">
        <f t="shared" si="81"/>
        <v>1.7325955311838243E-2</v>
      </c>
      <c r="R114" s="10">
        <f t="shared" si="82"/>
        <v>1.3432507727547391E-4</v>
      </c>
      <c r="S114" s="10">
        <f t="shared" si="83"/>
        <v>4.9121208942797955E-4</v>
      </c>
      <c r="T114" s="10">
        <f t="shared" si="84"/>
        <v>0.29738131093767056</v>
      </c>
      <c r="U114" s="10">
        <f t="shared" si="85"/>
        <v>0.68466710790942875</v>
      </c>
      <c r="V114" s="10">
        <f t="shared" si="86"/>
        <v>8.6443738403545719E-8</v>
      </c>
      <c r="W114" s="10">
        <f t="shared" si="87"/>
        <v>2.230620567258676E-9</v>
      </c>
      <c r="X114" s="163">
        <f t="shared" si="68"/>
        <v>1</v>
      </c>
      <c r="Y114" s="54">
        <f t="shared" si="88"/>
        <v>0.16445926097170985</v>
      </c>
      <c r="Z114" s="54">
        <f t="shared" si="89"/>
        <v>1.5035305816534563E-2</v>
      </c>
      <c r="AA114" s="113"/>
    </row>
    <row r="115" spans="1:27" x14ac:dyDescent="0.2">
      <c r="A115" s="20">
        <f t="shared" si="69"/>
        <v>1</v>
      </c>
      <c r="B115" s="23">
        <f t="shared" si="70"/>
        <v>0</v>
      </c>
      <c r="C115" s="12">
        <f t="shared" si="71"/>
        <v>0</v>
      </c>
      <c r="D115" s="12">
        <f t="shared" si="72"/>
        <v>1198.51644454703</v>
      </c>
      <c r="E115" s="23">
        <f t="shared" si="90"/>
        <v>7.6709969405438741E-2</v>
      </c>
      <c r="F115" s="23">
        <f t="shared" si="94"/>
        <v>135.73589957452666</v>
      </c>
      <c r="G115" s="95">
        <f t="shared" si="91"/>
        <v>0.60608183914704084</v>
      </c>
      <c r="H115" s="95">
        <f t="shared" si="92"/>
        <v>0.25085195358639883</v>
      </c>
      <c r="I115" s="95">
        <f t="shared" si="93"/>
        <v>1.5639520465115617E-2</v>
      </c>
      <c r="J115" s="12">
        <f t="shared" si="74"/>
        <v>0</v>
      </c>
      <c r="K115" s="12">
        <f t="shared" si="75"/>
        <v>1335.2016274041605</v>
      </c>
      <c r="L115" s="54">
        <f t="shared" si="76"/>
        <v>5.7451974167058831E-5</v>
      </c>
      <c r="M115" s="10">
        <f t="shared" si="77"/>
        <v>0.10165947733183815</v>
      </c>
      <c r="N115" s="10">
        <f t="shared" si="78"/>
        <v>4.5392532985850096E-4</v>
      </c>
      <c r="O115" s="10">
        <f t="shared" si="79"/>
        <v>1.8787570988367804E-4</v>
      </c>
      <c r="P115" s="10">
        <f t="shared" si="80"/>
        <v>1.1713227533673155E-5</v>
      </c>
      <c r="Q115" s="54">
        <f t="shared" si="81"/>
        <v>1.7325955311838243E-2</v>
      </c>
      <c r="R115" s="10">
        <f t="shared" si="82"/>
        <v>1.3432507727547391E-4</v>
      </c>
      <c r="S115" s="10">
        <f t="shared" si="83"/>
        <v>4.9121208942797955E-4</v>
      </c>
      <c r="T115" s="10">
        <f t="shared" si="84"/>
        <v>0.29738131093767056</v>
      </c>
      <c r="U115" s="10">
        <f t="shared" si="85"/>
        <v>0.68466710790942875</v>
      </c>
      <c r="V115" s="10">
        <f t="shared" si="86"/>
        <v>8.6443738403545719E-8</v>
      </c>
      <c r="W115" s="10">
        <f t="shared" si="87"/>
        <v>2.230620567258676E-9</v>
      </c>
      <c r="X115" s="163">
        <f t="shared" si="68"/>
        <v>1</v>
      </c>
      <c r="Y115" s="54">
        <f t="shared" si="88"/>
        <v>0.16445926097170985</v>
      </c>
      <c r="Z115" s="54">
        <f t="shared" si="89"/>
        <v>1.5035305816534563E-2</v>
      </c>
      <c r="AA115" s="113"/>
    </row>
    <row r="116" spans="1:27" x14ac:dyDescent="0.2">
      <c r="A116" s="20">
        <f t="shared" si="69"/>
        <v>1</v>
      </c>
      <c r="B116" s="23">
        <f t="shared" si="70"/>
        <v>0</v>
      </c>
      <c r="C116" s="12">
        <f t="shared" si="71"/>
        <v>0</v>
      </c>
      <c r="D116" s="12">
        <f t="shared" si="72"/>
        <v>1198.51644454703</v>
      </c>
      <c r="E116" s="23">
        <f t="shared" si="90"/>
        <v>7.6709969405438741E-2</v>
      </c>
      <c r="F116" s="23">
        <f t="shared" si="94"/>
        <v>135.73589957452666</v>
      </c>
      <c r="G116" s="95">
        <f t="shared" si="91"/>
        <v>0.60608183914704084</v>
      </c>
      <c r="H116" s="95">
        <f t="shared" si="92"/>
        <v>0.25085195358639883</v>
      </c>
      <c r="I116" s="95">
        <f t="shared" si="93"/>
        <v>1.5639520465115617E-2</v>
      </c>
      <c r="J116" s="12">
        <f t="shared" si="74"/>
        <v>0</v>
      </c>
      <c r="K116" s="12">
        <f t="shared" si="75"/>
        <v>1335.2016274041605</v>
      </c>
      <c r="L116" s="54">
        <f t="shared" si="76"/>
        <v>5.7451974167058831E-5</v>
      </c>
      <c r="M116" s="10">
        <f t="shared" si="77"/>
        <v>0.10165947733183815</v>
      </c>
      <c r="N116" s="10">
        <f t="shared" si="78"/>
        <v>4.5392532985850096E-4</v>
      </c>
      <c r="O116" s="10">
        <f t="shared" si="79"/>
        <v>1.8787570988367804E-4</v>
      </c>
      <c r="P116" s="10">
        <f t="shared" si="80"/>
        <v>1.1713227533673155E-5</v>
      </c>
      <c r="Q116" s="54">
        <f t="shared" si="81"/>
        <v>1.7325955311838243E-2</v>
      </c>
      <c r="R116" s="10">
        <f t="shared" si="82"/>
        <v>1.3432507727547391E-4</v>
      </c>
      <c r="S116" s="10">
        <f t="shared" si="83"/>
        <v>4.9121208942797955E-4</v>
      </c>
      <c r="T116" s="10">
        <f t="shared" si="84"/>
        <v>0.29738131093767056</v>
      </c>
      <c r="U116" s="10">
        <f t="shared" si="85"/>
        <v>0.68466710790942875</v>
      </c>
      <c r="V116" s="10">
        <f t="shared" si="86"/>
        <v>8.6443738403545719E-8</v>
      </c>
      <c r="W116" s="10">
        <f t="shared" si="87"/>
        <v>2.230620567258676E-9</v>
      </c>
      <c r="X116" s="163">
        <f t="shared" si="68"/>
        <v>1</v>
      </c>
      <c r="Y116" s="54">
        <f t="shared" si="88"/>
        <v>0.16445926097170985</v>
      </c>
      <c r="Z116" s="54">
        <f t="shared" si="89"/>
        <v>1.5035305816534563E-2</v>
      </c>
      <c r="AA116" s="113"/>
    </row>
    <row r="117" spans="1:27" x14ac:dyDescent="0.2">
      <c r="A117" s="20">
        <f t="shared" si="69"/>
        <v>1</v>
      </c>
      <c r="B117" s="23">
        <f t="shared" si="70"/>
        <v>0</v>
      </c>
      <c r="C117" s="12">
        <f t="shared" si="71"/>
        <v>0</v>
      </c>
      <c r="D117" s="12">
        <f t="shared" si="72"/>
        <v>1198.51644454703</v>
      </c>
      <c r="E117" s="23">
        <f t="shared" si="90"/>
        <v>7.6709969405438741E-2</v>
      </c>
      <c r="F117" s="23">
        <f t="shared" si="94"/>
        <v>135.73589957452666</v>
      </c>
      <c r="G117" s="95">
        <f t="shared" si="91"/>
        <v>0.60608183914704084</v>
      </c>
      <c r="H117" s="95">
        <f t="shared" si="92"/>
        <v>0.25085195358639883</v>
      </c>
      <c r="I117" s="95">
        <f t="shared" si="93"/>
        <v>1.5639520465115617E-2</v>
      </c>
      <c r="J117" s="12">
        <f t="shared" si="74"/>
        <v>0</v>
      </c>
      <c r="K117" s="12">
        <f t="shared" si="75"/>
        <v>1335.2016274041605</v>
      </c>
      <c r="L117" s="54">
        <f t="shared" si="76"/>
        <v>5.7451974167058831E-5</v>
      </c>
      <c r="M117" s="10">
        <f t="shared" si="77"/>
        <v>0.10165947733183815</v>
      </c>
      <c r="N117" s="10">
        <f t="shared" si="78"/>
        <v>4.5392532985850096E-4</v>
      </c>
      <c r="O117" s="10">
        <f t="shared" si="79"/>
        <v>1.8787570988367804E-4</v>
      </c>
      <c r="P117" s="10">
        <f t="shared" si="80"/>
        <v>1.1713227533673155E-5</v>
      </c>
      <c r="Q117" s="54">
        <f t="shared" si="81"/>
        <v>1.7325955311838243E-2</v>
      </c>
      <c r="R117" s="10">
        <f t="shared" si="82"/>
        <v>1.3432507727547391E-4</v>
      </c>
      <c r="S117" s="10">
        <f t="shared" si="83"/>
        <v>4.9121208942797955E-4</v>
      </c>
      <c r="T117" s="10">
        <f t="shared" si="84"/>
        <v>0.29738131093767056</v>
      </c>
      <c r="U117" s="10">
        <f t="shared" si="85"/>
        <v>0.68466710790942875</v>
      </c>
      <c r="V117" s="10">
        <f t="shared" si="86"/>
        <v>8.6443738403545719E-8</v>
      </c>
      <c r="W117" s="10">
        <f t="shared" si="87"/>
        <v>2.230620567258676E-9</v>
      </c>
      <c r="X117" s="163">
        <f t="shared" si="68"/>
        <v>1</v>
      </c>
      <c r="Y117" s="54">
        <f t="shared" si="88"/>
        <v>0.16445926097170985</v>
      </c>
      <c r="Z117" s="54">
        <f t="shared" si="89"/>
        <v>1.5035305816534563E-2</v>
      </c>
      <c r="AA117" s="113"/>
    </row>
    <row r="118" spans="1:27" x14ac:dyDescent="0.2">
      <c r="A118" s="20">
        <f t="shared" si="69"/>
        <v>1</v>
      </c>
      <c r="B118" s="23">
        <f t="shared" si="70"/>
        <v>0</v>
      </c>
      <c r="C118" s="12">
        <f t="shared" si="71"/>
        <v>0</v>
      </c>
      <c r="D118" s="12">
        <f t="shared" si="72"/>
        <v>1198.51644454703</v>
      </c>
      <c r="E118" s="23">
        <f t="shared" si="90"/>
        <v>7.6709969405438741E-2</v>
      </c>
      <c r="F118" s="23">
        <f t="shared" si="94"/>
        <v>135.73589957452666</v>
      </c>
      <c r="G118" s="95">
        <f t="shared" si="91"/>
        <v>0.60608183914704084</v>
      </c>
      <c r="H118" s="95">
        <f t="shared" si="92"/>
        <v>0.25085195358639883</v>
      </c>
      <c r="I118" s="95">
        <f t="shared" si="93"/>
        <v>1.5639520465115617E-2</v>
      </c>
      <c r="J118" s="12">
        <f t="shared" si="74"/>
        <v>0</v>
      </c>
      <c r="K118" s="12">
        <f t="shared" si="75"/>
        <v>1335.2016274041605</v>
      </c>
      <c r="L118" s="54">
        <f t="shared" si="76"/>
        <v>5.7451974167058831E-5</v>
      </c>
      <c r="M118" s="10">
        <f t="shared" si="77"/>
        <v>0.10165947733183815</v>
      </c>
      <c r="N118" s="10">
        <f t="shared" si="78"/>
        <v>4.5392532985850096E-4</v>
      </c>
      <c r="O118" s="10">
        <f t="shared" si="79"/>
        <v>1.8787570988367804E-4</v>
      </c>
      <c r="P118" s="10">
        <f t="shared" si="80"/>
        <v>1.1713227533673155E-5</v>
      </c>
      <c r="Q118" s="54">
        <f t="shared" si="81"/>
        <v>1.7325955311838243E-2</v>
      </c>
      <c r="R118" s="10">
        <f t="shared" si="82"/>
        <v>1.3432507727547391E-4</v>
      </c>
      <c r="S118" s="10">
        <f t="shared" si="83"/>
        <v>4.9121208942797955E-4</v>
      </c>
      <c r="T118" s="10">
        <f t="shared" si="84"/>
        <v>0.29738131093767056</v>
      </c>
      <c r="U118" s="10">
        <f t="shared" si="85"/>
        <v>0.68466710790942875</v>
      </c>
      <c r="V118" s="10">
        <f t="shared" si="86"/>
        <v>8.6443738403545719E-8</v>
      </c>
      <c r="W118" s="10">
        <f t="shared" si="87"/>
        <v>2.230620567258676E-9</v>
      </c>
      <c r="X118" s="163">
        <f t="shared" si="68"/>
        <v>1</v>
      </c>
      <c r="Y118" s="54">
        <f t="shared" si="88"/>
        <v>0.16445926097170985</v>
      </c>
      <c r="Z118" s="54">
        <f t="shared" si="89"/>
        <v>1.5035305816534563E-2</v>
      </c>
      <c r="AA118" s="113"/>
    </row>
    <row r="119" spans="1:27" x14ac:dyDescent="0.2">
      <c r="A119" s="20">
        <f t="shared" si="69"/>
        <v>1</v>
      </c>
      <c r="B119" s="23">
        <f t="shared" si="70"/>
        <v>0</v>
      </c>
      <c r="C119" s="12">
        <f t="shared" si="71"/>
        <v>0</v>
      </c>
      <c r="D119" s="12">
        <f t="shared" si="72"/>
        <v>1198.51644454703</v>
      </c>
      <c r="E119" s="23">
        <f t="shared" si="90"/>
        <v>7.6709969405438741E-2</v>
      </c>
      <c r="F119" s="23">
        <f t="shared" si="94"/>
        <v>135.73589957452666</v>
      </c>
      <c r="G119" s="95">
        <f t="shared" si="91"/>
        <v>0.60608183914704084</v>
      </c>
      <c r="H119" s="95">
        <f t="shared" si="92"/>
        <v>0.25085195358639883</v>
      </c>
      <c r="I119" s="95">
        <f t="shared" si="93"/>
        <v>1.5639520465115617E-2</v>
      </c>
      <c r="J119" s="12">
        <f t="shared" si="74"/>
        <v>0</v>
      </c>
      <c r="K119" s="12">
        <f t="shared" si="75"/>
        <v>1335.2016274041605</v>
      </c>
      <c r="L119" s="54">
        <f t="shared" si="76"/>
        <v>5.7451974167058831E-5</v>
      </c>
      <c r="M119" s="10">
        <f t="shared" si="77"/>
        <v>0.10165947733183815</v>
      </c>
      <c r="N119" s="10">
        <f t="shared" si="78"/>
        <v>4.5392532985850096E-4</v>
      </c>
      <c r="O119" s="10">
        <f t="shared" si="79"/>
        <v>1.8787570988367804E-4</v>
      </c>
      <c r="P119" s="10">
        <f t="shared" si="80"/>
        <v>1.1713227533673155E-5</v>
      </c>
      <c r="Q119" s="54">
        <f t="shared" si="81"/>
        <v>1.7325955311838243E-2</v>
      </c>
      <c r="R119" s="10">
        <f t="shared" si="82"/>
        <v>1.3432507727547391E-4</v>
      </c>
      <c r="S119" s="10">
        <f t="shared" si="83"/>
        <v>4.9121208942797955E-4</v>
      </c>
      <c r="T119" s="10">
        <f t="shared" si="84"/>
        <v>0.29738131093767056</v>
      </c>
      <c r="U119" s="10">
        <f t="shared" si="85"/>
        <v>0.68466710790942875</v>
      </c>
      <c r="V119" s="10">
        <f t="shared" si="86"/>
        <v>8.6443738403545719E-8</v>
      </c>
      <c r="W119" s="10">
        <f t="shared" si="87"/>
        <v>2.230620567258676E-9</v>
      </c>
      <c r="X119" s="163">
        <f t="shared" si="68"/>
        <v>1</v>
      </c>
      <c r="Y119" s="54">
        <f t="shared" si="88"/>
        <v>0.16445926097170985</v>
      </c>
      <c r="Z119" s="54">
        <f t="shared" si="89"/>
        <v>1.5035305816534563E-2</v>
      </c>
      <c r="AA119" s="113"/>
    </row>
    <row r="120" spans="1:27" x14ac:dyDescent="0.2">
      <c r="A120" s="20">
        <f t="shared" si="69"/>
        <v>1</v>
      </c>
      <c r="B120" s="23">
        <f t="shared" si="70"/>
        <v>0</v>
      </c>
      <c r="C120" s="12">
        <f t="shared" si="71"/>
        <v>0</v>
      </c>
      <c r="D120" s="12">
        <f t="shared" si="72"/>
        <v>1198.51644454703</v>
      </c>
      <c r="E120" s="23">
        <f t="shared" si="90"/>
        <v>7.6709969405438741E-2</v>
      </c>
      <c r="F120" s="23">
        <f t="shared" si="94"/>
        <v>135.73589957452666</v>
      </c>
      <c r="G120" s="95">
        <f t="shared" si="91"/>
        <v>0.60608183914704084</v>
      </c>
      <c r="H120" s="95">
        <f t="shared" si="92"/>
        <v>0.25085195358639883</v>
      </c>
      <c r="I120" s="95">
        <f t="shared" si="93"/>
        <v>1.5639520465115617E-2</v>
      </c>
      <c r="J120" s="12">
        <f t="shared" si="74"/>
        <v>0</v>
      </c>
      <c r="K120" s="12">
        <f t="shared" si="75"/>
        <v>1335.2016274041605</v>
      </c>
      <c r="L120" s="54">
        <f t="shared" si="76"/>
        <v>5.7451974167058831E-5</v>
      </c>
      <c r="M120" s="10">
        <f t="shared" si="77"/>
        <v>0.10165947733183815</v>
      </c>
      <c r="N120" s="10">
        <f t="shared" si="78"/>
        <v>4.5392532985850096E-4</v>
      </c>
      <c r="O120" s="10">
        <f t="shared" si="79"/>
        <v>1.8787570988367804E-4</v>
      </c>
      <c r="P120" s="10">
        <f t="shared" si="80"/>
        <v>1.1713227533673155E-5</v>
      </c>
      <c r="Q120" s="54">
        <f t="shared" si="81"/>
        <v>1.7325955311838243E-2</v>
      </c>
      <c r="R120" s="10">
        <f t="shared" si="82"/>
        <v>1.3432507727547391E-4</v>
      </c>
      <c r="S120" s="10">
        <f t="shared" si="83"/>
        <v>4.9121208942797955E-4</v>
      </c>
      <c r="T120" s="10">
        <f t="shared" si="84"/>
        <v>0.29738131093767056</v>
      </c>
      <c r="U120" s="10">
        <f t="shared" si="85"/>
        <v>0.68466710790942875</v>
      </c>
      <c r="V120" s="10">
        <f t="shared" si="86"/>
        <v>8.6443738403545719E-8</v>
      </c>
      <c r="W120" s="10">
        <f t="shared" si="87"/>
        <v>2.230620567258676E-9</v>
      </c>
      <c r="X120" s="163">
        <f t="shared" si="68"/>
        <v>1</v>
      </c>
      <c r="Y120" s="54">
        <f t="shared" si="88"/>
        <v>0.16445926097170985</v>
      </c>
      <c r="Z120" s="54">
        <f t="shared" si="89"/>
        <v>1.5035305816534563E-2</v>
      </c>
      <c r="AA120" s="113"/>
    </row>
    <row r="121" spans="1:27" x14ac:dyDescent="0.2">
      <c r="A121" s="20">
        <f t="shared" si="69"/>
        <v>1</v>
      </c>
      <c r="B121" s="23">
        <f t="shared" si="70"/>
        <v>0</v>
      </c>
      <c r="C121" s="12">
        <f t="shared" si="71"/>
        <v>0</v>
      </c>
      <c r="D121" s="12">
        <f t="shared" si="72"/>
        <v>1198.51644454703</v>
      </c>
      <c r="E121" s="23">
        <f t="shared" si="90"/>
        <v>7.6709969405438741E-2</v>
      </c>
      <c r="F121" s="23">
        <f t="shared" si="94"/>
        <v>135.73589957452666</v>
      </c>
      <c r="G121" s="95">
        <f t="shared" si="91"/>
        <v>0.60608183914704084</v>
      </c>
      <c r="H121" s="95">
        <f t="shared" si="92"/>
        <v>0.25085195358639883</v>
      </c>
      <c r="I121" s="95">
        <f t="shared" si="93"/>
        <v>1.5639520465115617E-2</v>
      </c>
      <c r="J121" s="12">
        <f t="shared" si="74"/>
        <v>0</v>
      </c>
      <c r="K121" s="12">
        <f t="shared" si="75"/>
        <v>1335.2016274041605</v>
      </c>
      <c r="L121" s="54">
        <f t="shared" si="76"/>
        <v>5.7451974167058831E-5</v>
      </c>
      <c r="M121" s="10">
        <f t="shared" si="77"/>
        <v>0.10165947733183815</v>
      </c>
      <c r="N121" s="10">
        <f t="shared" si="78"/>
        <v>4.5392532985850096E-4</v>
      </c>
      <c r="O121" s="10">
        <f t="shared" si="79"/>
        <v>1.8787570988367804E-4</v>
      </c>
      <c r="P121" s="10">
        <f t="shared" si="80"/>
        <v>1.1713227533673155E-5</v>
      </c>
      <c r="Q121" s="54">
        <f t="shared" si="81"/>
        <v>1.7325955311838243E-2</v>
      </c>
      <c r="R121" s="10">
        <f t="shared" si="82"/>
        <v>1.3432507727547391E-4</v>
      </c>
      <c r="S121" s="10">
        <f t="shared" si="83"/>
        <v>4.9121208942797955E-4</v>
      </c>
      <c r="T121" s="10">
        <f t="shared" si="84"/>
        <v>0.29738131093767056</v>
      </c>
      <c r="U121" s="10">
        <f t="shared" si="85"/>
        <v>0.68466710790942875</v>
      </c>
      <c r="V121" s="10">
        <f t="shared" si="86"/>
        <v>8.6443738403545719E-8</v>
      </c>
      <c r="W121" s="10">
        <f t="shared" si="87"/>
        <v>2.230620567258676E-9</v>
      </c>
      <c r="X121" s="163">
        <f t="shared" si="68"/>
        <v>1</v>
      </c>
      <c r="Y121" s="54">
        <f t="shared" si="88"/>
        <v>0.16445926097170985</v>
      </c>
      <c r="Z121" s="54">
        <f t="shared" si="89"/>
        <v>1.5035305816534563E-2</v>
      </c>
      <c r="AA121" s="113"/>
    </row>
    <row r="122" spans="1:27" x14ac:dyDescent="0.2">
      <c r="A122" s="20">
        <f t="shared" si="69"/>
        <v>1</v>
      </c>
      <c r="B122" s="23">
        <f t="shared" si="70"/>
        <v>0</v>
      </c>
      <c r="C122" s="12">
        <f t="shared" si="71"/>
        <v>0</v>
      </c>
      <c r="D122" s="12">
        <f t="shared" si="72"/>
        <v>1198.51644454703</v>
      </c>
      <c r="E122" s="23">
        <f t="shared" si="90"/>
        <v>7.6709969405438741E-2</v>
      </c>
      <c r="F122" s="23">
        <f t="shared" si="94"/>
        <v>135.73589957452666</v>
      </c>
      <c r="G122" s="95">
        <f t="shared" si="91"/>
        <v>0.60608183914704084</v>
      </c>
      <c r="H122" s="95">
        <f t="shared" si="92"/>
        <v>0.25085195358639883</v>
      </c>
      <c r="I122" s="95">
        <f t="shared" si="93"/>
        <v>1.5639520465115617E-2</v>
      </c>
      <c r="J122" s="12">
        <f t="shared" si="74"/>
        <v>0</v>
      </c>
      <c r="K122" s="12">
        <f t="shared" si="75"/>
        <v>1335.2016274041605</v>
      </c>
      <c r="L122" s="54">
        <f t="shared" si="76"/>
        <v>5.7451974167058831E-5</v>
      </c>
      <c r="M122" s="10">
        <f t="shared" si="77"/>
        <v>0.10165947733183815</v>
      </c>
      <c r="N122" s="10">
        <f t="shared" si="78"/>
        <v>4.5392532985850096E-4</v>
      </c>
      <c r="O122" s="10">
        <f t="shared" si="79"/>
        <v>1.8787570988367804E-4</v>
      </c>
      <c r="P122" s="10">
        <f t="shared" si="80"/>
        <v>1.1713227533673155E-5</v>
      </c>
      <c r="Q122" s="54">
        <f t="shared" si="81"/>
        <v>1.7325955311838243E-2</v>
      </c>
      <c r="R122" s="10">
        <f t="shared" si="82"/>
        <v>1.3432507727547391E-4</v>
      </c>
      <c r="S122" s="10">
        <f t="shared" si="83"/>
        <v>4.9121208942797955E-4</v>
      </c>
      <c r="T122" s="10">
        <f t="shared" si="84"/>
        <v>0.29738131093767056</v>
      </c>
      <c r="U122" s="10">
        <f t="shared" si="85"/>
        <v>0.68466710790942875</v>
      </c>
      <c r="V122" s="10">
        <f t="shared" si="86"/>
        <v>8.6443738403545719E-8</v>
      </c>
      <c r="W122" s="10">
        <f t="shared" si="87"/>
        <v>2.230620567258676E-9</v>
      </c>
      <c r="X122" s="163">
        <f t="shared" si="68"/>
        <v>1</v>
      </c>
      <c r="Y122" s="54">
        <f t="shared" si="88"/>
        <v>0.16445926097170985</v>
      </c>
      <c r="Z122" s="54">
        <f t="shared" si="89"/>
        <v>1.5035305816534563E-2</v>
      </c>
      <c r="AA122" s="113"/>
    </row>
    <row r="123" spans="1:27" x14ac:dyDescent="0.2">
      <c r="A123" s="20">
        <f t="shared" si="69"/>
        <v>1</v>
      </c>
      <c r="B123" s="23">
        <f t="shared" si="70"/>
        <v>0</v>
      </c>
      <c r="C123" s="12">
        <f t="shared" si="71"/>
        <v>0</v>
      </c>
      <c r="D123" s="12">
        <f t="shared" si="72"/>
        <v>1198.51644454703</v>
      </c>
      <c r="E123" s="23">
        <f t="shared" si="90"/>
        <v>7.6709969405438741E-2</v>
      </c>
      <c r="F123" s="23">
        <f t="shared" si="94"/>
        <v>135.73589957452666</v>
      </c>
      <c r="G123" s="95">
        <f t="shared" si="91"/>
        <v>0.60608183914704084</v>
      </c>
      <c r="H123" s="95">
        <f t="shared" si="92"/>
        <v>0.25085195358639883</v>
      </c>
      <c r="I123" s="95">
        <f t="shared" si="93"/>
        <v>1.5639520465115617E-2</v>
      </c>
      <c r="J123" s="12">
        <f t="shared" si="74"/>
        <v>0</v>
      </c>
      <c r="K123" s="12">
        <f t="shared" si="75"/>
        <v>1335.2016274041605</v>
      </c>
      <c r="L123" s="54">
        <f t="shared" si="76"/>
        <v>5.7451974167058831E-5</v>
      </c>
      <c r="M123" s="10">
        <f t="shared" si="77"/>
        <v>0.10165947733183815</v>
      </c>
      <c r="N123" s="10">
        <f t="shared" si="78"/>
        <v>4.5392532985850096E-4</v>
      </c>
      <c r="O123" s="10">
        <f t="shared" si="79"/>
        <v>1.8787570988367804E-4</v>
      </c>
      <c r="P123" s="10">
        <f t="shared" si="80"/>
        <v>1.1713227533673155E-5</v>
      </c>
      <c r="Q123" s="54">
        <f t="shared" si="81"/>
        <v>1.7325955311838243E-2</v>
      </c>
      <c r="R123" s="10">
        <f t="shared" si="82"/>
        <v>1.3432507727547391E-4</v>
      </c>
      <c r="S123" s="10">
        <f t="shared" si="83"/>
        <v>4.9121208942797955E-4</v>
      </c>
      <c r="T123" s="10">
        <f t="shared" si="84"/>
        <v>0.29738131093767056</v>
      </c>
      <c r="U123" s="10">
        <f t="shared" si="85"/>
        <v>0.68466710790942875</v>
      </c>
      <c r="V123" s="10">
        <f t="shared" si="86"/>
        <v>8.6443738403545719E-8</v>
      </c>
      <c r="W123" s="10">
        <f t="shared" si="87"/>
        <v>2.230620567258676E-9</v>
      </c>
      <c r="X123" s="163">
        <f t="shared" si="68"/>
        <v>1</v>
      </c>
      <c r="Y123" s="54">
        <f t="shared" si="88"/>
        <v>0.16445926097170985</v>
      </c>
      <c r="Z123" s="54">
        <f t="shared" si="89"/>
        <v>1.5035305816534563E-2</v>
      </c>
      <c r="AA123" s="113"/>
    </row>
    <row r="124" spans="1:27" x14ac:dyDescent="0.2">
      <c r="A124" s="20">
        <f t="shared" si="69"/>
        <v>1</v>
      </c>
      <c r="B124" s="23">
        <f t="shared" si="70"/>
        <v>0</v>
      </c>
      <c r="C124" s="12">
        <f t="shared" si="71"/>
        <v>0</v>
      </c>
      <c r="D124" s="12">
        <f t="shared" si="72"/>
        <v>1198.51644454703</v>
      </c>
      <c r="E124" s="23">
        <f t="shared" si="90"/>
        <v>7.6709969405438741E-2</v>
      </c>
      <c r="F124" s="23">
        <f t="shared" si="94"/>
        <v>135.73589957452666</v>
      </c>
      <c r="G124" s="95">
        <f t="shared" si="91"/>
        <v>0.60608183914704084</v>
      </c>
      <c r="H124" s="95">
        <f t="shared" si="92"/>
        <v>0.25085195358639883</v>
      </c>
      <c r="I124" s="95">
        <f t="shared" si="93"/>
        <v>1.5639520465115617E-2</v>
      </c>
      <c r="J124" s="12">
        <f t="shared" si="74"/>
        <v>0</v>
      </c>
      <c r="K124" s="12">
        <f t="shared" si="75"/>
        <v>1335.2016274041605</v>
      </c>
      <c r="L124" s="54">
        <f t="shared" si="76"/>
        <v>5.7451974167058831E-5</v>
      </c>
      <c r="M124" s="10">
        <f t="shared" si="77"/>
        <v>0.10165947733183815</v>
      </c>
      <c r="N124" s="10">
        <f t="shared" si="78"/>
        <v>4.5392532985850096E-4</v>
      </c>
      <c r="O124" s="10">
        <f t="shared" si="79"/>
        <v>1.8787570988367804E-4</v>
      </c>
      <c r="P124" s="10">
        <f t="shared" si="80"/>
        <v>1.1713227533673155E-5</v>
      </c>
      <c r="Q124" s="54">
        <f t="shared" si="81"/>
        <v>1.7325955311838243E-2</v>
      </c>
      <c r="R124" s="10">
        <f t="shared" si="82"/>
        <v>1.3432507727547391E-4</v>
      </c>
      <c r="S124" s="10">
        <f t="shared" si="83"/>
        <v>4.9121208942797955E-4</v>
      </c>
      <c r="T124" s="10">
        <f t="shared" si="84"/>
        <v>0.29738131093767056</v>
      </c>
      <c r="U124" s="10">
        <f t="shared" si="85"/>
        <v>0.68466710790942875</v>
      </c>
      <c r="V124" s="10">
        <f t="shared" si="86"/>
        <v>8.6443738403545719E-8</v>
      </c>
      <c r="W124" s="10">
        <f t="shared" si="87"/>
        <v>2.230620567258676E-9</v>
      </c>
      <c r="X124" s="163">
        <f t="shared" si="68"/>
        <v>1</v>
      </c>
      <c r="Y124" s="54">
        <f t="shared" si="88"/>
        <v>0.16445926097170985</v>
      </c>
      <c r="Z124" s="54">
        <f t="shared" si="89"/>
        <v>1.5035305816534563E-2</v>
      </c>
      <c r="AA124" s="113"/>
    </row>
    <row r="125" spans="1:27" x14ac:dyDescent="0.2">
      <c r="A125" s="20">
        <f t="shared" si="69"/>
        <v>1</v>
      </c>
      <c r="B125" s="23">
        <f t="shared" si="70"/>
        <v>0</v>
      </c>
      <c r="C125" s="12">
        <f t="shared" si="71"/>
        <v>0</v>
      </c>
      <c r="D125" s="12">
        <f t="shared" si="72"/>
        <v>1198.51644454703</v>
      </c>
      <c r="E125" s="23">
        <f t="shared" si="90"/>
        <v>7.6709969405438741E-2</v>
      </c>
      <c r="F125" s="23">
        <f t="shared" si="94"/>
        <v>135.73589957452666</v>
      </c>
      <c r="G125" s="95">
        <f t="shared" si="91"/>
        <v>0.60608183914704084</v>
      </c>
      <c r="H125" s="95">
        <f t="shared" si="92"/>
        <v>0.25085195358639883</v>
      </c>
      <c r="I125" s="95">
        <f t="shared" si="93"/>
        <v>1.5639520465115617E-2</v>
      </c>
      <c r="J125" s="12">
        <f t="shared" si="74"/>
        <v>0</v>
      </c>
      <c r="K125" s="12">
        <f t="shared" si="75"/>
        <v>1335.2016274041605</v>
      </c>
      <c r="L125" s="54">
        <f t="shared" si="76"/>
        <v>5.7451974167058831E-5</v>
      </c>
      <c r="M125" s="10">
        <f t="shared" si="77"/>
        <v>0.10165947733183815</v>
      </c>
      <c r="N125" s="10">
        <f t="shared" si="78"/>
        <v>4.5392532985850096E-4</v>
      </c>
      <c r="O125" s="10">
        <f t="shared" si="79"/>
        <v>1.8787570988367804E-4</v>
      </c>
      <c r="P125" s="10">
        <f t="shared" si="80"/>
        <v>1.1713227533673155E-5</v>
      </c>
      <c r="Q125" s="54">
        <f t="shared" si="81"/>
        <v>1.7325955311838243E-2</v>
      </c>
      <c r="R125" s="10">
        <f t="shared" si="82"/>
        <v>1.3432507727547391E-4</v>
      </c>
      <c r="S125" s="10">
        <f t="shared" si="83"/>
        <v>4.9121208942797955E-4</v>
      </c>
      <c r="T125" s="10">
        <f t="shared" si="84"/>
        <v>0.29738131093767056</v>
      </c>
      <c r="U125" s="10">
        <f t="shared" si="85"/>
        <v>0.68466710790942875</v>
      </c>
      <c r="V125" s="10">
        <f t="shared" si="86"/>
        <v>8.6443738403545719E-8</v>
      </c>
      <c r="W125" s="10">
        <f t="shared" si="87"/>
        <v>2.230620567258676E-9</v>
      </c>
      <c r="X125" s="163">
        <f t="shared" si="68"/>
        <v>1</v>
      </c>
      <c r="Y125" s="54">
        <f t="shared" si="88"/>
        <v>0.16445926097170985</v>
      </c>
      <c r="Z125" s="54">
        <f t="shared" si="89"/>
        <v>1.5035305816534563E-2</v>
      </c>
      <c r="AA125" s="113"/>
    </row>
    <row r="126" spans="1:27" x14ac:dyDescent="0.2">
      <c r="A126" s="20">
        <f t="shared" si="69"/>
        <v>1</v>
      </c>
      <c r="B126" s="23">
        <f t="shared" si="70"/>
        <v>0</v>
      </c>
      <c r="C126" s="12">
        <f t="shared" si="71"/>
        <v>0</v>
      </c>
      <c r="D126" s="12">
        <f t="shared" si="72"/>
        <v>1198.51644454703</v>
      </c>
      <c r="E126" s="23">
        <f t="shared" si="90"/>
        <v>7.6709969405438741E-2</v>
      </c>
      <c r="F126" s="23">
        <f t="shared" si="94"/>
        <v>135.73589957452666</v>
      </c>
      <c r="G126" s="95">
        <f t="shared" si="91"/>
        <v>0.60608183914704084</v>
      </c>
      <c r="H126" s="95">
        <f t="shared" si="92"/>
        <v>0.25085195358639883</v>
      </c>
      <c r="I126" s="95">
        <f t="shared" si="93"/>
        <v>1.5639520465115617E-2</v>
      </c>
      <c r="J126" s="12">
        <f t="shared" si="74"/>
        <v>0</v>
      </c>
      <c r="K126" s="12">
        <f t="shared" si="75"/>
        <v>1335.2016274041605</v>
      </c>
      <c r="L126" s="54">
        <f t="shared" si="76"/>
        <v>5.7451974167058831E-5</v>
      </c>
      <c r="M126" s="10">
        <f t="shared" si="77"/>
        <v>0.10165947733183815</v>
      </c>
      <c r="N126" s="10">
        <f t="shared" si="78"/>
        <v>4.5392532985850096E-4</v>
      </c>
      <c r="O126" s="10">
        <f t="shared" si="79"/>
        <v>1.8787570988367804E-4</v>
      </c>
      <c r="P126" s="10">
        <f t="shared" si="80"/>
        <v>1.1713227533673155E-5</v>
      </c>
      <c r="Q126" s="54">
        <f t="shared" si="81"/>
        <v>1.7325955311838243E-2</v>
      </c>
      <c r="R126" s="10">
        <f t="shared" si="82"/>
        <v>1.3432507727547391E-4</v>
      </c>
      <c r="S126" s="10">
        <f t="shared" si="83"/>
        <v>4.9121208942797955E-4</v>
      </c>
      <c r="T126" s="10">
        <f t="shared" si="84"/>
        <v>0.29738131093767056</v>
      </c>
      <c r="U126" s="10">
        <f t="shared" si="85"/>
        <v>0.68466710790942875</v>
      </c>
      <c r="V126" s="10">
        <f t="shared" si="86"/>
        <v>8.6443738403545719E-8</v>
      </c>
      <c r="W126" s="10">
        <f t="shared" si="87"/>
        <v>2.230620567258676E-9</v>
      </c>
      <c r="X126" s="163">
        <f t="shared" si="68"/>
        <v>1</v>
      </c>
      <c r="Y126" s="54">
        <f t="shared" si="88"/>
        <v>0.16445926097170985</v>
      </c>
      <c r="Z126" s="54">
        <f t="shared" si="89"/>
        <v>1.5035305816534563E-2</v>
      </c>
      <c r="AA126" s="113"/>
    </row>
    <row r="127" spans="1:27" x14ac:dyDescent="0.2">
      <c r="A127" s="20">
        <f t="shared" si="69"/>
        <v>1</v>
      </c>
      <c r="B127" s="23">
        <f t="shared" si="70"/>
        <v>0</v>
      </c>
      <c r="C127" s="12">
        <f t="shared" si="71"/>
        <v>0</v>
      </c>
      <c r="D127" s="12">
        <f t="shared" si="72"/>
        <v>1198.51644454703</v>
      </c>
      <c r="E127" s="23">
        <f t="shared" si="90"/>
        <v>7.6709969405438741E-2</v>
      </c>
      <c r="F127" s="23">
        <f t="shared" si="94"/>
        <v>135.73589957452666</v>
      </c>
      <c r="G127" s="95">
        <f t="shared" si="91"/>
        <v>0.60608183914704084</v>
      </c>
      <c r="H127" s="95">
        <f t="shared" si="92"/>
        <v>0.25085195358639883</v>
      </c>
      <c r="I127" s="95">
        <f t="shared" si="93"/>
        <v>1.5639520465115617E-2</v>
      </c>
      <c r="J127" s="12">
        <f t="shared" si="74"/>
        <v>0</v>
      </c>
      <c r="K127" s="12">
        <f t="shared" si="75"/>
        <v>1335.2016274041605</v>
      </c>
      <c r="L127" s="54">
        <f t="shared" si="76"/>
        <v>5.7451974167058831E-5</v>
      </c>
      <c r="M127" s="10">
        <f t="shared" si="77"/>
        <v>0.10165947733183815</v>
      </c>
      <c r="N127" s="10">
        <f t="shared" si="78"/>
        <v>4.5392532985850096E-4</v>
      </c>
      <c r="O127" s="10">
        <f t="shared" si="79"/>
        <v>1.8787570988367804E-4</v>
      </c>
      <c r="P127" s="10">
        <f t="shared" si="80"/>
        <v>1.1713227533673155E-5</v>
      </c>
      <c r="Q127" s="54">
        <f t="shared" si="81"/>
        <v>1.7325955311838243E-2</v>
      </c>
      <c r="R127" s="10">
        <f t="shared" si="82"/>
        <v>1.3432507727547391E-4</v>
      </c>
      <c r="S127" s="10">
        <f t="shared" si="83"/>
        <v>4.9121208942797955E-4</v>
      </c>
      <c r="T127" s="10">
        <f t="shared" si="84"/>
        <v>0.29738131093767056</v>
      </c>
      <c r="U127" s="10">
        <f t="shared" si="85"/>
        <v>0.68466710790942875</v>
      </c>
      <c r="V127" s="10">
        <f t="shared" si="86"/>
        <v>8.6443738403545719E-8</v>
      </c>
      <c r="W127" s="10">
        <f t="shared" si="87"/>
        <v>2.230620567258676E-9</v>
      </c>
      <c r="X127" s="163">
        <f t="shared" si="68"/>
        <v>1</v>
      </c>
      <c r="Y127" s="54">
        <f t="shared" si="88"/>
        <v>0.16445926097170985</v>
      </c>
      <c r="Z127" s="54">
        <f t="shared" si="89"/>
        <v>1.5035305816534563E-2</v>
      </c>
      <c r="AA127" s="113"/>
    </row>
    <row r="128" spans="1:27" x14ac:dyDescent="0.2">
      <c r="A128" s="20">
        <f t="shared" si="69"/>
        <v>1</v>
      </c>
      <c r="B128" s="23">
        <f t="shared" si="70"/>
        <v>0</v>
      </c>
      <c r="C128" s="12">
        <f t="shared" si="71"/>
        <v>0</v>
      </c>
      <c r="D128" s="12">
        <f t="shared" si="72"/>
        <v>1198.51644454703</v>
      </c>
      <c r="E128" s="23">
        <f t="shared" si="90"/>
        <v>7.6709969405438741E-2</v>
      </c>
      <c r="F128" s="23">
        <f t="shared" si="94"/>
        <v>135.73589957452666</v>
      </c>
      <c r="G128" s="95">
        <f t="shared" si="91"/>
        <v>0.60608183914704084</v>
      </c>
      <c r="H128" s="95">
        <f t="shared" si="92"/>
        <v>0.25085195358639883</v>
      </c>
      <c r="I128" s="95">
        <f t="shared" si="93"/>
        <v>1.5639520465115617E-2</v>
      </c>
      <c r="J128" s="12">
        <f t="shared" si="74"/>
        <v>0</v>
      </c>
      <c r="K128" s="12">
        <f t="shared" si="75"/>
        <v>1335.2016274041605</v>
      </c>
      <c r="L128" s="54">
        <f t="shared" si="76"/>
        <v>5.7451974167058831E-5</v>
      </c>
      <c r="M128" s="10">
        <f t="shared" si="77"/>
        <v>0.10165947733183815</v>
      </c>
      <c r="N128" s="10">
        <f t="shared" si="78"/>
        <v>4.5392532985850096E-4</v>
      </c>
      <c r="O128" s="10">
        <f t="shared" si="79"/>
        <v>1.8787570988367804E-4</v>
      </c>
      <c r="P128" s="10">
        <f t="shared" si="80"/>
        <v>1.1713227533673155E-5</v>
      </c>
      <c r="Q128" s="54">
        <f t="shared" si="81"/>
        <v>1.7325955311838243E-2</v>
      </c>
      <c r="R128" s="10">
        <f t="shared" si="82"/>
        <v>1.3432507727547391E-4</v>
      </c>
      <c r="S128" s="10">
        <f t="shared" si="83"/>
        <v>4.9121208942797955E-4</v>
      </c>
      <c r="T128" s="10">
        <f t="shared" si="84"/>
        <v>0.29738131093767056</v>
      </c>
      <c r="U128" s="10">
        <f t="shared" si="85"/>
        <v>0.68466710790942875</v>
      </c>
      <c r="V128" s="10">
        <f t="shared" si="86"/>
        <v>8.6443738403545719E-8</v>
      </c>
      <c r="W128" s="10">
        <f t="shared" si="87"/>
        <v>2.230620567258676E-9</v>
      </c>
      <c r="X128" s="163">
        <f t="shared" si="68"/>
        <v>1</v>
      </c>
      <c r="Y128" s="54">
        <f t="shared" si="88"/>
        <v>0.16445926097170985</v>
      </c>
      <c r="Z128" s="54">
        <f t="shared" si="89"/>
        <v>1.5035305816534563E-2</v>
      </c>
      <c r="AA128" s="113"/>
    </row>
    <row r="129" spans="1:27" x14ac:dyDescent="0.2">
      <c r="A129" s="20">
        <f t="shared" si="69"/>
        <v>1</v>
      </c>
      <c r="B129" s="23">
        <f t="shared" si="70"/>
        <v>0</v>
      </c>
      <c r="C129" s="12">
        <f t="shared" si="71"/>
        <v>0</v>
      </c>
      <c r="D129" s="12">
        <f t="shared" si="72"/>
        <v>1198.51644454703</v>
      </c>
      <c r="E129" s="23">
        <f t="shared" si="90"/>
        <v>7.6709969405438741E-2</v>
      </c>
      <c r="F129" s="23">
        <f t="shared" si="94"/>
        <v>135.73589957452666</v>
      </c>
      <c r="G129" s="95">
        <f t="shared" si="91"/>
        <v>0.60608183914704084</v>
      </c>
      <c r="H129" s="95">
        <f t="shared" si="92"/>
        <v>0.25085195358639883</v>
      </c>
      <c r="I129" s="95">
        <f t="shared" si="93"/>
        <v>1.5639520465115617E-2</v>
      </c>
      <c r="J129" s="12">
        <f t="shared" si="74"/>
        <v>0</v>
      </c>
      <c r="K129" s="12">
        <f t="shared" si="75"/>
        <v>1335.2016274041605</v>
      </c>
      <c r="L129" s="54">
        <f t="shared" si="76"/>
        <v>5.7451974167058831E-5</v>
      </c>
      <c r="M129" s="10">
        <f t="shared" si="77"/>
        <v>0.10165947733183815</v>
      </c>
      <c r="N129" s="10">
        <f t="shared" si="78"/>
        <v>4.5392532985850096E-4</v>
      </c>
      <c r="O129" s="10">
        <f t="shared" si="79"/>
        <v>1.8787570988367804E-4</v>
      </c>
      <c r="P129" s="10">
        <f t="shared" si="80"/>
        <v>1.1713227533673155E-5</v>
      </c>
      <c r="Q129" s="54">
        <f t="shared" si="81"/>
        <v>1.7325955311838243E-2</v>
      </c>
      <c r="R129" s="10">
        <f t="shared" si="82"/>
        <v>1.3432507727547391E-4</v>
      </c>
      <c r="S129" s="10">
        <f t="shared" si="83"/>
        <v>4.9121208942797955E-4</v>
      </c>
      <c r="T129" s="10">
        <f t="shared" si="84"/>
        <v>0.29738131093767056</v>
      </c>
      <c r="U129" s="10">
        <f t="shared" si="85"/>
        <v>0.68466710790942875</v>
      </c>
      <c r="V129" s="10">
        <f t="shared" si="86"/>
        <v>8.6443738403545719E-8</v>
      </c>
      <c r="W129" s="10">
        <f t="shared" si="87"/>
        <v>2.230620567258676E-9</v>
      </c>
      <c r="X129" s="163">
        <f t="shared" si="68"/>
        <v>1</v>
      </c>
      <c r="Y129" s="54">
        <f t="shared" si="88"/>
        <v>0.16445926097170985</v>
      </c>
      <c r="Z129" s="54">
        <f t="shared" si="89"/>
        <v>1.5035305816534563E-2</v>
      </c>
      <c r="AA129" s="113"/>
    </row>
    <row r="130" spans="1:27" x14ac:dyDescent="0.2">
      <c r="A130" s="20">
        <f t="shared" si="69"/>
        <v>1</v>
      </c>
      <c r="B130" s="23">
        <f t="shared" si="70"/>
        <v>0</v>
      </c>
      <c r="C130" s="12">
        <f t="shared" si="71"/>
        <v>0</v>
      </c>
      <c r="D130" s="12">
        <f t="shared" si="72"/>
        <v>1198.51644454703</v>
      </c>
      <c r="E130" s="23">
        <f t="shared" si="90"/>
        <v>7.6709969405438741E-2</v>
      </c>
      <c r="F130" s="23">
        <f t="shared" si="94"/>
        <v>135.73589957452666</v>
      </c>
      <c r="G130" s="95">
        <f t="shared" si="91"/>
        <v>0.60608183914704084</v>
      </c>
      <c r="H130" s="95">
        <f t="shared" si="92"/>
        <v>0.25085195358639883</v>
      </c>
      <c r="I130" s="95">
        <f t="shared" si="93"/>
        <v>1.5639520465115617E-2</v>
      </c>
      <c r="J130" s="12">
        <f t="shared" si="74"/>
        <v>0</v>
      </c>
      <c r="K130" s="12">
        <f t="shared" si="75"/>
        <v>1335.2016274041605</v>
      </c>
      <c r="L130" s="54">
        <f t="shared" si="76"/>
        <v>5.7451974167058831E-5</v>
      </c>
      <c r="M130" s="10">
        <f t="shared" si="77"/>
        <v>0.10165947733183815</v>
      </c>
      <c r="N130" s="10">
        <f t="shared" si="78"/>
        <v>4.5392532985850096E-4</v>
      </c>
      <c r="O130" s="10">
        <f t="shared" si="79"/>
        <v>1.8787570988367804E-4</v>
      </c>
      <c r="P130" s="10">
        <f t="shared" si="80"/>
        <v>1.1713227533673155E-5</v>
      </c>
      <c r="Q130" s="54">
        <f t="shared" si="81"/>
        <v>1.7325955311838243E-2</v>
      </c>
      <c r="R130" s="10">
        <f t="shared" si="82"/>
        <v>1.3432507727547391E-4</v>
      </c>
      <c r="S130" s="10">
        <f t="shared" si="83"/>
        <v>4.9121208942797955E-4</v>
      </c>
      <c r="T130" s="10">
        <f t="shared" si="84"/>
        <v>0.29738131093767056</v>
      </c>
      <c r="U130" s="10">
        <f t="shared" si="85"/>
        <v>0.68466710790942875</v>
      </c>
      <c r="V130" s="10">
        <f t="shared" si="86"/>
        <v>8.6443738403545719E-8</v>
      </c>
      <c r="W130" s="10">
        <f t="shared" si="87"/>
        <v>2.230620567258676E-9</v>
      </c>
      <c r="X130" s="163">
        <f t="shared" si="68"/>
        <v>1</v>
      </c>
      <c r="Y130" s="54">
        <f t="shared" si="88"/>
        <v>0.16445926097170985</v>
      </c>
      <c r="Z130" s="54">
        <f t="shared" si="89"/>
        <v>1.5035305816534563E-2</v>
      </c>
      <c r="AA130" s="113"/>
    </row>
    <row r="131" spans="1:27" x14ac:dyDescent="0.2">
      <c r="A131" s="20">
        <f t="shared" si="69"/>
        <v>1</v>
      </c>
      <c r="B131" s="23">
        <f t="shared" si="70"/>
        <v>0</v>
      </c>
      <c r="C131" s="12">
        <f t="shared" si="71"/>
        <v>0</v>
      </c>
      <c r="D131" s="12">
        <f t="shared" si="72"/>
        <v>1198.51644454703</v>
      </c>
      <c r="E131" s="23">
        <f t="shared" si="90"/>
        <v>7.6709969405438741E-2</v>
      </c>
      <c r="F131" s="23">
        <f t="shared" si="94"/>
        <v>135.73589957452666</v>
      </c>
      <c r="G131" s="95">
        <f t="shared" si="91"/>
        <v>0.60608183914704084</v>
      </c>
      <c r="H131" s="95">
        <f t="shared" si="92"/>
        <v>0.25085195358639883</v>
      </c>
      <c r="I131" s="95">
        <f t="shared" si="93"/>
        <v>1.5639520465115617E-2</v>
      </c>
      <c r="J131" s="12">
        <f t="shared" si="74"/>
        <v>0</v>
      </c>
      <c r="K131" s="12">
        <f t="shared" si="75"/>
        <v>1335.2016274041605</v>
      </c>
      <c r="L131" s="54">
        <f t="shared" si="76"/>
        <v>5.7451974167058831E-5</v>
      </c>
      <c r="M131" s="10">
        <f t="shared" si="77"/>
        <v>0.10165947733183815</v>
      </c>
      <c r="N131" s="10">
        <f t="shared" si="78"/>
        <v>4.5392532985850096E-4</v>
      </c>
      <c r="O131" s="10">
        <f t="shared" si="79"/>
        <v>1.8787570988367804E-4</v>
      </c>
      <c r="P131" s="10">
        <f t="shared" si="80"/>
        <v>1.1713227533673155E-5</v>
      </c>
      <c r="Q131" s="54">
        <f t="shared" si="81"/>
        <v>1.7325955311838243E-2</v>
      </c>
      <c r="R131" s="10">
        <f t="shared" si="82"/>
        <v>1.3432507727547391E-4</v>
      </c>
      <c r="S131" s="10">
        <f t="shared" si="83"/>
        <v>4.9121208942797955E-4</v>
      </c>
      <c r="T131" s="10">
        <f t="shared" si="84"/>
        <v>0.29738131093767056</v>
      </c>
      <c r="U131" s="10">
        <f t="shared" si="85"/>
        <v>0.68466710790942875</v>
      </c>
      <c r="V131" s="10">
        <f t="shared" si="86"/>
        <v>8.6443738403545719E-8</v>
      </c>
      <c r="W131" s="10">
        <f t="shared" si="87"/>
        <v>2.230620567258676E-9</v>
      </c>
      <c r="X131" s="163">
        <f t="shared" si="68"/>
        <v>1</v>
      </c>
      <c r="Y131" s="54">
        <f t="shared" si="88"/>
        <v>0.16445926097170985</v>
      </c>
      <c r="Z131" s="54">
        <f t="shared" si="89"/>
        <v>1.5035305816534563E-2</v>
      </c>
      <c r="AA131" s="113"/>
    </row>
    <row r="132" spans="1:27" x14ac:dyDescent="0.2">
      <c r="A132" s="20">
        <f t="shared" si="69"/>
        <v>1</v>
      </c>
      <c r="B132" s="23">
        <f t="shared" si="70"/>
        <v>0</v>
      </c>
      <c r="C132" s="12">
        <f t="shared" si="71"/>
        <v>0</v>
      </c>
      <c r="D132" s="12">
        <f t="shared" si="72"/>
        <v>1198.51644454703</v>
      </c>
      <c r="E132" s="23">
        <f t="shared" si="90"/>
        <v>7.6709969405438741E-2</v>
      </c>
      <c r="F132" s="23">
        <f t="shared" si="94"/>
        <v>135.73589957452666</v>
      </c>
      <c r="G132" s="95">
        <f t="shared" si="91"/>
        <v>0.60608183914704084</v>
      </c>
      <c r="H132" s="95">
        <f t="shared" si="92"/>
        <v>0.25085195358639883</v>
      </c>
      <c r="I132" s="95">
        <f t="shared" si="93"/>
        <v>1.5639520465115617E-2</v>
      </c>
      <c r="J132" s="12">
        <f t="shared" si="74"/>
        <v>0</v>
      </c>
      <c r="K132" s="12">
        <f t="shared" si="75"/>
        <v>1335.2016274041605</v>
      </c>
      <c r="L132" s="54">
        <f t="shared" si="76"/>
        <v>5.7451974167058831E-5</v>
      </c>
      <c r="M132" s="10">
        <f t="shared" si="77"/>
        <v>0.10165947733183815</v>
      </c>
      <c r="N132" s="10">
        <f t="shared" si="78"/>
        <v>4.5392532985850096E-4</v>
      </c>
      <c r="O132" s="10">
        <f t="shared" si="79"/>
        <v>1.8787570988367804E-4</v>
      </c>
      <c r="P132" s="10">
        <f t="shared" si="80"/>
        <v>1.1713227533673155E-5</v>
      </c>
      <c r="Q132" s="54">
        <f t="shared" si="81"/>
        <v>1.7325955311838243E-2</v>
      </c>
      <c r="R132" s="10">
        <f t="shared" si="82"/>
        <v>1.3432507727547391E-4</v>
      </c>
      <c r="S132" s="10">
        <f t="shared" si="83"/>
        <v>4.9121208942797955E-4</v>
      </c>
      <c r="T132" s="10">
        <f t="shared" si="84"/>
        <v>0.29738131093767056</v>
      </c>
      <c r="U132" s="10">
        <f t="shared" si="85"/>
        <v>0.68466710790942875</v>
      </c>
      <c r="V132" s="10">
        <f t="shared" si="86"/>
        <v>8.6443738403545719E-8</v>
      </c>
      <c r="W132" s="10">
        <f t="shared" si="87"/>
        <v>2.230620567258676E-9</v>
      </c>
      <c r="X132" s="163">
        <f t="shared" si="68"/>
        <v>1</v>
      </c>
      <c r="Y132" s="54">
        <f t="shared" si="88"/>
        <v>0.16445926097170985</v>
      </c>
      <c r="Z132" s="54">
        <f t="shared" si="89"/>
        <v>1.5035305816534563E-2</v>
      </c>
      <c r="AA132" s="113"/>
    </row>
    <row r="133" spans="1:27" x14ac:dyDescent="0.2">
      <c r="A133" s="20">
        <f t="shared" si="69"/>
        <v>1</v>
      </c>
      <c r="B133" s="23">
        <f t="shared" si="70"/>
        <v>0</v>
      </c>
      <c r="C133" s="12">
        <f t="shared" si="71"/>
        <v>0</v>
      </c>
      <c r="D133" s="12">
        <f t="shared" si="72"/>
        <v>1198.51644454703</v>
      </c>
      <c r="E133" s="23">
        <f t="shared" si="90"/>
        <v>7.6709969405438741E-2</v>
      </c>
      <c r="F133" s="23">
        <f t="shared" si="94"/>
        <v>135.73589957452666</v>
      </c>
      <c r="G133" s="95">
        <f t="shared" si="91"/>
        <v>0.60608183914704084</v>
      </c>
      <c r="H133" s="95">
        <f t="shared" si="92"/>
        <v>0.25085195358639883</v>
      </c>
      <c r="I133" s="95">
        <f t="shared" si="93"/>
        <v>1.5639520465115617E-2</v>
      </c>
      <c r="J133" s="12">
        <f t="shared" si="74"/>
        <v>0</v>
      </c>
      <c r="K133" s="12">
        <f t="shared" ref="K133:K164" si="95">SUM(C133:J133)</f>
        <v>1335.2016274041605</v>
      </c>
      <c r="L133" s="54">
        <f t="shared" ref="L133:L164" si="96">+E133/$K133*P_t</f>
        <v>5.7451974167058831E-5</v>
      </c>
      <c r="M133" s="10">
        <f t="shared" ref="M133:M164" si="97">+F133/$K133*P_t</f>
        <v>0.10165947733183815</v>
      </c>
      <c r="N133" s="10">
        <f t="shared" ref="N133:N164" si="98">+G133/$K133*P_t</f>
        <v>4.5392532985850096E-4</v>
      </c>
      <c r="O133" s="10">
        <f t="shared" ref="O133:O164" si="99">+H133/$K133*P_t</f>
        <v>1.8787570988367804E-4</v>
      </c>
      <c r="P133" s="10">
        <f t="shared" ref="P133:P164" si="100">+I133/$K133*P_t</f>
        <v>1.1713227533673155E-5</v>
      </c>
      <c r="Q133" s="54">
        <f t="shared" ref="Q133:Q164" si="101">1/(1+K1_*L133+K2_*M133+SQRT(K2_*K3_*M133)+1/K6_*N133+K7_*O133+P133/K10_)</f>
        <v>1.7325955311838243E-2</v>
      </c>
      <c r="R133" s="10">
        <f t="shared" ref="R133:R164" si="102">K1_*L133*Q133</f>
        <v>1.3432507727547391E-4</v>
      </c>
      <c r="S133" s="10">
        <f t="shared" ref="S133:S164" si="103">K7_*O133*Q133</f>
        <v>4.9121208942797955E-4</v>
      </c>
      <c r="T133" s="10">
        <f t="shared" ref="T133:T164" si="104">K2_*M133*Q133</f>
        <v>0.29738131093767056</v>
      </c>
      <c r="U133" s="10">
        <f t="shared" ref="U133:U164" si="105">SQRT(K2_*K3_*M133)*Q133</f>
        <v>0.68466710790942875</v>
      </c>
      <c r="V133" s="10">
        <f t="shared" ref="V133:V164" si="106">N133/K6_*Q133</f>
        <v>8.6443738403545719E-8</v>
      </c>
      <c r="W133" s="10">
        <f t="shared" ref="W133:W164" si="107">P133/K10_*Q133</f>
        <v>2.230620567258676E-9</v>
      </c>
      <c r="X133" s="163">
        <f t="shared" si="68"/>
        <v>1</v>
      </c>
      <c r="Y133" s="54">
        <f t="shared" ref="Y133:Y164" si="108">(k4f*K1_*SQRT(K2_*K3_*M133)*L133+k5f*K1_*K2_*L133*M133-k4r/K6_*N133-k5r/K6_*SQRT(K2_*K3_*M133)*N133)*Q133*Q133</f>
        <v>0.16445926097170985</v>
      </c>
      <c r="Z133" s="54">
        <f t="shared" ref="Z133:Z164" si="109">(k8f*K7_*SQRT(K2_*K3_*M133)*O133+k9f*K7_*K2_*O133*M133-k8r/K10_*P133-k9r/K10_*SQRT(K2_*K3_*M133)*P133)*Q133*Q133</f>
        <v>1.5035305816534563E-2</v>
      </c>
      <c r="AA133" s="113"/>
    </row>
    <row r="134" spans="1:27" x14ac:dyDescent="0.2">
      <c r="A134" s="20">
        <f t="shared" si="69"/>
        <v>1</v>
      </c>
      <c r="B134" s="23">
        <f t="shared" si="70"/>
        <v>0</v>
      </c>
      <c r="C134" s="12">
        <f t="shared" si="71"/>
        <v>0</v>
      </c>
      <c r="D134" s="12">
        <f t="shared" si="72"/>
        <v>1198.51644454703</v>
      </c>
      <c r="E134" s="23">
        <f t="shared" ref="E134:E165" si="110">+E133-$B133*$Y133</f>
        <v>7.6709969405438741E-2</v>
      </c>
      <c r="F134" s="23">
        <f t="shared" si="94"/>
        <v>135.73589957452666</v>
      </c>
      <c r="G134" s="95">
        <f t="shared" ref="G134:G165" si="111">+G133+$B133*$Y133</f>
        <v>0.60608183914704084</v>
      </c>
      <c r="H134" s="95">
        <f t="shared" ref="H134:H165" si="112">+H133-$B133*$Z133</f>
        <v>0.25085195358639883</v>
      </c>
      <c r="I134" s="95">
        <f t="shared" ref="I134:I165" si="113">+I133+$B133*$Z133</f>
        <v>1.5639520465115617E-2</v>
      </c>
      <c r="J134" s="12">
        <f t="shared" si="74"/>
        <v>0</v>
      </c>
      <c r="K134" s="12">
        <f t="shared" si="95"/>
        <v>1335.2016274041605</v>
      </c>
      <c r="L134" s="54">
        <f t="shared" si="96"/>
        <v>5.7451974167058831E-5</v>
      </c>
      <c r="M134" s="10">
        <f t="shared" si="97"/>
        <v>0.10165947733183815</v>
      </c>
      <c r="N134" s="10">
        <f t="shared" si="98"/>
        <v>4.5392532985850096E-4</v>
      </c>
      <c r="O134" s="10">
        <f t="shared" si="99"/>
        <v>1.8787570988367804E-4</v>
      </c>
      <c r="P134" s="10">
        <f t="shared" si="100"/>
        <v>1.1713227533673155E-5</v>
      </c>
      <c r="Q134" s="54">
        <f t="shared" si="101"/>
        <v>1.7325955311838243E-2</v>
      </c>
      <c r="R134" s="10">
        <f t="shared" si="102"/>
        <v>1.3432507727547391E-4</v>
      </c>
      <c r="S134" s="10">
        <f t="shared" si="103"/>
        <v>4.9121208942797955E-4</v>
      </c>
      <c r="T134" s="10">
        <f t="shared" si="104"/>
        <v>0.29738131093767056</v>
      </c>
      <c r="U134" s="10">
        <f t="shared" si="105"/>
        <v>0.68466710790942875</v>
      </c>
      <c r="V134" s="10">
        <f t="shared" si="106"/>
        <v>8.6443738403545719E-8</v>
      </c>
      <c r="W134" s="10">
        <f t="shared" si="107"/>
        <v>2.230620567258676E-9</v>
      </c>
      <c r="X134" s="163">
        <f t="shared" ref="X134:X197" si="114">SUM(Q134:W134)</f>
        <v>1</v>
      </c>
      <c r="Y134" s="54">
        <f t="shared" si="108"/>
        <v>0.16445926097170985</v>
      </c>
      <c r="Z134" s="54">
        <f t="shared" si="109"/>
        <v>1.5035305816534563E-2</v>
      </c>
      <c r="AA134" s="113"/>
    </row>
    <row r="135" spans="1:27" x14ac:dyDescent="0.2">
      <c r="A135" s="20">
        <f t="shared" ref="A135:A198" si="115">+A134+B135</f>
        <v>1</v>
      </c>
      <c r="B135" s="23">
        <f t="shared" ref="B135:B198" si="116">MIN(B134,1-A134)</f>
        <v>0</v>
      </c>
      <c r="C135" s="12">
        <f t="shared" ref="C135:C198" si="117">+C134</f>
        <v>0</v>
      </c>
      <c r="D135" s="12">
        <f t="shared" ref="D135:D198" si="118">+D134</f>
        <v>1198.51644454703</v>
      </c>
      <c r="E135" s="23">
        <f t="shared" si="110"/>
        <v>7.6709969405438741E-2</v>
      </c>
      <c r="F135" s="23">
        <f t="shared" ref="F135:F166" si="119">+F134-$B134*(Y134/2)</f>
        <v>135.73589957452666</v>
      </c>
      <c r="G135" s="95">
        <f t="shared" si="111"/>
        <v>0.60608183914704084</v>
      </c>
      <c r="H135" s="95">
        <f t="shared" si="112"/>
        <v>0.25085195358639883</v>
      </c>
      <c r="I135" s="95">
        <f t="shared" si="113"/>
        <v>1.5639520465115617E-2</v>
      </c>
      <c r="J135" s="12">
        <f t="shared" ref="J135:J198" si="120">+J134</f>
        <v>0</v>
      </c>
      <c r="K135" s="12">
        <f t="shared" si="95"/>
        <v>1335.2016274041605</v>
      </c>
      <c r="L135" s="54">
        <f t="shared" si="96"/>
        <v>5.7451974167058831E-5</v>
      </c>
      <c r="M135" s="10">
        <f t="shared" si="97"/>
        <v>0.10165947733183815</v>
      </c>
      <c r="N135" s="10">
        <f t="shared" si="98"/>
        <v>4.5392532985850096E-4</v>
      </c>
      <c r="O135" s="10">
        <f t="shared" si="99"/>
        <v>1.8787570988367804E-4</v>
      </c>
      <c r="P135" s="10">
        <f t="shared" si="100"/>
        <v>1.1713227533673155E-5</v>
      </c>
      <c r="Q135" s="54">
        <f t="shared" si="101"/>
        <v>1.7325955311838243E-2</v>
      </c>
      <c r="R135" s="10">
        <f t="shared" si="102"/>
        <v>1.3432507727547391E-4</v>
      </c>
      <c r="S135" s="10">
        <f t="shared" si="103"/>
        <v>4.9121208942797955E-4</v>
      </c>
      <c r="T135" s="10">
        <f t="shared" si="104"/>
        <v>0.29738131093767056</v>
      </c>
      <c r="U135" s="10">
        <f t="shared" si="105"/>
        <v>0.68466710790942875</v>
      </c>
      <c r="V135" s="10">
        <f t="shared" si="106"/>
        <v>8.6443738403545719E-8</v>
      </c>
      <c r="W135" s="10">
        <f t="shared" si="107"/>
        <v>2.230620567258676E-9</v>
      </c>
      <c r="X135" s="163">
        <f t="shared" si="114"/>
        <v>1</v>
      </c>
      <c r="Y135" s="54">
        <f t="shared" si="108"/>
        <v>0.16445926097170985</v>
      </c>
      <c r="Z135" s="54">
        <f t="shared" si="109"/>
        <v>1.5035305816534563E-2</v>
      </c>
      <c r="AA135" s="113"/>
    </row>
    <row r="136" spans="1:27" x14ac:dyDescent="0.2">
      <c r="A136" s="20">
        <f t="shared" si="115"/>
        <v>1</v>
      </c>
      <c r="B136" s="23">
        <f t="shared" si="116"/>
        <v>0</v>
      </c>
      <c r="C136" s="12">
        <f t="shared" si="117"/>
        <v>0</v>
      </c>
      <c r="D136" s="12">
        <f t="shared" si="118"/>
        <v>1198.51644454703</v>
      </c>
      <c r="E136" s="23">
        <f t="shared" si="110"/>
        <v>7.6709969405438741E-2</v>
      </c>
      <c r="F136" s="23">
        <f t="shared" si="119"/>
        <v>135.73589957452666</v>
      </c>
      <c r="G136" s="95">
        <f t="shared" si="111"/>
        <v>0.60608183914704084</v>
      </c>
      <c r="H136" s="95">
        <f t="shared" si="112"/>
        <v>0.25085195358639883</v>
      </c>
      <c r="I136" s="95">
        <f t="shared" si="113"/>
        <v>1.5639520465115617E-2</v>
      </c>
      <c r="J136" s="12">
        <f t="shared" si="120"/>
        <v>0</v>
      </c>
      <c r="K136" s="12">
        <f t="shared" si="95"/>
        <v>1335.2016274041605</v>
      </c>
      <c r="L136" s="54">
        <f t="shared" si="96"/>
        <v>5.7451974167058831E-5</v>
      </c>
      <c r="M136" s="10">
        <f t="shared" si="97"/>
        <v>0.10165947733183815</v>
      </c>
      <c r="N136" s="10">
        <f t="shared" si="98"/>
        <v>4.5392532985850096E-4</v>
      </c>
      <c r="O136" s="10">
        <f t="shared" si="99"/>
        <v>1.8787570988367804E-4</v>
      </c>
      <c r="P136" s="10">
        <f t="shared" si="100"/>
        <v>1.1713227533673155E-5</v>
      </c>
      <c r="Q136" s="54">
        <f t="shared" si="101"/>
        <v>1.7325955311838243E-2</v>
      </c>
      <c r="R136" s="10">
        <f t="shared" si="102"/>
        <v>1.3432507727547391E-4</v>
      </c>
      <c r="S136" s="10">
        <f t="shared" si="103"/>
        <v>4.9121208942797955E-4</v>
      </c>
      <c r="T136" s="10">
        <f t="shared" si="104"/>
        <v>0.29738131093767056</v>
      </c>
      <c r="U136" s="10">
        <f t="shared" si="105"/>
        <v>0.68466710790942875</v>
      </c>
      <c r="V136" s="10">
        <f t="shared" si="106"/>
        <v>8.6443738403545719E-8</v>
      </c>
      <c r="W136" s="10">
        <f t="shared" si="107"/>
        <v>2.230620567258676E-9</v>
      </c>
      <c r="X136" s="163">
        <f t="shared" si="114"/>
        <v>1</v>
      </c>
      <c r="Y136" s="54">
        <f t="shared" si="108"/>
        <v>0.16445926097170985</v>
      </c>
      <c r="Z136" s="54">
        <f t="shared" si="109"/>
        <v>1.5035305816534563E-2</v>
      </c>
      <c r="AA136" s="113"/>
    </row>
    <row r="137" spans="1:27" x14ac:dyDescent="0.2">
      <c r="A137" s="20">
        <f t="shared" si="115"/>
        <v>1</v>
      </c>
      <c r="B137" s="23">
        <f t="shared" si="116"/>
        <v>0</v>
      </c>
      <c r="C137" s="12">
        <f t="shared" si="117"/>
        <v>0</v>
      </c>
      <c r="D137" s="12">
        <f t="shared" si="118"/>
        <v>1198.51644454703</v>
      </c>
      <c r="E137" s="23">
        <f t="shared" si="110"/>
        <v>7.6709969405438741E-2</v>
      </c>
      <c r="F137" s="23">
        <f t="shared" si="119"/>
        <v>135.73589957452666</v>
      </c>
      <c r="G137" s="95">
        <f t="shared" si="111"/>
        <v>0.60608183914704084</v>
      </c>
      <c r="H137" s="95">
        <f t="shared" si="112"/>
        <v>0.25085195358639883</v>
      </c>
      <c r="I137" s="95">
        <f t="shared" si="113"/>
        <v>1.5639520465115617E-2</v>
      </c>
      <c r="J137" s="12">
        <f t="shared" si="120"/>
        <v>0</v>
      </c>
      <c r="K137" s="12">
        <f t="shared" si="95"/>
        <v>1335.2016274041605</v>
      </c>
      <c r="L137" s="54">
        <f t="shared" si="96"/>
        <v>5.7451974167058831E-5</v>
      </c>
      <c r="M137" s="10">
        <f t="shared" si="97"/>
        <v>0.10165947733183815</v>
      </c>
      <c r="N137" s="10">
        <f t="shared" si="98"/>
        <v>4.5392532985850096E-4</v>
      </c>
      <c r="O137" s="10">
        <f t="shared" si="99"/>
        <v>1.8787570988367804E-4</v>
      </c>
      <c r="P137" s="10">
        <f t="shared" si="100"/>
        <v>1.1713227533673155E-5</v>
      </c>
      <c r="Q137" s="54">
        <f t="shared" si="101"/>
        <v>1.7325955311838243E-2</v>
      </c>
      <c r="R137" s="10">
        <f t="shared" si="102"/>
        <v>1.3432507727547391E-4</v>
      </c>
      <c r="S137" s="10">
        <f t="shared" si="103"/>
        <v>4.9121208942797955E-4</v>
      </c>
      <c r="T137" s="10">
        <f t="shared" si="104"/>
        <v>0.29738131093767056</v>
      </c>
      <c r="U137" s="10">
        <f t="shared" si="105"/>
        <v>0.68466710790942875</v>
      </c>
      <c r="V137" s="10">
        <f t="shared" si="106"/>
        <v>8.6443738403545719E-8</v>
      </c>
      <c r="W137" s="10">
        <f t="shared" si="107"/>
        <v>2.230620567258676E-9</v>
      </c>
      <c r="X137" s="163">
        <f t="shared" si="114"/>
        <v>1</v>
      </c>
      <c r="Y137" s="54">
        <f t="shared" si="108"/>
        <v>0.16445926097170985</v>
      </c>
      <c r="Z137" s="54">
        <f t="shared" si="109"/>
        <v>1.5035305816534563E-2</v>
      </c>
      <c r="AA137" s="113"/>
    </row>
    <row r="138" spans="1:27" x14ac:dyDescent="0.2">
      <c r="A138" s="20">
        <f t="shared" si="115"/>
        <v>1</v>
      </c>
      <c r="B138" s="23">
        <f t="shared" si="116"/>
        <v>0</v>
      </c>
      <c r="C138" s="12">
        <f t="shared" si="117"/>
        <v>0</v>
      </c>
      <c r="D138" s="12">
        <f t="shared" si="118"/>
        <v>1198.51644454703</v>
      </c>
      <c r="E138" s="23">
        <f t="shared" si="110"/>
        <v>7.6709969405438741E-2</v>
      </c>
      <c r="F138" s="23">
        <f t="shared" si="119"/>
        <v>135.73589957452666</v>
      </c>
      <c r="G138" s="95">
        <f t="shared" si="111"/>
        <v>0.60608183914704084</v>
      </c>
      <c r="H138" s="95">
        <f t="shared" si="112"/>
        <v>0.25085195358639883</v>
      </c>
      <c r="I138" s="95">
        <f t="shared" si="113"/>
        <v>1.5639520465115617E-2</v>
      </c>
      <c r="J138" s="12">
        <f t="shared" si="120"/>
        <v>0</v>
      </c>
      <c r="K138" s="12">
        <f t="shared" si="95"/>
        <v>1335.2016274041605</v>
      </c>
      <c r="L138" s="54">
        <f t="shared" si="96"/>
        <v>5.7451974167058831E-5</v>
      </c>
      <c r="M138" s="10">
        <f t="shared" si="97"/>
        <v>0.10165947733183815</v>
      </c>
      <c r="N138" s="10">
        <f t="shared" si="98"/>
        <v>4.5392532985850096E-4</v>
      </c>
      <c r="O138" s="10">
        <f t="shared" si="99"/>
        <v>1.8787570988367804E-4</v>
      </c>
      <c r="P138" s="10">
        <f t="shared" si="100"/>
        <v>1.1713227533673155E-5</v>
      </c>
      <c r="Q138" s="54">
        <f t="shared" si="101"/>
        <v>1.7325955311838243E-2</v>
      </c>
      <c r="R138" s="10">
        <f t="shared" si="102"/>
        <v>1.3432507727547391E-4</v>
      </c>
      <c r="S138" s="10">
        <f t="shared" si="103"/>
        <v>4.9121208942797955E-4</v>
      </c>
      <c r="T138" s="10">
        <f t="shared" si="104"/>
        <v>0.29738131093767056</v>
      </c>
      <c r="U138" s="10">
        <f t="shared" si="105"/>
        <v>0.68466710790942875</v>
      </c>
      <c r="V138" s="10">
        <f t="shared" si="106"/>
        <v>8.6443738403545719E-8</v>
      </c>
      <c r="W138" s="10">
        <f t="shared" si="107"/>
        <v>2.230620567258676E-9</v>
      </c>
      <c r="X138" s="163">
        <f t="shared" si="114"/>
        <v>1</v>
      </c>
      <c r="Y138" s="54">
        <f t="shared" si="108"/>
        <v>0.16445926097170985</v>
      </c>
      <c r="Z138" s="54">
        <f t="shared" si="109"/>
        <v>1.5035305816534563E-2</v>
      </c>
      <c r="AA138" s="113"/>
    </row>
    <row r="139" spans="1:27" x14ac:dyDescent="0.2">
      <c r="A139" s="20">
        <f t="shared" si="115"/>
        <v>1</v>
      </c>
      <c r="B139" s="23">
        <f t="shared" si="116"/>
        <v>0</v>
      </c>
      <c r="C139" s="12">
        <f t="shared" si="117"/>
        <v>0</v>
      </c>
      <c r="D139" s="12">
        <f t="shared" si="118"/>
        <v>1198.51644454703</v>
      </c>
      <c r="E139" s="23">
        <f t="shared" si="110"/>
        <v>7.6709969405438741E-2</v>
      </c>
      <c r="F139" s="23">
        <f t="shared" si="119"/>
        <v>135.73589957452666</v>
      </c>
      <c r="G139" s="95">
        <f t="shared" si="111"/>
        <v>0.60608183914704084</v>
      </c>
      <c r="H139" s="95">
        <f t="shared" si="112"/>
        <v>0.25085195358639883</v>
      </c>
      <c r="I139" s="95">
        <f t="shared" si="113"/>
        <v>1.5639520465115617E-2</v>
      </c>
      <c r="J139" s="12">
        <f t="shared" si="120"/>
        <v>0</v>
      </c>
      <c r="K139" s="12">
        <f t="shared" si="95"/>
        <v>1335.2016274041605</v>
      </c>
      <c r="L139" s="54">
        <f t="shared" si="96"/>
        <v>5.7451974167058831E-5</v>
      </c>
      <c r="M139" s="10">
        <f t="shared" si="97"/>
        <v>0.10165947733183815</v>
      </c>
      <c r="N139" s="10">
        <f t="shared" si="98"/>
        <v>4.5392532985850096E-4</v>
      </c>
      <c r="O139" s="10">
        <f t="shared" si="99"/>
        <v>1.8787570988367804E-4</v>
      </c>
      <c r="P139" s="10">
        <f t="shared" si="100"/>
        <v>1.1713227533673155E-5</v>
      </c>
      <c r="Q139" s="54">
        <f t="shared" si="101"/>
        <v>1.7325955311838243E-2</v>
      </c>
      <c r="R139" s="10">
        <f t="shared" si="102"/>
        <v>1.3432507727547391E-4</v>
      </c>
      <c r="S139" s="10">
        <f t="shared" si="103"/>
        <v>4.9121208942797955E-4</v>
      </c>
      <c r="T139" s="10">
        <f t="shared" si="104"/>
        <v>0.29738131093767056</v>
      </c>
      <c r="U139" s="10">
        <f t="shared" si="105"/>
        <v>0.68466710790942875</v>
      </c>
      <c r="V139" s="10">
        <f t="shared" si="106"/>
        <v>8.6443738403545719E-8</v>
      </c>
      <c r="W139" s="10">
        <f t="shared" si="107"/>
        <v>2.230620567258676E-9</v>
      </c>
      <c r="X139" s="163">
        <f t="shared" si="114"/>
        <v>1</v>
      </c>
      <c r="Y139" s="54">
        <f t="shared" si="108"/>
        <v>0.16445926097170985</v>
      </c>
      <c r="Z139" s="54">
        <f t="shared" si="109"/>
        <v>1.5035305816534563E-2</v>
      </c>
      <c r="AA139" s="113"/>
    </row>
    <row r="140" spans="1:27" x14ac:dyDescent="0.2">
      <c r="A140" s="20">
        <f t="shared" si="115"/>
        <v>1</v>
      </c>
      <c r="B140" s="23">
        <f t="shared" si="116"/>
        <v>0</v>
      </c>
      <c r="C140" s="12">
        <f t="shared" si="117"/>
        <v>0</v>
      </c>
      <c r="D140" s="12">
        <f t="shared" si="118"/>
        <v>1198.51644454703</v>
      </c>
      <c r="E140" s="23">
        <f t="shared" si="110"/>
        <v>7.6709969405438741E-2</v>
      </c>
      <c r="F140" s="23">
        <f t="shared" si="119"/>
        <v>135.73589957452666</v>
      </c>
      <c r="G140" s="95">
        <f t="shared" si="111"/>
        <v>0.60608183914704084</v>
      </c>
      <c r="H140" s="95">
        <f t="shared" si="112"/>
        <v>0.25085195358639883</v>
      </c>
      <c r="I140" s="95">
        <f t="shared" si="113"/>
        <v>1.5639520465115617E-2</v>
      </c>
      <c r="J140" s="12">
        <f t="shared" si="120"/>
        <v>0</v>
      </c>
      <c r="K140" s="12">
        <f t="shared" si="95"/>
        <v>1335.2016274041605</v>
      </c>
      <c r="L140" s="54">
        <f t="shared" si="96"/>
        <v>5.7451974167058831E-5</v>
      </c>
      <c r="M140" s="10">
        <f t="shared" si="97"/>
        <v>0.10165947733183815</v>
      </c>
      <c r="N140" s="10">
        <f t="shared" si="98"/>
        <v>4.5392532985850096E-4</v>
      </c>
      <c r="O140" s="10">
        <f t="shared" si="99"/>
        <v>1.8787570988367804E-4</v>
      </c>
      <c r="P140" s="10">
        <f t="shared" si="100"/>
        <v>1.1713227533673155E-5</v>
      </c>
      <c r="Q140" s="54">
        <f t="shared" si="101"/>
        <v>1.7325955311838243E-2</v>
      </c>
      <c r="R140" s="10">
        <f t="shared" si="102"/>
        <v>1.3432507727547391E-4</v>
      </c>
      <c r="S140" s="10">
        <f t="shared" si="103"/>
        <v>4.9121208942797955E-4</v>
      </c>
      <c r="T140" s="10">
        <f t="shared" si="104"/>
        <v>0.29738131093767056</v>
      </c>
      <c r="U140" s="10">
        <f t="shared" si="105"/>
        <v>0.68466710790942875</v>
      </c>
      <c r="V140" s="10">
        <f t="shared" si="106"/>
        <v>8.6443738403545719E-8</v>
      </c>
      <c r="W140" s="10">
        <f t="shared" si="107"/>
        <v>2.230620567258676E-9</v>
      </c>
      <c r="X140" s="163">
        <f t="shared" si="114"/>
        <v>1</v>
      </c>
      <c r="Y140" s="54">
        <f t="shared" si="108"/>
        <v>0.16445926097170985</v>
      </c>
      <c r="Z140" s="54">
        <f t="shared" si="109"/>
        <v>1.5035305816534563E-2</v>
      </c>
      <c r="AA140" s="113"/>
    </row>
    <row r="141" spans="1:27" x14ac:dyDescent="0.2">
      <c r="A141" s="20">
        <f t="shared" si="115"/>
        <v>1</v>
      </c>
      <c r="B141" s="23">
        <f t="shared" si="116"/>
        <v>0</v>
      </c>
      <c r="C141" s="12">
        <f t="shared" si="117"/>
        <v>0</v>
      </c>
      <c r="D141" s="12">
        <f t="shared" si="118"/>
        <v>1198.51644454703</v>
      </c>
      <c r="E141" s="23">
        <f t="shared" si="110"/>
        <v>7.6709969405438741E-2</v>
      </c>
      <c r="F141" s="23">
        <f t="shared" si="119"/>
        <v>135.73589957452666</v>
      </c>
      <c r="G141" s="95">
        <f t="shared" si="111"/>
        <v>0.60608183914704084</v>
      </c>
      <c r="H141" s="95">
        <f t="shared" si="112"/>
        <v>0.25085195358639883</v>
      </c>
      <c r="I141" s="95">
        <f t="shared" si="113"/>
        <v>1.5639520465115617E-2</v>
      </c>
      <c r="J141" s="12">
        <f t="shared" si="120"/>
        <v>0</v>
      </c>
      <c r="K141" s="12">
        <f t="shared" si="95"/>
        <v>1335.2016274041605</v>
      </c>
      <c r="L141" s="54">
        <f t="shared" si="96"/>
        <v>5.7451974167058831E-5</v>
      </c>
      <c r="M141" s="10">
        <f t="shared" si="97"/>
        <v>0.10165947733183815</v>
      </c>
      <c r="N141" s="10">
        <f t="shared" si="98"/>
        <v>4.5392532985850096E-4</v>
      </c>
      <c r="O141" s="10">
        <f t="shared" si="99"/>
        <v>1.8787570988367804E-4</v>
      </c>
      <c r="P141" s="10">
        <f t="shared" si="100"/>
        <v>1.1713227533673155E-5</v>
      </c>
      <c r="Q141" s="54">
        <f t="shared" si="101"/>
        <v>1.7325955311838243E-2</v>
      </c>
      <c r="R141" s="10">
        <f t="shared" si="102"/>
        <v>1.3432507727547391E-4</v>
      </c>
      <c r="S141" s="10">
        <f t="shared" si="103"/>
        <v>4.9121208942797955E-4</v>
      </c>
      <c r="T141" s="10">
        <f t="shared" si="104"/>
        <v>0.29738131093767056</v>
      </c>
      <c r="U141" s="10">
        <f t="shared" si="105"/>
        <v>0.68466710790942875</v>
      </c>
      <c r="V141" s="10">
        <f t="shared" si="106"/>
        <v>8.6443738403545719E-8</v>
      </c>
      <c r="W141" s="10">
        <f t="shared" si="107"/>
        <v>2.230620567258676E-9</v>
      </c>
      <c r="X141" s="163">
        <f t="shared" si="114"/>
        <v>1</v>
      </c>
      <c r="Y141" s="54">
        <f t="shared" si="108"/>
        <v>0.16445926097170985</v>
      </c>
      <c r="Z141" s="54">
        <f t="shared" si="109"/>
        <v>1.5035305816534563E-2</v>
      </c>
      <c r="AA141" s="113"/>
    </row>
    <row r="142" spans="1:27" x14ac:dyDescent="0.2">
      <c r="A142" s="20">
        <f t="shared" si="115"/>
        <v>1</v>
      </c>
      <c r="B142" s="23">
        <f t="shared" si="116"/>
        <v>0</v>
      </c>
      <c r="C142" s="12">
        <f t="shared" si="117"/>
        <v>0</v>
      </c>
      <c r="D142" s="12">
        <f t="shared" si="118"/>
        <v>1198.51644454703</v>
      </c>
      <c r="E142" s="23">
        <f t="shared" si="110"/>
        <v>7.6709969405438741E-2</v>
      </c>
      <c r="F142" s="23">
        <f t="shared" si="119"/>
        <v>135.73589957452666</v>
      </c>
      <c r="G142" s="95">
        <f t="shared" si="111"/>
        <v>0.60608183914704084</v>
      </c>
      <c r="H142" s="95">
        <f t="shared" si="112"/>
        <v>0.25085195358639883</v>
      </c>
      <c r="I142" s="95">
        <f t="shared" si="113"/>
        <v>1.5639520465115617E-2</v>
      </c>
      <c r="J142" s="12">
        <f t="shared" si="120"/>
        <v>0</v>
      </c>
      <c r="K142" s="12">
        <f t="shared" si="95"/>
        <v>1335.2016274041605</v>
      </c>
      <c r="L142" s="54">
        <f t="shared" si="96"/>
        <v>5.7451974167058831E-5</v>
      </c>
      <c r="M142" s="10">
        <f t="shared" si="97"/>
        <v>0.10165947733183815</v>
      </c>
      <c r="N142" s="10">
        <f t="shared" si="98"/>
        <v>4.5392532985850096E-4</v>
      </c>
      <c r="O142" s="10">
        <f t="shared" si="99"/>
        <v>1.8787570988367804E-4</v>
      </c>
      <c r="P142" s="10">
        <f t="shared" si="100"/>
        <v>1.1713227533673155E-5</v>
      </c>
      <c r="Q142" s="54">
        <f t="shared" si="101"/>
        <v>1.7325955311838243E-2</v>
      </c>
      <c r="R142" s="10">
        <f t="shared" si="102"/>
        <v>1.3432507727547391E-4</v>
      </c>
      <c r="S142" s="10">
        <f t="shared" si="103"/>
        <v>4.9121208942797955E-4</v>
      </c>
      <c r="T142" s="10">
        <f t="shared" si="104"/>
        <v>0.29738131093767056</v>
      </c>
      <c r="U142" s="10">
        <f t="shared" si="105"/>
        <v>0.68466710790942875</v>
      </c>
      <c r="V142" s="10">
        <f t="shared" si="106"/>
        <v>8.6443738403545719E-8</v>
      </c>
      <c r="W142" s="10">
        <f t="shared" si="107"/>
        <v>2.230620567258676E-9</v>
      </c>
      <c r="X142" s="163">
        <f t="shared" si="114"/>
        <v>1</v>
      </c>
      <c r="Y142" s="54">
        <f t="shared" si="108"/>
        <v>0.16445926097170985</v>
      </c>
      <c r="Z142" s="54">
        <f t="shared" si="109"/>
        <v>1.5035305816534563E-2</v>
      </c>
      <c r="AA142" s="113"/>
    </row>
    <row r="143" spans="1:27" x14ac:dyDescent="0.2">
      <c r="A143" s="20">
        <f t="shared" si="115"/>
        <v>1</v>
      </c>
      <c r="B143" s="23">
        <f t="shared" si="116"/>
        <v>0</v>
      </c>
      <c r="C143" s="12">
        <f t="shared" si="117"/>
        <v>0</v>
      </c>
      <c r="D143" s="12">
        <f t="shared" si="118"/>
        <v>1198.51644454703</v>
      </c>
      <c r="E143" s="23">
        <f t="shared" si="110"/>
        <v>7.6709969405438741E-2</v>
      </c>
      <c r="F143" s="23">
        <f t="shared" si="119"/>
        <v>135.73589957452666</v>
      </c>
      <c r="G143" s="95">
        <f t="shared" si="111"/>
        <v>0.60608183914704084</v>
      </c>
      <c r="H143" s="95">
        <f t="shared" si="112"/>
        <v>0.25085195358639883</v>
      </c>
      <c r="I143" s="95">
        <f t="shared" si="113"/>
        <v>1.5639520465115617E-2</v>
      </c>
      <c r="J143" s="12">
        <f t="shared" si="120"/>
        <v>0</v>
      </c>
      <c r="K143" s="12">
        <f t="shared" si="95"/>
        <v>1335.2016274041605</v>
      </c>
      <c r="L143" s="54">
        <f t="shared" si="96"/>
        <v>5.7451974167058831E-5</v>
      </c>
      <c r="M143" s="10">
        <f t="shared" si="97"/>
        <v>0.10165947733183815</v>
      </c>
      <c r="N143" s="10">
        <f t="shared" si="98"/>
        <v>4.5392532985850096E-4</v>
      </c>
      <c r="O143" s="10">
        <f t="shared" si="99"/>
        <v>1.8787570988367804E-4</v>
      </c>
      <c r="P143" s="10">
        <f t="shared" si="100"/>
        <v>1.1713227533673155E-5</v>
      </c>
      <c r="Q143" s="54">
        <f t="shared" si="101"/>
        <v>1.7325955311838243E-2</v>
      </c>
      <c r="R143" s="10">
        <f t="shared" si="102"/>
        <v>1.3432507727547391E-4</v>
      </c>
      <c r="S143" s="10">
        <f t="shared" si="103"/>
        <v>4.9121208942797955E-4</v>
      </c>
      <c r="T143" s="10">
        <f t="shared" si="104"/>
        <v>0.29738131093767056</v>
      </c>
      <c r="U143" s="10">
        <f t="shared" si="105"/>
        <v>0.68466710790942875</v>
      </c>
      <c r="V143" s="10">
        <f t="shared" si="106"/>
        <v>8.6443738403545719E-8</v>
      </c>
      <c r="W143" s="10">
        <f t="shared" si="107"/>
        <v>2.230620567258676E-9</v>
      </c>
      <c r="X143" s="163">
        <f t="shared" si="114"/>
        <v>1</v>
      </c>
      <c r="Y143" s="54">
        <f t="shared" si="108"/>
        <v>0.16445926097170985</v>
      </c>
      <c r="Z143" s="54">
        <f t="shared" si="109"/>
        <v>1.5035305816534563E-2</v>
      </c>
      <c r="AA143" s="113"/>
    </row>
    <row r="144" spans="1:27" x14ac:dyDescent="0.2">
      <c r="A144" s="20">
        <f t="shared" si="115"/>
        <v>1</v>
      </c>
      <c r="B144" s="23">
        <f t="shared" si="116"/>
        <v>0</v>
      </c>
      <c r="C144" s="12">
        <f t="shared" si="117"/>
        <v>0</v>
      </c>
      <c r="D144" s="12">
        <f t="shared" si="118"/>
        <v>1198.51644454703</v>
      </c>
      <c r="E144" s="23">
        <f t="shared" si="110"/>
        <v>7.6709969405438741E-2</v>
      </c>
      <c r="F144" s="23">
        <f t="shared" si="119"/>
        <v>135.73589957452666</v>
      </c>
      <c r="G144" s="95">
        <f t="shared" si="111"/>
        <v>0.60608183914704084</v>
      </c>
      <c r="H144" s="95">
        <f t="shared" si="112"/>
        <v>0.25085195358639883</v>
      </c>
      <c r="I144" s="95">
        <f t="shared" si="113"/>
        <v>1.5639520465115617E-2</v>
      </c>
      <c r="J144" s="12">
        <f t="shared" si="120"/>
        <v>0</v>
      </c>
      <c r="K144" s="12">
        <f t="shared" si="95"/>
        <v>1335.2016274041605</v>
      </c>
      <c r="L144" s="54">
        <f t="shared" si="96"/>
        <v>5.7451974167058831E-5</v>
      </c>
      <c r="M144" s="10">
        <f t="shared" si="97"/>
        <v>0.10165947733183815</v>
      </c>
      <c r="N144" s="10">
        <f t="shared" si="98"/>
        <v>4.5392532985850096E-4</v>
      </c>
      <c r="O144" s="10">
        <f t="shared" si="99"/>
        <v>1.8787570988367804E-4</v>
      </c>
      <c r="P144" s="10">
        <f t="shared" si="100"/>
        <v>1.1713227533673155E-5</v>
      </c>
      <c r="Q144" s="54">
        <f t="shared" si="101"/>
        <v>1.7325955311838243E-2</v>
      </c>
      <c r="R144" s="10">
        <f t="shared" si="102"/>
        <v>1.3432507727547391E-4</v>
      </c>
      <c r="S144" s="10">
        <f t="shared" si="103"/>
        <v>4.9121208942797955E-4</v>
      </c>
      <c r="T144" s="10">
        <f t="shared" si="104"/>
        <v>0.29738131093767056</v>
      </c>
      <c r="U144" s="10">
        <f t="shared" si="105"/>
        <v>0.68466710790942875</v>
      </c>
      <c r="V144" s="10">
        <f t="shared" si="106"/>
        <v>8.6443738403545719E-8</v>
      </c>
      <c r="W144" s="10">
        <f t="shared" si="107"/>
        <v>2.230620567258676E-9</v>
      </c>
      <c r="X144" s="163">
        <f t="shared" si="114"/>
        <v>1</v>
      </c>
      <c r="Y144" s="54">
        <f t="shared" si="108"/>
        <v>0.16445926097170985</v>
      </c>
      <c r="Z144" s="54">
        <f t="shared" si="109"/>
        <v>1.5035305816534563E-2</v>
      </c>
      <c r="AA144" s="113"/>
    </row>
    <row r="145" spans="1:27" x14ac:dyDescent="0.2">
      <c r="A145" s="20">
        <f t="shared" si="115"/>
        <v>1</v>
      </c>
      <c r="B145" s="23">
        <f t="shared" si="116"/>
        <v>0</v>
      </c>
      <c r="C145" s="12">
        <f t="shared" si="117"/>
        <v>0</v>
      </c>
      <c r="D145" s="12">
        <f t="shared" si="118"/>
        <v>1198.51644454703</v>
      </c>
      <c r="E145" s="23">
        <f t="shared" si="110"/>
        <v>7.6709969405438741E-2</v>
      </c>
      <c r="F145" s="23">
        <f t="shared" si="119"/>
        <v>135.73589957452666</v>
      </c>
      <c r="G145" s="95">
        <f t="shared" si="111"/>
        <v>0.60608183914704084</v>
      </c>
      <c r="H145" s="95">
        <f t="shared" si="112"/>
        <v>0.25085195358639883</v>
      </c>
      <c r="I145" s="95">
        <f t="shared" si="113"/>
        <v>1.5639520465115617E-2</v>
      </c>
      <c r="J145" s="12">
        <f t="shared" si="120"/>
        <v>0</v>
      </c>
      <c r="K145" s="12">
        <f t="shared" si="95"/>
        <v>1335.2016274041605</v>
      </c>
      <c r="L145" s="54">
        <f t="shared" si="96"/>
        <v>5.7451974167058831E-5</v>
      </c>
      <c r="M145" s="10">
        <f t="shared" si="97"/>
        <v>0.10165947733183815</v>
      </c>
      <c r="N145" s="10">
        <f t="shared" si="98"/>
        <v>4.5392532985850096E-4</v>
      </c>
      <c r="O145" s="10">
        <f t="shared" si="99"/>
        <v>1.8787570988367804E-4</v>
      </c>
      <c r="P145" s="10">
        <f t="shared" si="100"/>
        <v>1.1713227533673155E-5</v>
      </c>
      <c r="Q145" s="54">
        <f t="shared" si="101"/>
        <v>1.7325955311838243E-2</v>
      </c>
      <c r="R145" s="10">
        <f t="shared" si="102"/>
        <v>1.3432507727547391E-4</v>
      </c>
      <c r="S145" s="10">
        <f t="shared" si="103"/>
        <v>4.9121208942797955E-4</v>
      </c>
      <c r="T145" s="10">
        <f t="shared" si="104"/>
        <v>0.29738131093767056</v>
      </c>
      <c r="U145" s="10">
        <f t="shared" si="105"/>
        <v>0.68466710790942875</v>
      </c>
      <c r="V145" s="10">
        <f t="shared" si="106"/>
        <v>8.6443738403545719E-8</v>
      </c>
      <c r="W145" s="10">
        <f t="shared" si="107"/>
        <v>2.230620567258676E-9</v>
      </c>
      <c r="X145" s="163">
        <f t="shared" si="114"/>
        <v>1</v>
      </c>
      <c r="Y145" s="54">
        <f t="shared" si="108"/>
        <v>0.16445926097170985</v>
      </c>
      <c r="Z145" s="54">
        <f t="shared" si="109"/>
        <v>1.5035305816534563E-2</v>
      </c>
      <c r="AA145" s="113"/>
    </row>
    <row r="146" spans="1:27" x14ac:dyDescent="0.2">
      <c r="A146" s="20">
        <f t="shared" si="115"/>
        <v>1</v>
      </c>
      <c r="B146" s="23">
        <f t="shared" si="116"/>
        <v>0</v>
      </c>
      <c r="C146" s="12">
        <f t="shared" si="117"/>
        <v>0</v>
      </c>
      <c r="D146" s="12">
        <f t="shared" si="118"/>
        <v>1198.51644454703</v>
      </c>
      <c r="E146" s="23">
        <f t="shared" si="110"/>
        <v>7.6709969405438741E-2</v>
      </c>
      <c r="F146" s="23">
        <f t="shared" si="119"/>
        <v>135.73589957452666</v>
      </c>
      <c r="G146" s="95">
        <f t="shared" si="111"/>
        <v>0.60608183914704084</v>
      </c>
      <c r="H146" s="95">
        <f t="shared" si="112"/>
        <v>0.25085195358639883</v>
      </c>
      <c r="I146" s="95">
        <f t="shared" si="113"/>
        <v>1.5639520465115617E-2</v>
      </c>
      <c r="J146" s="12">
        <f t="shared" si="120"/>
        <v>0</v>
      </c>
      <c r="K146" s="12">
        <f t="shared" si="95"/>
        <v>1335.2016274041605</v>
      </c>
      <c r="L146" s="54">
        <f t="shared" si="96"/>
        <v>5.7451974167058831E-5</v>
      </c>
      <c r="M146" s="10">
        <f t="shared" si="97"/>
        <v>0.10165947733183815</v>
      </c>
      <c r="N146" s="10">
        <f t="shared" si="98"/>
        <v>4.5392532985850096E-4</v>
      </c>
      <c r="O146" s="10">
        <f t="shared" si="99"/>
        <v>1.8787570988367804E-4</v>
      </c>
      <c r="P146" s="10">
        <f t="shared" si="100"/>
        <v>1.1713227533673155E-5</v>
      </c>
      <c r="Q146" s="54">
        <f t="shared" si="101"/>
        <v>1.7325955311838243E-2</v>
      </c>
      <c r="R146" s="10">
        <f t="shared" si="102"/>
        <v>1.3432507727547391E-4</v>
      </c>
      <c r="S146" s="10">
        <f t="shared" si="103"/>
        <v>4.9121208942797955E-4</v>
      </c>
      <c r="T146" s="10">
        <f t="shared" si="104"/>
        <v>0.29738131093767056</v>
      </c>
      <c r="U146" s="10">
        <f t="shared" si="105"/>
        <v>0.68466710790942875</v>
      </c>
      <c r="V146" s="10">
        <f t="shared" si="106"/>
        <v>8.6443738403545719E-8</v>
      </c>
      <c r="W146" s="10">
        <f t="shared" si="107"/>
        <v>2.230620567258676E-9</v>
      </c>
      <c r="X146" s="163">
        <f t="shared" si="114"/>
        <v>1</v>
      </c>
      <c r="Y146" s="54">
        <f t="shared" si="108"/>
        <v>0.16445926097170985</v>
      </c>
      <c r="Z146" s="54">
        <f t="shared" si="109"/>
        <v>1.5035305816534563E-2</v>
      </c>
      <c r="AA146" s="113"/>
    </row>
    <row r="147" spans="1:27" x14ac:dyDescent="0.2">
      <c r="A147" s="20">
        <f t="shared" si="115"/>
        <v>1</v>
      </c>
      <c r="B147" s="23">
        <f t="shared" si="116"/>
        <v>0</v>
      </c>
      <c r="C147" s="12">
        <f t="shared" si="117"/>
        <v>0</v>
      </c>
      <c r="D147" s="12">
        <f t="shared" si="118"/>
        <v>1198.51644454703</v>
      </c>
      <c r="E147" s="23">
        <f t="shared" si="110"/>
        <v>7.6709969405438741E-2</v>
      </c>
      <c r="F147" s="23">
        <f t="shared" si="119"/>
        <v>135.73589957452666</v>
      </c>
      <c r="G147" s="95">
        <f t="shared" si="111"/>
        <v>0.60608183914704084</v>
      </c>
      <c r="H147" s="95">
        <f t="shared" si="112"/>
        <v>0.25085195358639883</v>
      </c>
      <c r="I147" s="95">
        <f t="shared" si="113"/>
        <v>1.5639520465115617E-2</v>
      </c>
      <c r="J147" s="12">
        <f t="shared" si="120"/>
        <v>0</v>
      </c>
      <c r="K147" s="12">
        <f t="shared" si="95"/>
        <v>1335.2016274041605</v>
      </c>
      <c r="L147" s="54">
        <f t="shared" si="96"/>
        <v>5.7451974167058831E-5</v>
      </c>
      <c r="M147" s="10">
        <f t="shared" si="97"/>
        <v>0.10165947733183815</v>
      </c>
      <c r="N147" s="10">
        <f t="shared" si="98"/>
        <v>4.5392532985850096E-4</v>
      </c>
      <c r="O147" s="10">
        <f t="shared" si="99"/>
        <v>1.8787570988367804E-4</v>
      </c>
      <c r="P147" s="10">
        <f t="shared" si="100"/>
        <v>1.1713227533673155E-5</v>
      </c>
      <c r="Q147" s="54">
        <f t="shared" si="101"/>
        <v>1.7325955311838243E-2</v>
      </c>
      <c r="R147" s="10">
        <f t="shared" si="102"/>
        <v>1.3432507727547391E-4</v>
      </c>
      <c r="S147" s="10">
        <f t="shared" si="103"/>
        <v>4.9121208942797955E-4</v>
      </c>
      <c r="T147" s="10">
        <f t="shared" si="104"/>
        <v>0.29738131093767056</v>
      </c>
      <c r="U147" s="10">
        <f t="shared" si="105"/>
        <v>0.68466710790942875</v>
      </c>
      <c r="V147" s="10">
        <f t="shared" si="106"/>
        <v>8.6443738403545719E-8</v>
      </c>
      <c r="W147" s="10">
        <f t="shared" si="107"/>
        <v>2.230620567258676E-9</v>
      </c>
      <c r="X147" s="163">
        <f t="shared" si="114"/>
        <v>1</v>
      </c>
      <c r="Y147" s="54">
        <f t="shared" si="108"/>
        <v>0.16445926097170985</v>
      </c>
      <c r="Z147" s="54">
        <f t="shared" si="109"/>
        <v>1.5035305816534563E-2</v>
      </c>
      <c r="AA147" s="113"/>
    </row>
    <row r="148" spans="1:27" x14ac:dyDescent="0.2">
      <c r="A148" s="20">
        <f t="shared" si="115"/>
        <v>1</v>
      </c>
      <c r="B148" s="23">
        <f t="shared" si="116"/>
        <v>0</v>
      </c>
      <c r="C148" s="12">
        <f t="shared" si="117"/>
        <v>0</v>
      </c>
      <c r="D148" s="12">
        <f t="shared" si="118"/>
        <v>1198.51644454703</v>
      </c>
      <c r="E148" s="23">
        <f t="shared" si="110"/>
        <v>7.6709969405438741E-2</v>
      </c>
      <c r="F148" s="23">
        <f t="shared" si="119"/>
        <v>135.73589957452666</v>
      </c>
      <c r="G148" s="95">
        <f t="shared" si="111"/>
        <v>0.60608183914704084</v>
      </c>
      <c r="H148" s="95">
        <f t="shared" si="112"/>
        <v>0.25085195358639883</v>
      </c>
      <c r="I148" s="95">
        <f t="shared" si="113"/>
        <v>1.5639520465115617E-2</v>
      </c>
      <c r="J148" s="12">
        <f t="shared" si="120"/>
        <v>0</v>
      </c>
      <c r="K148" s="12">
        <f t="shared" si="95"/>
        <v>1335.2016274041605</v>
      </c>
      <c r="L148" s="54">
        <f t="shared" si="96"/>
        <v>5.7451974167058831E-5</v>
      </c>
      <c r="M148" s="10">
        <f t="shared" si="97"/>
        <v>0.10165947733183815</v>
      </c>
      <c r="N148" s="10">
        <f t="shared" si="98"/>
        <v>4.5392532985850096E-4</v>
      </c>
      <c r="O148" s="10">
        <f t="shared" si="99"/>
        <v>1.8787570988367804E-4</v>
      </c>
      <c r="P148" s="10">
        <f t="shared" si="100"/>
        <v>1.1713227533673155E-5</v>
      </c>
      <c r="Q148" s="54">
        <f t="shared" si="101"/>
        <v>1.7325955311838243E-2</v>
      </c>
      <c r="R148" s="10">
        <f t="shared" si="102"/>
        <v>1.3432507727547391E-4</v>
      </c>
      <c r="S148" s="10">
        <f t="shared" si="103"/>
        <v>4.9121208942797955E-4</v>
      </c>
      <c r="T148" s="10">
        <f t="shared" si="104"/>
        <v>0.29738131093767056</v>
      </c>
      <c r="U148" s="10">
        <f t="shared" si="105"/>
        <v>0.68466710790942875</v>
      </c>
      <c r="V148" s="10">
        <f t="shared" si="106"/>
        <v>8.6443738403545719E-8</v>
      </c>
      <c r="W148" s="10">
        <f t="shared" si="107"/>
        <v>2.230620567258676E-9</v>
      </c>
      <c r="X148" s="163">
        <f t="shared" si="114"/>
        <v>1</v>
      </c>
      <c r="Y148" s="54">
        <f t="shared" si="108"/>
        <v>0.16445926097170985</v>
      </c>
      <c r="Z148" s="54">
        <f t="shared" si="109"/>
        <v>1.5035305816534563E-2</v>
      </c>
      <c r="AA148" s="113"/>
    </row>
    <row r="149" spans="1:27" x14ac:dyDescent="0.2">
      <c r="A149" s="20">
        <f t="shared" si="115"/>
        <v>1</v>
      </c>
      <c r="B149" s="23">
        <f t="shared" si="116"/>
        <v>0</v>
      </c>
      <c r="C149" s="12">
        <f t="shared" si="117"/>
        <v>0</v>
      </c>
      <c r="D149" s="12">
        <f t="shared" si="118"/>
        <v>1198.51644454703</v>
      </c>
      <c r="E149" s="23">
        <f t="shared" si="110"/>
        <v>7.6709969405438741E-2</v>
      </c>
      <c r="F149" s="23">
        <f t="shared" si="119"/>
        <v>135.73589957452666</v>
      </c>
      <c r="G149" s="95">
        <f t="shared" si="111"/>
        <v>0.60608183914704084</v>
      </c>
      <c r="H149" s="95">
        <f t="shared" si="112"/>
        <v>0.25085195358639883</v>
      </c>
      <c r="I149" s="95">
        <f t="shared" si="113"/>
        <v>1.5639520465115617E-2</v>
      </c>
      <c r="J149" s="12">
        <f t="shared" si="120"/>
        <v>0</v>
      </c>
      <c r="K149" s="12">
        <f t="shared" si="95"/>
        <v>1335.2016274041605</v>
      </c>
      <c r="L149" s="54">
        <f t="shared" si="96"/>
        <v>5.7451974167058831E-5</v>
      </c>
      <c r="M149" s="10">
        <f t="shared" si="97"/>
        <v>0.10165947733183815</v>
      </c>
      <c r="N149" s="10">
        <f t="shared" si="98"/>
        <v>4.5392532985850096E-4</v>
      </c>
      <c r="O149" s="10">
        <f t="shared" si="99"/>
        <v>1.8787570988367804E-4</v>
      </c>
      <c r="P149" s="10">
        <f t="shared" si="100"/>
        <v>1.1713227533673155E-5</v>
      </c>
      <c r="Q149" s="54">
        <f t="shared" si="101"/>
        <v>1.7325955311838243E-2</v>
      </c>
      <c r="R149" s="10">
        <f t="shared" si="102"/>
        <v>1.3432507727547391E-4</v>
      </c>
      <c r="S149" s="10">
        <f t="shared" si="103"/>
        <v>4.9121208942797955E-4</v>
      </c>
      <c r="T149" s="10">
        <f t="shared" si="104"/>
        <v>0.29738131093767056</v>
      </c>
      <c r="U149" s="10">
        <f t="shared" si="105"/>
        <v>0.68466710790942875</v>
      </c>
      <c r="V149" s="10">
        <f t="shared" si="106"/>
        <v>8.6443738403545719E-8</v>
      </c>
      <c r="W149" s="10">
        <f t="shared" si="107"/>
        <v>2.230620567258676E-9</v>
      </c>
      <c r="X149" s="163">
        <f t="shared" si="114"/>
        <v>1</v>
      </c>
      <c r="Y149" s="54">
        <f t="shared" si="108"/>
        <v>0.16445926097170985</v>
      </c>
      <c r="Z149" s="54">
        <f t="shared" si="109"/>
        <v>1.5035305816534563E-2</v>
      </c>
      <c r="AA149" s="113"/>
    </row>
    <row r="150" spans="1:27" x14ac:dyDescent="0.2">
      <c r="A150" s="20">
        <f t="shared" si="115"/>
        <v>1</v>
      </c>
      <c r="B150" s="23">
        <f t="shared" si="116"/>
        <v>0</v>
      </c>
      <c r="C150" s="12">
        <f t="shared" si="117"/>
        <v>0</v>
      </c>
      <c r="D150" s="12">
        <f t="shared" si="118"/>
        <v>1198.51644454703</v>
      </c>
      <c r="E150" s="23">
        <f t="shared" si="110"/>
        <v>7.6709969405438741E-2</v>
      </c>
      <c r="F150" s="23">
        <f t="shared" si="119"/>
        <v>135.73589957452666</v>
      </c>
      <c r="G150" s="95">
        <f t="shared" si="111"/>
        <v>0.60608183914704084</v>
      </c>
      <c r="H150" s="95">
        <f t="shared" si="112"/>
        <v>0.25085195358639883</v>
      </c>
      <c r="I150" s="95">
        <f t="shared" si="113"/>
        <v>1.5639520465115617E-2</v>
      </c>
      <c r="J150" s="12">
        <f t="shared" si="120"/>
        <v>0</v>
      </c>
      <c r="K150" s="12">
        <f t="shared" si="95"/>
        <v>1335.2016274041605</v>
      </c>
      <c r="L150" s="54">
        <f t="shared" si="96"/>
        <v>5.7451974167058831E-5</v>
      </c>
      <c r="M150" s="10">
        <f t="shared" si="97"/>
        <v>0.10165947733183815</v>
      </c>
      <c r="N150" s="10">
        <f t="shared" si="98"/>
        <v>4.5392532985850096E-4</v>
      </c>
      <c r="O150" s="10">
        <f t="shared" si="99"/>
        <v>1.8787570988367804E-4</v>
      </c>
      <c r="P150" s="10">
        <f t="shared" si="100"/>
        <v>1.1713227533673155E-5</v>
      </c>
      <c r="Q150" s="54">
        <f t="shared" si="101"/>
        <v>1.7325955311838243E-2</v>
      </c>
      <c r="R150" s="10">
        <f t="shared" si="102"/>
        <v>1.3432507727547391E-4</v>
      </c>
      <c r="S150" s="10">
        <f t="shared" si="103"/>
        <v>4.9121208942797955E-4</v>
      </c>
      <c r="T150" s="10">
        <f t="shared" si="104"/>
        <v>0.29738131093767056</v>
      </c>
      <c r="U150" s="10">
        <f t="shared" si="105"/>
        <v>0.68466710790942875</v>
      </c>
      <c r="V150" s="10">
        <f t="shared" si="106"/>
        <v>8.6443738403545719E-8</v>
      </c>
      <c r="W150" s="10">
        <f t="shared" si="107"/>
        <v>2.230620567258676E-9</v>
      </c>
      <c r="X150" s="163">
        <f t="shared" si="114"/>
        <v>1</v>
      </c>
      <c r="Y150" s="54">
        <f t="shared" si="108"/>
        <v>0.16445926097170985</v>
      </c>
      <c r="Z150" s="54">
        <f t="shared" si="109"/>
        <v>1.5035305816534563E-2</v>
      </c>
      <c r="AA150" s="113"/>
    </row>
    <row r="151" spans="1:27" x14ac:dyDescent="0.2">
      <c r="A151" s="20">
        <f t="shared" si="115"/>
        <v>1</v>
      </c>
      <c r="B151" s="23">
        <f t="shared" si="116"/>
        <v>0</v>
      </c>
      <c r="C151" s="12">
        <f t="shared" si="117"/>
        <v>0</v>
      </c>
      <c r="D151" s="12">
        <f t="shared" si="118"/>
        <v>1198.51644454703</v>
      </c>
      <c r="E151" s="23">
        <f t="shared" si="110"/>
        <v>7.6709969405438741E-2</v>
      </c>
      <c r="F151" s="23">
        <f t="shared" si="119"/>
        <v>135.73589957452666</v>
      </c>
      <c r="G151" s="95">
        <f t="shared" si="111"/>
        <v>0.60608183914704084</v>
      </c>
      <c r="H151" s="95">
        <f t="shared" si="112"/>
        <v>0.25085195358639883</v>
      </c>
      <c r="I151" s="95">
        <f t="shared" si="113"/>
        <v>1.5639520465115617E-2</v>
      </c>
      <c r="J151" s="12">
        <f t="shared" si="120"/>
        <v>0</v>
      </c>
      <c r="K151" s="12">
        <f t="shared" si="95"/>
        <v>1335.2016274041605</v>
      </c>
      <c r="L151" s="54">
        <f t="shared" si="96"/>
        <v>5.7451974167058831E-5</v>
      </c>
      <c r="M151" s="10">
        <f t="shared" si="97"/>
        <v>0.10165947733183815</v>
      </c>
      <c r="N151" s="10">
        <f t="shared" si="98"/>
        <v>4.5392532985850096E-4</v>
      </c>
      <c r="O151" s="10">
        <f t="shared" si="99"/>
        <v>1.8787570988367804E-4</v>
      </c>
      <c r="P151" s="10">
        <f t="shared" si="100"/>
        <v>1.1713227533673155E-5</v>
      </c>
      <c r="Q151" s="54">
        <f t="shared" si="101"/>
        <v>1.7325955311838243E-2</v>
      </c>
      <c r="R151" s="10">
        <f t="shared" si="102"/>
        <v>1.3432507727547391E-4</v>
      </c>
      <c r="S151" s="10">
        <f t="shared" si="103"/>
        <v>4.9121208942797955E-4</v>
      </c>
      <c r="T151" s="10">
        <f t="shared" si="104"/>
        <v>0.29738131093767056</v>
      </c>
      <c r="U151" s="10">
        <f t="shared" si="105"/>
        <v>0.68466710790942875</v>
      </c>
      <c r="V151" s="10">
        <f t="shared" si="106"/>
        <v>8.6443738403545719E-8</v>
      </c>
      <c r="W151" s="10">
        <f t="shared" si="107"/>
        <v>2.230620567258676E-9</v>
      </c>
      <c r="X151" s="163">
        <f t="shared" si="114"/>
        <v>1</v>
      </c>
      <c r="Y151" s="54">
        <f t="shared" si="108"/>
        <v>0.16445926097170985</v>
      </c>
      <c r="Z151" s="54">
        <f t="shared" si="109"/>
        <v>1.5035305816534563E-2</v>
      </c>
      <c r="AA151" s="113"/>
    </row>
    <row r="152" spans="1:27" x14ac:dyDescent="0.2">
      <c r="A152" s="20">
        <f t="shared" si="115"/>
        <v>1</v>
      </c>
      <c r="B152" s="23">
        <f t="shared" si="116"/>
        <v>0</v>
      </c>
      <c r="C152" s="12">
        <f t="shared" si="117"/>
        <v>0</v>
      </c>
      <c r="D152" s="12">
        <f t="shared" si="118"/>
        <v>1198.51644454703</v>
      </c>
      <c r="E152" s="23">
        <f t="shared" si="110"/>
        <v>7.6709969405438741E-2</v>
      </c>
      <c r="F152" s="23">
        <f t="shared" si="119"/>
        <v>135.73589957452666</v>
      </c>
      <c r="G152" s="95">
        <f t="shared" si="111"/>
        <v>0.60608183914704084</v>
      </c>
      <c r="H152" s="95">
        <f t="shared" si="112"/>
        <v>0.25085195358639883</v>
      </c>
      <c r="I152" s="95">
        <f t="shared" si="113"/>
        <v>1.5639520465115617E-2</v>
      </c>
      <c r="J152" s="12">
        <f t="shared" si="120"/>
        <v>0</v>
      </c>
      <c r="K152" s="12">
        <f t="shared" si="95"/>
        <v>1335.2016274041605</v>
      </c>
      <c r="L152" s="54">
        <f t="shared" si="96"/>
        <v>5.7451974167058831E-5</v>
      </c>
      <c r="M152" s="10">
        <f t="shared" si="97"/>
        <v>0.10165947733183815</v>
      </c>
      <c r="N152" s="10">
        <f t="shared" si="98"/>
        <v>4.5392532985850096E-4</v>
      </c>
      <c r="O152" s="10">
        <f t="shared" si="99"/>
        <v>1.8787570988367804E-4</v>
      </c>
      <c r="P152" s="10">
        <f t="shared" si="100"/>
        <v>1.1713227533673155E-5</v>
      </c>
      <c r="Q152" s="54">
        <f t="shared" si="101"/>
        <v>1.7325955311838243E-2</v>
      </c>
      <c r="R152" s="10">
        <f t="shared" si="102"/>
        <v>1.3432507727547391E-4</v>
      </c>
      <c r="S152" s="10">
        <f t="shared" si="103"/>
        <v>4.9121208942797955E-4</v>
      </c>
      <c r="T152" s="10">
        <f t="shared" si="104"/>
        <v>0.29738131093767056</v>
      </c>
      <c r="U152" s="10">
        <f t="shared" si="105"/>
        <v>0.68466710790942875</v>
      </c>
      <c r="V152" s="10">
        <f t="shared" si="106"/>
        <v>8.6443738403545719E-8</v>
      </c>
      <c r="W152" s="10">
        <f t="shared" si="107"/>
        <v>2.230620567258676E-9</v>
      </c>
      <c r="X152" s="163">
        <f t="shared" si="114"/>
        <v>1</v>
      </c>
      <c r="Y152" s="54">
        <f t="shared" si="108"/>
        <v>0.16445926097170985</v>
      </c>
      <c r="Z152" s="54">
        <f t="shared" si="109"/>
        <v>1.5035305816534563E-2</v>
      </c>
      <c r="AA152" s="113"/>
    </row>
    <row r="153" spans="1:27" x14ac:dyDescent="0.2">
      <c r="A153" s="20">
        <f t="shared" si="115"/>
        <v>1</v>
      </c>
      <c r="B153" s="23">
        <f t="shared" si="116"/>
        <v>0</v>
      </c>
      <c r="C153" s="12">
        <f t="shared" si="117"/>
        <v>0</v>
      </c>
      <c r="D153" s="12">
        <f t="shared" si="118"/>
        <v>1198.51644454703</v>
      </c>
      <c r="E153" s="23">
        <f t="shared" si="110"/>
        <v>7.6709969405438741E-2</v>
      </c>
      <c r="F153" s="23">
        <f t="shared" si="119"/>
        <v>135.73589957452666</v>
      </c>
      <c r="G153" s="95">
        <f t="shared" si="111"/>
        <v>0.60608183914704084</v>
      </c>
      <c r="H153" s="95">
        <f t="shared" si="112"/>
        <v>0.25085195358639883</v>
      </c>
      <c r="I153" s="95">
        <f t="shared" si="113"/>
        <v>1.5639520465115617E-2</v>
      </c>
      <c r="J153" s="12">
        <f t="shared" si="120"/>
        <v>0</v>
      </c>
      <c r="K153" s="12">
        <f t="shared" si="95"/>
        <v>1335.2016274041605</v>
      </c>
      <c r="L153" s="54">
        <f t="shared" si="96"/>
        <v>5.7451974167058831E-5</v>
      </c>
      <c r="M153" s="10">
        <f t="shared" si="97"/>
        <v>0.10165947733183815</v>
      </c>
      <c r="N153" s="10">
        <f t="shared" si="98"/>
        <v>4.5392532985850096E-4</v>
      </c>
      <c r="O153" s="10">
        <f t="shared" si="99"/>
        <v>1.8787570988367804E-4</v>
      </c>
      <c r="P153" s="10">
        <f t="shared" si="100"/>
        <v>1.1713227533673155E-5</v>
      </c>
      <c r="Q153" s="54">
        <f t="shared" si="101"/>
        <v>1.7325955311838243E-2</v>
      </c>
      <c r="R153" s="10">
        <f t="shared" si="102"/>
        <v>1.3432507727547391E-4</v>
      </c>
      <c r="S153" s="10">
        <f t="shared" si="103"/>
        <v>4.9121208942797955E-4</v>
      </c>
      <c r="T153" s="10">
        <f t="shared" si="104"/>
        <v>0.29738131093767056</v>
      </c>
      <c r="U153" s="10">
        <f t="shared" si="105"/>
        <v>0.68466710790942875</v>
      </c>
      <c r="V153" s="10">
        <f t="shared" si="106"/>
        <v>8.6443738403545719E-8</v>
      </c>
      <c r="W153" s="10">
        <f t="shared" si="107"/>
        <v>2.230620567258676E-9</v>
      </c>
      <c r="X153" s="163">
        <f t="shared" si="114"/>
        <v>1</v>
      </c>
      <c r="Y153" s="54">
        <f t="shared" si="108"/>
        <v>0.16445926097170985</v>
      </c>
      <c r="Z153" s="54">
        <f t="shared" si="109"/>
        <v>1.5035305816534563E-2</v>
      </c>
      <c r="AA153" s="113"/>
    </row>
    <row r="154" spans="1:27" x14ac:dyDescent="0.2">
      <c r="A154" s="20">
        <f t="shared" si="115"/>
        <v>1</v>
      </c>
      <c r="B154" s="23">
        <f t="shared" si="116"/>
        <v>0</v>
      </c>
      <c r="C154" s="12">
        <f t="shared" si="117"/>
        <v>0</v>
      </c>
      <c r="D154" s="12">
        <f t="shared" si="118"/>
        <v>1198.51644454703</v>
      </c>
      <c r="E154" s="23">
        <f t="shared" si="110"/>
        <v>7.6709969405438741E-2</v>
      </c>
      <c r="F154" s="23">
        <f t="shared" si="119"/>
        <v>135.73589957452666</v>
      </c>
      <c r="G154" s="95">
        <f t="shared" si="111"/>
        <v>0.60608183914704084</v>
      </c>
      <c r="H154" s="95">
        <f t="shared" si="112"/>
        <v>0.25085195358639883</v>
      </c>
      <c r="I154" s="95">
        <f t="shared" si="113"/>
        <v>1.5639520465115617E-2</v>
      </c>
      <c r="J154" s="12">
        <f t="shared" si="120"/>
        <v>0</v>
      </c>
      <c r="K154" s="12">
        <f t="shared" si="95"/>
        <v>1335.2016274041605</v>
      </c>
      <c r="L154" s="54">
        <f t="shared" si="96"/>
        <v>5.7451974167058831E-5</v>
      </c>
      <c r="M154" s="10">
        <f t="shared" si="97"/>
        <v>0.10165947733183815</v>
      </c>
      <c r="N154" s="10">
        <f t="shared" si="98"/>
        <v>4.5392532985850096E-4</v>
      </c>
      <c r="O154" s="10">
        <f t="shared" si="99"/>
        <v>1.8787570988367804E-4</v>
      </c>
      <c r="P154" s="10">
        <f t="shared" si="100"/>
        <v>1.1713227533673155E-5</v>
      </c>
      <c r="Q154" s="54">
        <f t="shared" si="101"/>
        <v>1.7325955311838243E-2</v>
      </c>
      <c r="R154" s="10">
        <f t="shared" si="102"/>
        <v>1.3432507727547391E-4</v>
      </c>
      <c r="S154" s="10">
        <f t="shared" si="103"/>
        <v>4.9121208942797955E-4</v>
      </c>
      <c r="T154" s="10">
        <f t="shared" si="104"/>
        <v>0.29738131093767056</v>
      </c>
      <c r="U154" s="10">
        <f t="shared" si="105"/>
        <v>0.68466710790942875</v>
      </c>
      <c r="V154" s="10">
        <f t="shared" si="106"/>
        <v>8.6443738403545719E-8</v>
      </c>
      <c r="W154" s="10">
        <f t="shared" si="107"/>
        <v>2.230620567258676E-9</v>
      </c>
      <c r="X154" s="163">
        <f t="shared" si="114"/>
        <v>1</v>
      </c>
      <c r="Y154" s="54">
        <f t="shared" si="108"/>
        <v>0.16445926097170985</v>
      </c>
      <c r="Z154" s="54">
        <f t="shared" si="109"/>
        <v>1.5035305816534563E-2</v>
      </c>
      <c r="AA154" s="113"/>
    </row>
    <row r="155" spans="1:27" x14ac:dyDescent="0.2">
      <c r="A155" s="20">
        <f t="shared" si="115"/>
        <v>1</v>
      </c>
      <c r="B155" s="23">
        <f t="shared" si="116"/>
        <v>0</v>
      </c>
      <c r="C155" s="12">
        <f t="shared" si="117"/>
        <v>0</v>
      </c>
      <c r="D155" s="12">
        <f t="shared" si="118"/>
        <v>1198.51644454703</v>
      </c>
      <c r="E155" s="23">
        <f t="shared" si="110"/>
        <v>7.6709969405438741E-2</v>
      </c>
      <c r="F155" s="23">
        <f t="shared" si="119"/>
        <v>135.73589957452666</v>
      </c>
      <c r="G155" s="95">
        <f t="shared" si="111"/>
        <v>0.60608183914704084</v>
      </c>
      <c r="H155" s="95">
        <f t="shared" si="112"/>
        <v>0.25085195358639883</v>
      </c>
      <c r="I155" s="95">
        <f t="shared" si="113"/>
        <v>1.5639520465115617E-2</v>
      </c>
      <c r="J155" s="12">
        <f t="shared" si="120"/>
        <v>0</v>
      </c>
      <c r="K155" s="12">
        <f t="shared" si="95"/>
        <v>1335.2016274041605</v>
      </c>
      <c r="L155" s="54">
        <f t="shared" si="96"/>
        <v>5.7451974167058831E-5</v>
      </c>
      <c r="M155" s="10">
        <f t="shared" si="97"/>
        <v>0.10165947733183815</v>
      </c>
      <c r="N155" s="10">
        <f t="shared" si="98"/>
        <v>4.5392532985850096E-4</v>
      </c>
      <c r="O155" s="10">
        <f t="shared" si="99"/>
        <v>1.8787570988367804E-4</v>
      </c>
      <c r="P155" s="10">
        <f t="shared" si="100"/>
        <v>1.1713227533673155E-5</v>
      </c>
      <c r="Q155" s="54">
        <f t="shared" si="101"/>
        <v>1.7325955311838243E-2</v>
      </c>
      <c r="R155" s="10">
        <f t="shared" si="102"/>
        <v>1.3432507727547391E-4</v>
      </c>
      <c r="S155" s="10">
        <f t="shared" si="103"/>
        <v>4.9121208942797955E-4</v>
      </c>
      <c r="T155" s="10">
        <f t="shared" si="104"/>
        <v>0.29738131093767056</v>
      </c>
      <c r="U155" s="10">
        <f t="shared" si="105"/>
        <v>0.68466710790942875</v>
      </c>
      <c r="V155" s="10">
        <f t="shared" si="106"/>
        <v>8.6443738403545719E-8</v>
      </c>
      <c r="W155" s="10">
        <f t="shared" si="107"/>
        <v>2.230620567258676E-9</v>
      </c>
      <c r="X155" s="163">
        <f t="shared" si="114"/>
        <v>1</v>
      </c>
      <c r="Y155" s="54">
        <f t="shared" si="108"/>
        <v>0.16445926097170985</v>
      </c>
      <c r="Z155" s="54">
        <f t="shared" si="109"/>
        <v>1.5035305816534563E-2</v>
      </c>
      <c r="AA155" s="113"/>
    </row>
    <row r="156" spans="1:27" x14ac:dyDescent="0.2">
      <c r="A156" s="20">
        <f t="shared" si="115"/>
        <v>1</v>
      </c>
      <c r="B156" s="23">
        <f t="shared" si="116"/>
        <v>0</v>
      </c>
      <c r="C156" s="12">
        <f t="shared" si="117"/>
        <v>0</v>
      </c>
      <c r="D156" s="12">
        <f t="shared" si="118"/>
        <v>1198.51644454703</v>
      </c>
      <c r="E156" s="23">
        <f t="shared" si="110"/>
        <v>7.6709969405438741E-2</v>
      </c>
      <c r="F156" s="23">
        <f t="shared" si="119"/>
        <v>135.73589957452666</v>
      </c>
      <c r="G156" s="95">
        <f t="shared" si="111"/>
        <v>0.60608183914704084</v>
      </c>
      <c r="H156" s="95">
        <f t="shared" si="112"/>
        <v>0.25085195358639883</v>
      </c>
      <c r="I156" s="95">
        <f t="shared" si="113"/>
        <v>1.5639520465115617E-2</v>
      </c>
      <c r="J156" s="12">
        <f t="shared" si="120"/>
        <v>0</v>
      </c>
      <c r="K156" s="12">
        <f t="shared" si="95"/>
        <v>1335.2016274041605</v>
      </c>
      <c r="L156" s="54">
        <f t="shared" si="96"/>
        <v>5.7451974167058831E-5</v>
      </c>
      <c r="M156" s="10">
        <f t="shared" si="97"/>
        <v>0.10165947733183815</v>
      </c>
      <c r="N156" s="10">
        <f t="shared" si="98"/>
        <v>4.5392532985850096E-4</v>
      </c>
      <c r="O156" s="10">
        <f t="shared" si="99"/>
        <v>1.8787570988367804E-4</v>
      </c>
      <c r="P156" s="10">
        <f t="shared" si="100"/>
        <v>1.1713227533673155E-5</v>
      </c>
      <c r="Q156" s="54">
        <f t="shared" si="101"/>
        <v>1.7325955311838243E-2</v>
      </c>
      <c r="R156" s="10">
        <f t="shared" si="102"/>
        <v>1.3432507727547391E-4</v>
      </c>
      <c r="S156" s="10">
        <f t="shared" si="103"/>
        <v>4.9121208942797955E-4</v>
      </c>
      <c r="T156" s="10">
        <f t="shared" si="104"/>
        <v>0.29738131093767056</v>
      </c>
      <c r="U156" s="10">
        <f t="shared" si="105"/>
        <v>0.68466710790942875</v>
      </c>
      <c r="V156" s="10">
        <f t="shared" si="106"/>
        <v>8.6443738403545719E-8</v>
      </c>
      <c r="W156" s="10">
        <f t="shared" si="107"/>
        <v>2.230620567258676E-9</v>
      </c>
      <c r="X156" s="163">
        <f t="shared" si="114"/>
        <v>1</v>
      </c>
      <c r="Y156" s="54">
        <f t="shared" si="108"/>
        <v>0.16445926097170985</v>
      </c>
      <c r="Z156" s="54">
        <f t="shared" si="109"/>
        <v>1.5035305816534563E-2</v>
      </c>
      <c r="AA156" s="113"/>
    </row>
    <row r="157" spans="1:27" x14ac:dyDescent="0.2">
      <c r="A157" s="20">
        <f t="shared" si="115"/>
        <v>1</v>
      </c>
      <c r="B157" s="23">
        <f t="shared" si="116"/>
        <v>0</v>
      </c>
      <c r="C157" s="12">
        <f t="shared" si="117"/>
        <v>0</v>
      </c>
      <c r="D157" s="12">
        <f t="shared" si="118"/>
        <v>1198.51644454703</v>
      </c>
      <c r="E157" s="23">
        <f t="shared" si="110"/>
        <v>7.6709969405438741E-2</v>
      </c>
      <c r="F157" s="23">
        <f t="shared" si="119"/>
        <v>135.73589957452666</v>
      </c>
      <c r="G157" s="95">
        <f t="shared" si="111"/>
        <v>0.60608183914704084</v>
      </c>
      <c r="H157" s="95">
        <f t="shared" si="112"/>
        <v>0.25085195358639883</v>
      </c>
      <c r="I157" s="95">
        <f t="shared" si="113"/>
        <v>1.5639520465115617E-2</v>
      </c>
      <c r="J157" s="12">
        <f t="shared" si="120"/>
        <v>0</v>
      </c>
      <c r="K157" s="12">
        <f t="shared" si="95"/>
        <v>1335.2016274041605</v>
      </c>
      <c r="L157" s="54">
        <f t="shared" si="96"/>
        <v>5.7451974167058831E-5</v>
      </c>
      <c r="M157" s="10">
        <f t="shared" si="97"/>
        <v>0.10165947733183815</v>
      </c>
      <c r="N157" s="10">
        <f t="shared" si="98"/>
        <v>4.5392532985850096E-4</v>
      </c>
      <c r="O157" s="10">
        <f t="shared" si="99"/>
        <v>1.8787570988367804E-4</v>
      </c>
      <c r="P157" s="10">
        <f t="shared" si="100"/>
        <v>1.1713227533673155E-5</v>
      </c>
      <c r="Q157" s="54">
        <f t="shared" si="101"/>
        <v>1.7325955311838243E-2</v>
      </c>
      <c r="R157" s="10">
        <f t="shared" si="102"/>
        <v>1.3432507727547391E-4</v>
      </c>
      <c r="S157" s="10">
        <f t="shared" si="103"/>
        <v>4.9121208942797955E-4</v>
      </c>
      <c r="T157" s="10">
        <f t="shared" si="104"/>
        <v>0.29738131093767056</v>
      </c>
      <c r="U157" s="10">
        <f t="shared" si="105"/>
        <v>0.68466710790942875</v>
      </c>
      <c r="V157" s="10">
        <f t="shared" si="106"/>
        <v>8.6443738403545719E-8</v>
      </c>
      <c r="W157" s="10">
        <f t="shared" si="107"/>
        <v>2.230620567258676E-9</v>
      </c>
      <c r="X157" s="163">
        <f t="shared" si="114"/>
        <v>1</v>
      </c>
      <c r="Y157" s="54">
        <f t="shared" si="108"/>
        <v>0.16445926097170985</v>
      </c>
      <c r="Z157" s="54">
        <f t="shared" si="109"/>
        <v>1.5035305816534563E-2</v>
      </c>
      <c r="AA157" s="113"/>
    </row>
    <row r="158" spans="1:27" x14ac:dyDescent="0.2">
      <c r="A158" s="20">
        <f t="shared" si="115"/>
        <v>1</v>
      </c>
      <c r="B158" s="23">
        <f t="shared" si="116"/>
        <v>0</v>
      </c>
      <c r="C158" s="12">
        <f t="shared" si="117"/>
        <v>0</v>
      </c>
      <c r="D158" s="12">
        <f t="shared" si="118"/>
        <v>1198.51644454703</v>
      </c>
      <c r="E158" s="23">
        <f t="shared" si="110"/>
        <v>7.6709969405438741E-2</v>
      </c>
      <c r="F158" s="23">
        <f t="shared" si="119"/>
        <v>135.73589957452666</v>
      </c>
      <c r="G158" s="95">
        <f t="shared" si="111"/>
        <v>0.60608183914704084</v>
      </c>
      <c r="H158" s="95">
        <f t="shared" si="112"/>
        <v>0.25085195358639883</v>
      </c>
      <c r="I158" s="95">
        <f t="shared" si="113"/>
        <v>1.5639520465115617E-2</v>
      </c>
      <c r="J158" s="12">
        <f t="shared" si="120"/>
        <v>0</v>
      </c>
      <c r="K158" s="12">
        <f t="shared" si="95"/>
        <v>1335.2016274041605</v>
      </c>
      <c r="L158" s="54">
        <f t="shared" si="96"/>
        <v>5.7451974167058831E-5</v>
      </c>
      <c r="M158" s="10">
        <f t="shared" si="97"/>
        <v>0.10165947733183815</v>
      </c>
      <c r="N158" s="10">
        <f t="shared" si="98"/>
        <v>4.5392532985850096E-4</v>
      </c>
      <c r="O158" s="10">
        <f t="shared" si="99"/>
        <v>1.8787570988367804E-4</v>
      </c>
      <c r="P158" s="10">
        <f t="shared" si="100"/>
        <v>1.1713227533673155E-5</v>
      </c>
      <c r="Q158" s="54">
        <f t="shared" si="101"/>
        <v>1.7325955311838243E-2</v>
      </c>
      <c r="R158" s="10">
        <f t="shared" si="102"/>
        <v>1.3432507727547391E-4</v>
      </c>
      <c r="S158" s="10">
        <f t="shared" si="103"/>
        <v>4.9121208942797955E-4</v>
      </c>
      <c r="T158" s="10">
        <f t="shared" si="104"/>
        <v>0.29738131093767056</v>
      </c>
      <c r="U158" s="10">
        <f t="shared" si="105"/>
        <v>0.68466710790942875</v>
      </c>
      <c r="V158" s="10">
        <f t="shared" si="106"/>
        <v>8.6443738403545719E-8</v>
      </c>
      <c r="W158" s="10">
        <f t="shared" si="107"/>
        <v>2.230620567258676E-9</v>
      </c>
      <c r="X158" s="163">
        <f t="shared" si="114"/>
        <v>1</v>
      </c>
      <c r="Y158" s="54">
        <f t="shared" si="108"/>
        <v>0.16445926097170985</v>
      </c>
      <c r="Z158" s="54">
        <f t="shared" si="109"/>
        <v>1.5035305816534563E-2</v>
      </c>
      <c r="AA158" s="113"/>
    </row>
    <row r="159" spans="1:27" x14ac:dyDescent="0.2">
      <c r="A159" s="20">
        <f t="shared" si="115"/>
        <v>1</v>
      </c>
      <c r="B159" s="23">
        <f t="shared" si="116"/>
        <v>0</v>
      </c>
      <c r="C159" s="12">
        <f t="shared" si="117"/>
        <v>0</v>
      </c>
      <c r="D159" s="12">
        <f t="shared" si="118"/>
        <v>1198.51644454703</v>
      </c>
      <c r="E159" s="23">
        <f t="shared" si="110"/>
        <v>7.6709969405438741E-2</v>
      </c>
      <c r="F159" s="23">
        <f t="shared" si="119"/>
        <v>135.73589957452666</v>
      </c>
      <c r="G159" s="95">
        <f t="shared" si="111"/>
        <v>0.60608183914704084</v>
      </c>
      <c r="H159" s="95">
        <f t="shared" si="112"/>
        <v>0.25085195358639883</v>
      </c>
      <c r="I159" s="95">
        <f t="shared" si="113"/>
        <v>1.5639520465115617E-2</v>
      </c>
      <c r="J159" s="12">
        <f t="shared" si="120"/>
        <v>0</v>
      </c>
      <c r="K159" s="12">
        <f t="shared" si="95"/>
        <v>1335.2016274041605</v>
      </c>
      <c r="L159" s="54">
        <f t="shared" si="96"/>
        <v>5.7451974167058831E-5</v>
      </c>
      <c r="M159" s="10">
        <f t="shared" si="97"/>
        <v>0.10165947733183815</v>
      </c>
      <c r="N159" s="10">
        <f t="shared" si="98"/>
        <v>4.5392532985850096E-4</v>
      </c>
      <c r="O159" s="10">
        <f t="shared" si="99"/>
        <v>1.8787570988367804E-4</v>
      </c>
      <c r="P159" s="10">
        <f t="shared" si="100"/>
        <v>1.1713227533673155E-5</v>
      </c>
      <c r="Q159" s="54">
        <f t="shared" si="101"/>
        <v>1.7325955311838243E-2</v>
      </c>
      <c r="R159" s="10">
        <f t="shared" si="102"/>
        <v>1.3432507727547391E-4</v>
      </c>
      <c r="S159" s="10">
        <f t="shared" si="103"/>
        <v>4.9121208942797955E-4</v>
      </c>
      <c r="T159" s="10">
        <f t="shared" si="104"/>
        <v>0.29738131093767056</v>
      </c>
      <c r="U159" s="10">
        <f t="shared" si="105"/>
        <v>0.68466710790942875</v>
      </c>
      <c r="V159" s="10">
        <f t="shared" si="106"/>
        <v>8.6443738403545719E-8</v>
      </c>
      <c r="W159" s="10">
        <f t="shared" si="107"/>
        <v>2.230620567258676E-9</v>
      </c>
      <c r="X159" s="163">
        <f t="shared" si="114"/>
        <v>1</v>
      </c>
      <c r="Y159" s="54">
        <f t="shared" si="108"/>
        <v>0.16445926097170985</v>
      </c>
      <c r="Z159" s="54">
        <f t="shared" si="109"/>
        <v>1.5035305816534563E-2</v>
      </c>
      <c r="AA159" s="113"/>
    </row>
    <row r="160" spans="1:27" x14ac:dyDescent="0.2">
      <c r="A160" s="20">
        <f t="shared" si="115"/>
        <v>1</v>
      </c>
      <c r="B160" s="23">
        <f t="shared" si="116"/>
        <v>0</v>
      </c>
      <c r="C160" s="12">
        <f t="shared" si="117"/>
        <v>0</v>
      </c>
      <c r="D160" s="12">
        <f t="shared" si="118"/>
        <v>1198.51644454703</v>
      </c>
      <c r="E160" s="23">
        <f t="shared" si="110"/>
        <v>7.6709969405438741E-2</v>
      </c>
      <c r="F160" s="23">
        <f t="shared" si="119"/>
        <v>135.73589957452666</v>
      </c>
      <c r="G160" s="95">
        <f t="shared" si="111"/>
        <v>0.60608183914704084</v>
      </c>
      <c r="H160" s="95">
        <f t="shared" si="112"/>
        <v>0.25085195358639883</v>
      </c>
      <c r="I160" s="95">
        <f t="shared" si="113"/>
        <v>1.5639520465115617E-2</v>
      </c>
      <c r="J160" s="12">
        <f t="shared" si="120"/>
        <v>0</v>
      </c>
      <c r="K160" s="12">
        <f t="shared" si="95"/>
        <v>1335.2016274041605</v>
      </c>
      <c r="L160" s="54">
        <f t="shared" si="96"/>
        <v>5.7451974167058831E-5</v>
      </c>
      <c r="M160" s="10">
        <f t="shared" si="97"/>
        <v>0.10165947733183815</v>
      </c>
      <c r="N160" s="10">
        <f t="shared" si="98"/>
        <v>4.5392532985850096E-4</v>
      </c>
      <c r="O160" s="10">
        <f t="shared" si="99"/>
        <v>1.8787570988367804E-4</v>
      </c>
      <c r="P160" s="10">
        <f t="shared" si="100"/>
        <v>1.1713227533673155E-5</v>
      </c>
      <c r="Q160" s="54">
        <f t="shared" si="101"/>
        <v>1.7325955311838243E-2</v>
      </c>
      <c r="R160" s="10">
        <f t="shared" si="102"/>
        <v>1.3432507727547391E-4</v>
      </c>
      <c r="S160" s="10">
        <f t="shared" si="103"/>
        <v>4.9121208942797955E-4</v>
      </c>
      <c r="T160" s="10">
        <f t="shared" si="104"/>
        <v>0.29738131093767056</v>
      </c>
      <c r="U160" s="10">
        <f t="shared" si="105"/>
        <v>0.68466710790942875</v>
      </c>
      <c r="V160" s="10">
        <f t="shared" si="106"/>
        <v>8.6443738403545719E-8</v>
      </c>
      <c r="W160" s="10">
        <f t="shared" si="107"/>
        <v>2.230620567258676E-9</v>
      </c>
      <c r="X160" s="163">
        <f t="shared" si="114"/>
        <v>1</v>
      </c>
      <c r="Y160" s="54">
        <f t="shared" si="108"/>
        <v>0.16445926097170985</v>
      </c>
      <c r="Z160" s="54">
        <f t="shared" si="109"/>
        <v>1.5035305816534563E-2</v>
      </c>
      <c r="AA160" s="113"/>
    </row>
    <row r="161" spans="1:27" x14ac:dyDescent="0.2">
      <c r="A161" s="20">
        <f t="shared" si="115"/>
        <v>1</v>
      </c>
      <c r="B161" s="23">
        <f t="shared" si="116"/>
        <v>0</v>
      </c>
      <c r="C161" s="12">
        <f t="shared" si="117"/>
        <v>0</v>
      </c>
      <c r="D161" s="12">
        <f t="shared" si="118"/>
        <v>1198.51644454703</v>
      </c>
      <c r="E161" s="23">
        <f t="shared" si="110"/>
        <v>7.6709969405438741E-2</v>
      </c>
      <c r="F161" s="23">
        <f t="shared" si="119"/>
        <v>135.73589957452666</v>
      </c>
      <c r="G161" s="95">
        <f t="shared" si="111"/>
        <v>0.60608183914704084</v>
      </c>
      <c r="H161" s="95">
        <f t="shared" si="112"/>
        <v>0.25085195358639883</v>
      </c>
      <c r="I161" s="95">
        <f t="shared" si="113"/>
        <v>1.5639520465115617E-2</v>
      </c>
      <c r="J161" s="12">
        <f t="shared" si="120"/>
        <v>0</v>
      </c>
      <c r="K161" s="12">
        <f t="shared" si="95"/>
        <v>1335.2016274041605</v>
      </c>
      <c r="L161" s="54">
        <f t="shared" si="96"/>
        <v>5.7451974167058831E-5</v>
      </c>
      <c r="M161" s="10">
        <f t="shared" si="97"/>
        <v>0.10165947733183815</v>
      </c>
      <c r="N161" s="10">
        <f t="shared" si="98"/>
        <v>4.5392532985850096E-4</v>
      </c>
      <c r="O161" s="10">
        <f t="shared" si="99"/>
        <v>1.8787570988367804E-4</v>
      </c>
      <c r="P161" s="10">
        <f t="shared" si="100"/>
        <v>1.1713227533673155E-5</v>
      </c>
      <c r="Q161" s="54">
        <f t="shared" si="101"/>
        <v>1.7325955311838243E-2</v>
      </c>
      <c r="R161" s="10">
        <f t="shared" si="102"/>
        <v>1.3432507727547391E-4</v>
      </c>
      <c r="S161" s="10">
        <f t="shared" si="103"/>
        <v>4.9121208942797955E-4</v>
      </c>
      <c r="T161" s="10">
        <f t="shared" si="104"/>
        <v>0.29738131093767056</v>
      </c>
      <c r="U161" s="10">
        <f t="shared" si="105"/>
        <v>0.68466710790942875</v>
      </c>
      <c r="V161" s="10">
        <f t="shared" si="106"/>
        <v>8.6443738403545719E-8</v>
      </c>
      <c r="W161" s="10">
        <f t="shared" si="107"/>
        <v>2.230620567258676E-9</v>
      </c>
      <c r="X161" s="163">
        <f t="shared" si="114"/>
        <v>1</v>
      </c>
      <c r="Y161" s="54">
        <f t="shared" si="108"/>
        <v>0.16445926097170985</v>
      </c>
      <c r="Z161" s="54">
        <f t="shared" si="109"/>
        <v>1.5035305816534563E-2</v>
      </c>
      <c r="AA161" s="113"/>
    </row>
    <row r="162" spans="1:27" x14ac:dyDescent="0.2">
      <c r="A162" s="20">
        <f t="shared" si="115"/>
        <v>1</v>
      </c>
      <c r="B162" s="23">
        <f t="shared" si="116"/>
        <v>0</v>
      </c>
      <c r="C162" s="12">
        <f t="shared" si="117"/>
        <v>0</v>
      </c>
      <c r="D162" s="12">
        <f t="shared" si="118"/>
        <v>1198.51644454703</v>
      </c>
      <c r="E162" s="23">
        <f t="shared" si="110"/>
        <v>7.6709969405438741E-2</v>
      </c>
      <c r="F162" s="23">
        <f t="shared" si="119"/>
        <v>135.73589957452666</v>
      </c>
      <c r="G162" s="95">
        <f t="shared" si="111"/>
        <v>0.60608183914704084</v>
      </c>
      <c r="H162" s="95">
        <f t="shared" si="112"/>
        <v>0.25085195358639883</v>
      </c>
      <c r="I162" s="95">
        <f t="shared" si="113"/>
        <v>1.5639520465115617E-2</v>
      </c>
      <c r="J162" s="12">
        <f t="shared" si="120"/>
        <v>0</v>
      </c>
      <c r="K162" s="12">
        <f t="shared" si="95"/>
        <v>1335.2016274041605</v>
      </c>
      <c r="L162" s="54">
        <f t="shared" si="96"/>
        <v>5.7451974167058831E-5</v>
      </c>
      <c r="M162" s="10">
        <f t="shared" si="97"/>
        <v>0.10165947733183815</v>
      </c>
      <c r="N162" s="10">
        <f t="shared" si="98"/>
        <v>4.5392532985850096E-4</v>
      </c>
      <c r="O162" s="10">
        <f t="shared" si="99"/>
        <v>1.8787570988367804E-4</v>
      </c>
      <c r="P162" s="10">
        <f t="shared" si="100"/>
        <v>1.1713227533673155E-5</v>
      </c>
      <c r="Q162" s="54">
        <f t="shared" si="101"/>
        <v>1.7325955311838243E-2</v>
      </c>
      <c r="R162" s="10">
        <f t="shared" si="102"/>
        <v>1.3432507727547391E-4</v>
      </c>
      <c r="S162" s="10">
        <f t="shared" si="103"/>
        <v>4.9121208942797955E-4</v>
      </c>
      <c r="T162" s="10">
        <f t="shared" si="104"/>
        <v>0.29738131093767056</v>
      </c>
      <c r="U162" s="10">
        <f t="shared" si="105"/>
        <v>0.68466710790942875</v>
      </c>
      <c r="V162" s="10">
        <f t="shared" si="106"/>
        <v>8.6443738403545719E-8</v>
      </c>
      <c r="W162" s="10">
        <f t="shared" si="107"/>
        <v>2.230620567258676E-9</v>
      </c>
      <c r="X162" s="163">
        <f t="shared" si="114"/>
        <v>1</v>
      </c>
      <c r="Y162" s="54">
        <f t="shared" si="108"/>
        <v>0.16445926097170985</v>
      </c>
      <c r="Z162" s="54">
        <f t="shared" si="109"/>
        <v>1.5035305816534563E-2</v>
      </c>
      <c r="AA162" s="113"/>
    </row>
    <row r="163" spans="1:27" x14ac:dyDescent="0.2">
      <c r="A163" s="20">
        <f t="shared" si="115"/>
        <v>1</v>
      </c>
      <c r="B163" s="23">
        <f t="shared" si="116"/>
        <v>0</v>
      </c>
      <c r="C163" s="12">
        <f t="shared" si="117"/>
        <v>0</v>
      </c>
      <c r="D163" s="12">
        <f t="shared" si="118"/>
        <v>1198.51644454703</v>
      </c>
      <c r="E163" s="23">
        <f t="shared" si="110"/>
        <v>7.6709969405438741E-2</v>
      </c>
      <c r="F163" s="23">
        <f t="shared" si="119"/>
        <v>135.73589957452666</v>
      </c>
      <c r="G163" s="95">
        <f t="shared" si="111"/>
        <v>0.60608183914704084</v>
      </c>
      <c r="H163" s="95">
        <f t="shared" si="112"/>
        <v>0.25085195358639883</v>
      </c>
      <c r="I163" s="95">
        <f t="shared" si="113"/>
        <v>1.5639520465115617E-2</v>
      </c>
      <c r="J163" s="12">
        <f t="shared" si="120"/>
        <v>0</v>
      </c>
      <c r="K163" s="12">
        <f t="shared" si="95"/>
        <v>1335.2016274041605</v>
      </c>
      <c r="L163" s="54">
        <f t="shared" si="96"/>
        <v>5.7451974167058831E-5</v>
      </c>
      <c r="M163" s="10">
        <f t="shared" si="97"/>
        <v>0.10165947733183815</v>
      </c>
      <c r="N163" s="10">
        <f t="shared" si="98"/>
        <v>4.5392532985850096E-4</v>
      </c>
      <c r="O163" s="10">
        <f t="shared" si="99"/>
        <v>1.8787570988367804E-4</v>
      </c>
      <c r="P163" s="10">
        <f t="shared" si="100"/>
        <v>1.1713227533673155E-5</v>
      </c>
      <c r="Q163" s="54">
        <f t="shared" si="101"/>
        <v>1.7325955311838243E-2</v>
      </c>
      <c r="R163" s="10">
        <f t="shared" si="102"/>
        <v>1.3432507727547391E-4</v>
      </c>
      <c r="S163" s="10">
        <f t="shared" si="103"/>
        <v>4.9121208942797955E-4</v>
      </c>
      <c r="T163" s="10">
        <f t="shared" si="104"/>
        <v>0.29738131093767056</v>
      </c>
      <c r="U163" s="10">
        <f t="shared" si="105"/>
        <v>0.68466710790942875</v>
      </c>
      <c r="V163" s="10">
        <f t="shared" si="106"/>
        <v>8.6443738403545719E-8</v>
      </c>
      <c r="W163" s="10">
        <f t="shared" si="107"/>
        <v>2.230620567258676E-9</v>
      </c>
      <c r="X163" s="163">
        <f t="shared" si="114"/>
        <v>1</v>
      </c>
      <c r="Y163" s="54">
        <f t="shared" si="108"/>
        <v>0.16445926097170985</v>
      </c>
      <c r="Z163" s="54">
        <f t="shared" si="109"/>
        <v>1.5035305816534563E-2</v>
      </c>
      <c r="AA163" s="113"/>
    </row>
    <row r="164" spans="1:27" x14ac:dyDescent="0.2">
      <c r="A164" s="20">
        <f t="shared" si="115"/>
        <v>1</v>
      </c>
      <c r="B164" s="23">
        <f t="shared" si="116"/>
        <v>0</v>
      </c>
      <c r="C164" s="12">
        <f t="shared" si="117"/>
        <v>0</v>
      </c>
      <c r="D164" s="12">
        <f t="shared" si="118"/>
        <v>1198.51644454703</v>
      </c>
      <c r="E164" s="23">
        <f t="shared" si="110"/>
        <v>7.6709969405438741E-2</v>
      </c>
      <c r="F164" s="23">
        <f t="shared" si="119"/>
        <v>135.73589957452666</v>
      </c>
      <c r="G164" s="95">
        <f t="shared" si="111"/>
        <v>0.60608183914704084</v>
      </c>
      <c r="H164" s="95">
        <f t="shared" si="112"/>
        <v>0.25085195358639883</v>
      </c>
      <c r="I164" s="95">
        <f t="shared" si="113"/>
        <v>1.5639520465115617E-2</v>
      </c>
      <c r="J164" s="12">
        <f t="shared" si="120"/>
        <v>0</v>
      </c>
      <c r="K164" s="12">
        <f t="shared" si="95"/>
        <v>1335.2016274041605</v>
      </c>
      <c r="L164" s="54">
        <f t="shared" si="96"/>
        <v>5.7451974167058831E-5</v>
      </c>
      <c r="M164" s="10">
        <f t="shared" si="97"/>
        <v>0.10165947733183815</v>
      </c>
      <c r="N164" s="10">
        <f t="shared" si="98"/>
        <v>4.5392532985850096E-4</v>
      </c>
      <c r="O164" s="10">
        <f t="shared" si="99"/>
        <v>1.8787570988367804E-4</v>
      </c>
      <c r="P164" s="10">
        <f t="shared" si="100"/>
        <v>1.1713227533673155E-5</v>
      </c>
      <c r="Q164" s="54">
        <f t="shared" si="101"/>
        <v>1.7325955311838243E-2</v>
      </c>
      <c r="R164" s="10">
        <f t="shared" si="102"/>
        <v>1.3432507727547391E-4</v>
      </c>
      <c r="S164" s="10">
        <f t="shared" si="103"/>
        <v>4.9121208942797955E-4</v>
      </c>
      <c r="T164" s="10">
        <f t="shared" si="104"/>
        <v>0.29738131093767056</v>
      </c>
      <c r="U164" s="10">
        <f t="shared" si="105"/>
        <v>0.68466710790942875</v>
      </c>
      <c r="V164" s="10">
        <f t="shared" si="106"/>
        <v>8.6443738403545719E-8</v>
      </c>
      <c r="W164" s="10">
        <f t="shared" si="107"/>
        <v>2.230620567258676E-9</v>
      </c>
      <c r="X164" s="163">
        <f t="shared" si="114"/>
        <v>1</v>
      </c>
      <c r="Y164" s="54">
        <f t="shared" si="108"/>
        <v>0.16445926097170985</v>
      </c>
      <c r="Z164" s="54">
        <f t="shared" si="109"/>
        <v>1.5035305816534563E-2</v>
      </c>
      <c r="AA164" s="113"/>
    </row>
    <row r="165" spans="1:27" x14ac:dyDescent="0.2">
      <c r="A165" s="20">
        <f t="shared" si="115"/>
        <v>1</v>
      </c>
      <c r="B165" s="23">
        <f t="shared" si="116"/>
        <v>0</v>
      </c>
      <c r="C165" s="12">
        <f t="shared" si="117"/>
        <v>0</v>
      </c>
      <c r="D165" s="12">
        <f t="shared" si="118"/>
        <v>1198.51644454703</v>
      </c>
      <c r="E165" s="23">
        <f t="shared" si="110"/>
        <v>7.6709969405438741E-2</v>
      </c>
      <c r="F165" s="23">
        <f t="shared" si="119"/>
        <v>135.73589957452666</v>
      </c>
      <c r="G165" s="95">
        <f t="shared" si="111"/>
        <v>0.60608183914704084</v>
      </c>
      <c r="H165" s="95">
        <f t="shared" si="112"/>
        <v>0.25085195358639883</v>
      </c>
      <c r="I165" s="95">
        <f t="shared" si="113"/>
        <v>1.5639520465115617E-2</v>
      </c>
      <c r="J165" s="12">
        <f t="shared" si="120"/>
        <v>0</v>
      </c>
      <c r="K165" s="12">
        <f t="shared" ref="K165:K196" si="121">SUM(C165:J165)</f>
        <v>1335.2016274041605</v>
      </c>
      <c r="L165" s="54">
        <f t="shared" ref="L165:L199" si="122">+E165/$K165*P_t</f>
        <v>5.7451974167058831E-5</v>
      </c>
      <c r="M165" s="10">
        <f t="shared" ref="M165:M199" si="123">+F165/$K165*P_t</f>
        <v>0.10165947733183815</v>
      </c>
      <c r="N165" s="10">
        <f t="shared" ref="N165:N199" si="124">+G165/$K165*P_t</f>
        <v>4.5392532985850096E-4</v>
      </c>
      <c r="O165" s="10">
        <f t="shared" ref="O165:O199" si="125">+H165/$K165*P_t</f>
        <v>1.8787570988367804E-4</v>
      </c>
      <c r="P165" s="10">
        <f t="shared" ref="P165:P199" si="126">+I165/$K165*P_t</f>
        <v>1.1713227533673155E-5</v>
      </c>
      <c r="Q165" s="54">
        <f t="shared" ref="Q165:Q196" si="127">1/(1+K1_*L165+K2_*M165+SQRT(K2_*K3_*M165)+1/K6_*N165+K7_*O165+P165/K10_)</f>
        <v>1.7325955311838243E-2</v>
      </c>
      <c r="R165" s="10">
        <f t="shared" ref="R165:R196" si="128">K1_*L165*Q165</f>
        <v>1.3432507727547391E-4</v>
      </c>
      <c r="S165" s="10">
        <f t="shared" ref="S165:S199" si="129">K7_*O165*Q165</f>
        <v>4.9121208942797955E-4</v>
      </c>
      <c r="T165" s="10">
        <f t="shared" ref="T165:T199" si="130">K2_*M165*Q165</f>
        <v>0.29738131093767056</v>
      </c>
      <c r="U165" s="10">
        <f t="shared" ref="U165:U199" si="131">SQRT(K2_*K3_*M165)*Q165</f>
        <v>0.68466710790942875</v>
      </c>
      <c r="V165" s="10">
        <f t="shared" ref="V165:V199" si="132">N165/K6_*Q165</f>
        <v>8.6443738403545719E-8</v>
      </c>
      <c r="W165" s="10">
        <f t="shared" ref="W165:W199" si="133">P165/K10_*Q165</f>
        <v>2.230620567258676E-9</v>
      </c>
      <c r="X165" s="163">
        <f t="shared" si="114"/>
        <v>1</v>
      </c>
      <c r="Y165" s="54">
        <f t="shared" ref="Y165:Y199" si="134">(k4f*K1_*SQRT(K2_*K3_*M165)*L165+k5f*K1_*K2_*L165*M165-k4r/K6_*N165-k5r/K6_*SQRT(K2_*K3_*M165)*N165)*Q165*Q165</f>
        <v>0.16445926097170985</v>
      </c>
      <c r="Z165" s="54">
        <f t="shared" ref="Z165:Z199" si="135">(k8f*K7_*SQRT(K2_*K3_*M165)*O165+k9f*K7_*K2_*O165*M165-k8r/K10_*P165-k9r/K10_*SQRT(K2_*K3_*M165)*P165)*Q165*Q165</f>
        <v>1.5035305816534563E-2</v>
      </c>
      <c r="AA165" s="113"/>
    </row>
    <row r="166" spans="1:27" x14ac:dyDescent="0.2">
      <c r="A166" s="20">
        <f t="shared" si="115"/>
        <v>1</v>
      </c>
      <c r="B166" s="23">
        <f t="shared" si="116"/>
        <v>0</v>
      </c>
      <c r="C166" s="12">
        <f t="shared" si="117"/>
        <v>0</v>
      </c>
      <c r="D166" s="12">
        <f t="shared" si="118"/>
        <v>1198.51644454703</v>
      </c>
      <c r="E166" s="23">
        <f t="shared" ref="E166:E199" si="136">+E165-$B165*$Y165</f>
        <v>7.6709969405438741E-2</v>
      </c>
      <c r="F166" s="23">
        <f t="shared" si="119"/>
        <v>135.73589957452666</v>
      </c>
      <c r="G166" s="95">
        <f t="shared" ref="G166:G199" si="137">+G165+$B165*$Y165</f>
        <v>0.60608183914704084</v>
      </c>
      <c r="H166" s="95">
        <f t="shared" ref="H166:H199" si="138">+H165-$B165*$Z165</f>
        <v>0.25085195358639883</v>
      </c>
      <c r="I166" s="95">
        <f t="shared" ref="I166:I199" si="139">+I165+$B165*$Z165</f>
        <v>1.5639520465115617E-2</v>
      </c>
      <c r="J166" s="12">
        <f t="shared" si="120"/>
        <v>0</v>
      </c>
      <c r="K166" s="12">
        <f t="shared" si="121"/>
        <v>1335.2016274041605</v>
      </c>
      <c r="L166" s="54">
        <f t="shared" si="122"/>
        <v>5.7451974167058831E-5</v>
      </c>
      <c r="M166" s="10">
        <f t="shared" si="123"/>
        <v>0.10165947733183815</v>
      </c>
      <c r="N166" s="10">
        <f t="shared" si="124"/>
        <v>4.5392532985850096E-4</v>
      </c>
      <c r="O166" s="10">
        <f t="shared" si="125"/>
        <v>1.8787570988367804E-4</v>
      </c>
      <c r="P166" s="10">
        <f t="shared" si="126"/>
        <v>1.1713227533673155E-5</v>
      </c>
      <c r="Q166" s="54">
        <f t="shared" si="127"/>
        <v>1.7325955311838243E-2</v>
      </c>
      <c r="R166" s="10">
        <f t="shared" si="128"/>
        <v>1.3432507727547391E-4</v>
      </c>
      <c r="S166" s="10">
        <f t="shared" si="129"/>
        <v>4.9121208942797955E-4</v>
      </c>
      <c r="T166" s="10">
        <f t="shared" si="130"/>
        <v>0.29738131093767056</v>
      </c>
      <c r="U166" s="10">
        <f t="shared" si="131"/>
        <v>0.68466710790942875</v>
      </c>
      <c r="V166" s="10">
        <f t="shared" si="132"/>
        <v>8.6443738403545719E-8</v>
      </c>
      <c r="W166" s="10">
        <f t="shared" si="133"/>
        <v>2.230620567258676E-9</v>
      </c>
      <c r="X166" s="163">
        <f t="shared" si="114"/>
        <v>1</v>
      </c>
      <c r="Y166" s="54">
        <f t="shared" si="134"/>
        <v>0.16445926097170985</v>
      </c>
      <c r="Z166" s="54">
        <f t="shared" si="135"/>
        <v>1.5035305816534563E-2</v>
      </c>
      <c r="AA166" s="113"/>
    </row>
    <row r="167" spans="1:27" x14ac:dyDescent="0.2">
      <c r="A167" s="20">
        <f t="shared" si="115"/>
        <v>1</v>
      </c>
      <c r="B167" s="23">
        <f t="shared" si="116"/>
        <v>0</v>
      </c>
      <c r="C167" s="12">
        <f t="shared" si="117"/>
        <v>0</v>
      </c>
      <c r="D167" s="12">
        <f t="shared" si="118"/>
        <v>1198.51644454703</v>
      </c>
      <c r="E167" s="23">
        <f t="shared" si="136"/>
        <v>7.6709969405438741E-2</v>
      </c>
      <c r="F167" s="23">
        <f t="shared" ref="F167:F199" si="140">+F166-$B166*(Y166/2)</f>
        <v>135.73589957452666</v>
      </c>
      <c r="G167" s="95">
        <f t="shared" si="137"/>
        <v>0.60608183914704084</v>
      </c>
      <c r="H167" s="95">
        <f t="shared" si="138"/>
        <v>0.25085195358639883</v>
      </c>
      <c r="I167" s="95">
        <f t="shared" si="139"/>
        <v>1.5639520465115617E-2</v>
      </c>
      <c r="J167" s="12">
        <f t="shared" si="120"/>
        <v>0</v>
      </c>
      <c r="K167" s="12">
        <f t="shared" si="121"/>
        <v>1335.2016274041605</v>
      </c>
      <c r="L167" s="54">
        <f t="shared" si="122"/>
        <v>5.7451974167058831E-5</v>
      </c>
      <c r="M167" s="10">
        <f t="shared" si="123"/>
        <v>0.10165947733183815</v>
      </c>
      <c r="N167" s="10">
        <f t="shared" si="124"/>
        <v>4.5392532985850096E-4</v>
      </c>
      <c r="O167" s="10">
        <f t="shared" si="125"/>
        <v>1.8787570988367804E-4</v>
      </c>
      <c r="P167" s="10">
        <f t="shared" si="126"/>
        <v>1.1713227533673155E-5</v>
      </c>
      <c r="Q167" s="54">
        <f t="shared" si="127"/>
        <v>1.7325955311838243E-2</v>
      </c>
      <c r="R167" s="10">
        <f t="shared" si="128"/>
        <v>1.3432507727547391E-4</v>
      </c>
      <c r="S167" s="10">
        <f t="shared" si="129"/>
        <v>4.9121208942797955E-4</v>
      </c>
      <c r="T167" s="10">
        <f t="shared" si="130"/>
        <v>0.29738131093767056</v>
      </c>
      <c r="U167" s="10">
        <f t="shared" si="131"/>
        <v>0.68466710790942875</v>
      </c>
      <c r="V167" s="10">
        <f t="shared" si="132"/>
        <v>8.6443738403545719E-8</v>
      </c>
      <c r="W167" s="10">
        <f t="shared" si="133"/>
        <v>2.230620567258676E-9</v>
      </c>
      <c r="X167" s="163">
        <f t="shared" si="114"/>
        <v>1</v>
      </c>
      <c r="Y167" s="54">
        <f t="shared" si="134"/>
        <v>0.16445926097170985</v>
      </c>
      <c r="Z167" s="54">
        <f t="shared" si="135"/>
        <v>1.5035305816534563E-2</v>
      </c>
      <c r="AA167" s="113"/>
    </row>
    <row r="168" spans="1:27" x14ac:dyDescent="0.2">
      <c r="A168" s="20">
        <f t="shared" si="115"/>
        <v>1</v>
      </c>
      <c r="B168" s="23">
        <f t="shared" si="116"/>
        <v>0</v>
      </c>
      <c r="C168" s="12">
        <f t="shared" si="117"/>
        <v>0</v>
      </c>
      <c r="D168" s="12">
        <f t="shared" si="118"/>
        <v>1198.51644454703</v>
      </c>
      <c r="E168" s="23">
        <f t="shared" si="136"/>
        <v>7.6709969405438741E-2</v>
      </c>
      <c r="F168" s="23">
        <f t="shared" si="140"/>
        <v>135.73589957452666</v>
      </c>
      <c r="G168" s="95">
        <f t="shared" si="137"/>
        <v>0.60608183914704084</v>
      </c>
      <c r="H168" s="95">
        <f t="shared" si="138"/>
        <v>0.25085195358639883</v>
      </c>
      <c r="I168" s="95">
        <f t="shared" si="139"/>
        <v>1.5639520465115617E-2</v>
      </c>
      <c r="J168" s="12">
        <f t="shared" si="120"/>
        <v>0</v>
      </c>
      <c r="K168" s="12">
        <f t="shared" si="121"/>
        <v>1335.2016274041605</v>
      </c>
      <c r="L168" s="54">
        <f t="shared" si="122"/>
        <v>5.7451974167058831E-5</v>
      </c>
      <c r="M168" s="10">
        <f t="shared" si="123"/>
        <v>0.10165947733183815</v>
      </c>
      <c r="N168" s="10">
        <f t="shared" si="124"/>
        <v>4.5392532985850096E-4</v>
      </c>
      <c r="O168" s="10">
        <f t="shared" si="125"/>
        <v>1.8787570988367804E-4</v>
      </c>
      <c r="P168" s="10">
        <f t="shared" si="126"/>
        <v>1.1713227533673155E-5</v>
      </c>
      <c r="Q168" s="54">
        <f t="shared" si="127"/>
        <v>1.7325955311838243E-2</v>
      </c>
      <c r="R168" s="10">
        <f t="shared" si="128"/>
        <v>1.3432507727547391E-4</v>
      </c>
      <c r="S168" s="10">
        <f t="shared" si="129"/>
        <v>4.9121208942797955E-4</v>
      </c>
      <c r="T168" s="10">
        <f t="shared" si="130"/>
        <v>0.29738131093767056</v>
      </c>
      <c r="U168" s="10">
        <f t="shared" si="131"/>
        <v>0.68466710790942875</v>
      </c>
      <c r="V168" s="10">
        <f t="shared" si="132"/>
        <v>8.6443738403545719E-8</v>
      </c>
      <c r="W168" s="10">
        <f t="shared" si="133"/>
        <v>2.230620567258676E-9</v>
      </c>
      <c r="X168" s="163">
        <f t="shared" si="114"/>
        <v>1</v>
      </c>
      <c r="Y168" s="54">
        <f t="shared" si="134"/>
        <v>0.16445926097170985</v>
      </c>
      <c r="Z168" s="54">
        <f t="shared" si="135"/>
        <v>1.5035305816534563E-2</v>
      </c>
      <c r="AA168" s="113"/>
    </row>
    <row r="169" spans="1:27" x14ac:dyDescent="0.2">
      <c r="A169" s="20">
        <f t="shared" si="115"/>
        <v>1</v>
      </c>
      <c r="B169" s="23">
        <f t="shared" si="116"/>
        <v>0</v>
      </c>
      <c r="C169" s="12">
        <f t="shared" si="117"/>
        <v>0</v>
      </c>
      <c r="D169" s="12">
        <f t="shared" si="118"/>
        <v>1198.51644454703</v>
      </c>
      <c r="E169" s="23">
        <f t="shared" si="136"/>
        <v>7.6709969405438741E-2</v>
      </c>
      <c r="F169" s="23">
        <f t="shared" si="140"/>
        <v>135.73589957452666</v>
      </c>
      <c r="G169" s="95">
        <f t="shared" si="137"/>
        <v>0.60608183914704084</v>
      </c>
      <c r="H169" s="95">
        <f t="shared" si="138"/>
        <v>0.25085195358639883</v>
      </c>
      <c r="I169" s="95">
        <f t="shared" si="139"/>
        <v>1.5639520465115617E-2</v>
      </c>
      <c r="J169" s="12">
        <f t="shared" si="120"/>
        <v>0</v>
      </c>
      <c r="K169" s="12">
        <f t="shared" si="121"/>
        <v>1335.2016274041605</v>
      </c>
      <c r="L169" s="54">
        <f t="shared" si="122"/>
        <v>5.7451974167058831E-5</v>
      </c>
      <c r="M169" s="10">
        <f t="shared" si="123"/>
        <v>0.10165947733183815</v>
      </c>
      <c r="N169" s="10">
        <f t="shared" si="124"/>
        <v>4.5392532985850096E-4</v>
      </c>
      <c r="O169" s="10">
        <f t="shared" si="125"/>
        <v>1.8787570988367804E-4</v>
      </c>
      <c r="P169" s="10">
        <f t="shared" si="126"/>
        <v>1.1713227533673155E-5</v>
      </c>
      <c r="Q169" s="54">
        <f t="shared" si="127"/>
        <v>1.7325955311838243E-2</v>
      </c>
      <c r="R169" s="10">
        <f t="shared" si="128"/>
        <v>1.3432507727547391E-4</v>
      </c>
      <c r="S169" s="10">
        <f t="shared" si="129"/>
        <v>4.9121208942797955E-4</v>
      </c>
      <c r="T169" s="10">
        <f t="shared" si="130"/>
        <v>0.29738131093767056</v>
      </c>
      <c r="U169" s="10">
        <f t="shared" si="131"/>
        <v>0.68466710790942875</v>
      </c>
      <c r="V169" s="10">
        <f t="shared" si="132"/>
        <v>8.6443738403545719E-8</v>
      </c>
      <c r="W169" s="10">
        <f t="shared" si="133"/>
        <v>2.230620567258676E-9</v>
      </c>
      <c r="X169" s="163">
        <f t="shared" si="114"/>
        <v>1</v>
      </c>
      <c r="Y169" s="54">
        <f t="shared" si="134"/>
        <v>0.16445926097170985</v>
      </c>
      <c r="Z169" s="54">
        <f t="shared" si="135"/>
        <v>1.5035305816534563E-2</v>
      </c>
      <c r="AA169" s="113"/>
    </row>
    <row r="170" spans="1:27" x14ac:dyDescent="0.2">
      <c r="A170" s="20">
        <f t="shared" si="115"/>
        <v>1</v>
      </c>
      <c r="B170" s="23">
        <f t="shared" si="116"/>
        <v>0</v>
      </c>
      <c r="C170" s="12">
        <f t="shared" si="117"/>
        <v>0</v>
      </c>
      <c r="D170" s="12">
        <f t="shared" si="118"/>
        <v>1198.51644454703</v>
      </c>
      <c r="E170" s="23">
        <f t="shared" si="136"/>
        <v>7.6709969405438741E-2</v>
      </c>
      <c r="F170" s="23">
        <f t="shared" si="140"/>
        <v>135.73589957452666</v>
      </c>
      <c r="G170" s="95">
        <f t="shared" si="137"/>
        <v>0.60608183914704084</v>
      </c>
      <c r="H170" s="95">
        <f t="shared" si="138"/>
        <v>0.25085195358639883</v>
      </c>
      <c r="I170" s="95">
        <f t="shared" si="139"/>
        <v>1.5639520465115617E-2</v>
      </c>
      <c r="J170" s="12">
        <f t="shared" si="120"/>
        <v>0</v>
      </c>
      <c r="K170" s="12">
        <f t="shared" si="121"/>
        <v>1335.2016274041605</v>
      </c>
      <c r="L170" s="54">
        <f t="shared" si="122"/>
        <v>5.7451974167058831E-5</v>
      </c>
      <c r="M170" s="10">
        <f t="shared" si="123"/>
        <v>0.10165947733183815</v>
      </c>
      <c r="N170" s="10">
        <f t="shared" si="124"/>
        <v>4.5392532985850096E-4</v>
      </c>
      <c r="O170" s="10">
        <f t="shared" si="125"/>
        <v>1.8787570988367804E-4</v>
      </c>
      <c r="P170" s="10">
        <f t="shared" si="126"/>
        <v>1.1713227533673155E-5</v>
      </c>
      <c r="Q170" s="54">
        <f t="shared" si="127"/>
        <v>1.7325955311838243E-2</v>
      </c>
      <c r="R170" s="10">
        <f t="shared" si="128"/>
        <v>1.3432507727547391E-4</v>
      </c>
      <c r="S170" s="10">
        <f t="shared" si="129"/>
        <v>4.9121208942797955E-4</v>
      </c>
      <c r="T170" s="10">
        <f t="shared" si="130"/>
        <v>0.29738131093767056</v>
      </c>
      <c r="U170" s="10">
        <f t="shared" si="131"/>
        <v>0.68466710790942875</v>
      </c>
      <c r="V170" s="10">
        <f t="shared" si="132"/>
        <v>8.6443738403545719E-8</v>
      </c>
      <c r="W170" s="10">
        <f t="shared" si="133"/>
        <v>2.230620567258676E-9</v>
      </c>
      <c r="X170" s="163">
        <f t="shared" si="114"/>
        <v>1</v>
      </c>
      <c r="Y170" s="54">
        <f t="shared" si="134"/>
        <v>0.16445926097170985</v>
      </c>
      <c r="Z170" s="54">
        <f t="shared" si="135"/>
        <v>1.5035305816534563E-2</v>
      </c>
      <c r="AA170" s="113"/>
    </row>
    <row r="171" spans="1:27" x14ac:dyDescent="0.2">
      <c r="A171" s="20">
        <f t="shared" si="115"/>
        <v>1</v>
      </c>
      <c r="B171" s="23">
        <f t="shared" si="116"/>
        <v>0</v>
      </c>
      <c r="C171" s="12">
        <f t="shared" si="117"/>
        <v>0</v>
      </c>
      <c r="D171" s="12">
        <f t="shared" si="118"/>
        <v>1198.51644454703</v>
      </c>
      <c r="E171" s="23">
        <f t="shared" si="136"/>
        <v>7.6709969405438741E-2</v>
      </c>
      <c r="F171" s="23">
        <f t="shared" si="140"/>
        <v>135.73589957452666</v>
      </c>
      <c r="G171" s="95">
        <f t="shared" si="137"/>
        <v>0.60608183914704084</v>
      </c>
      <c r="H171" s="95">
        <f t="shared" si="138"/>
        <v>0.25085195358639883</v>
      </c>
      <c r="I171" s="95">
        <f t="shared" si="139"/>
        <v>1.5639520465115617E-2</v>
      </c>
      <c r="J171" s="12">
        <f t="shared" si="120"/>
        <v>0</v>
      </c>
      <c r="K171" s="12">
        <f t="shared" si="121"/>
        <v>1335.2016274041605</v>
      </c>
      <c r="L171" s="54">
        <f t="shared" si="122"/>
        <v>5.7451974167058831E-5</v>
      </c>
      <c r="M171" s="10">
        <f t="shared" si="123"/>
        <v>0.10165947733183815</v>
      </c>
      <c r="N171" s="10">
        <f t="shared" si="124"/>
        <v>4.5392532985850096E-4</v>
      </c>
      <c r="O171" s="10">
        <f t="shared" si="125"/>
        <v>1.8787570988367804E-4</v>
      </c>
      <c r="P171" s="10">
        <f t="shared" si="126"/>
        <v>1.1713227533673155E-5</v>
      </c>
      <c r="Q171" s="54">
        <f t="shared" si="127"/>
        <v>1.7325955311838243E-2</v>
      </c>
      <c r="R171" s="10">
        <f t="shared" si="128"/>
        <v>1.3432507727547391E-4</v>
      </c>
      <c r="S171" s="10">
        <f t="shared" si="129"/>
        <v>4.9121208942797955E-4</v>
      </c>
      <c r="T171" s="10">
        <f t="shared" si="130"/>
        <v>0.29738131093767056</v>
      </c>
      <c r="U171" s="10">
        <f t="shared" si="131"/>
        <v>0.68466710790942875</v>
      </c>
      <c r="V171" s="10">
        <f t="shared" si="132"/>
        <v>8.6443738403545719E-8</v>
      </c>
      <c r="W171" s="10">
        <f t="shared" si="133"/>
        <v>2.230620567258676E-9</v>
      </c>
      <c r="X171" s="163">
        <f t="shared" si="114"/>
        <v>1</v>
      </c>
      <c r="Y171" s="54">
        <f t="shared" si="134"/>
        <v>0.16445926097170985</v>
      </c>
      <c r="Z171" s="54">
        <f t="shared" si="135"/>
        <v>1.5035305816534563E-2</v>
      </c>
      <c r="AA171" s="113"/>
    </row>
    <row r="172" spans="1:27" x14ac:dyDescent="0.2">
      <c r="A172" s="20">
        <f t="shared" si="115"/>
        <v>1</v>
      </c>
      <c r="B172" s="23">
        <f t="shared" si="116"/>
        <v>0</v>
      </c>
      <c r="C172" s="12">
        <f t="shared" si="117"/>
        <v>0</v>
      </c>
      <c r="D172" s="12">
        <f t="shared" si="118"/>
        <v>1198.51644454703</v>
      </c>
      <c r="E172" s="23">
        <f t="shared" si="136"/>
        <v>7.6709969405438741E-2</v>
      </c>
      <c r="F172" s="23">
        <f t="shared" si="140"/>
        <v>135.73589957452666</v>
      </c>
      <c r="G172" s="95">
        <f t="shared" si="137"/>
        <v>0.60608183914704084</v>
      </c>
      <c r="H172" s="95">
        <f t="shared" si="138"/>
        <v>0.25085195358639883</v>
      </c>
      <c r="I172" s="95">
        <f t="shared" si="139"/>
        <v>1.5639520465115617E-2</v>
      </c>
      <c r="J172" s="12">
        <f t="shared" si="120"/>
        <v>0</v>
      </c>
      <c r="K172" s="12">
        <f t="shared" si="121"/>
        <v>1335.2016274041605</v>
      </c>
      <c r="L172" s="54">
        <f t="shared" si="122"/>
        <v>5.7451974167058831E-5</v>
      </c>
      <c r="M172" s="10">
        <f t="shared" si="123"/>
        <v>0.10165947733183815</v>
      </c>
      <c r="N172" s="10">
        <f t="shared" si="124"/>
        <v>4.5392532985850096E-4</v>
      </c>
      <c r="O172" s="10">
        <f t="shared" si="125"/>
        <v>1.8787570988367804E-4</v>
      </c>
      <c r="P172" s="10">
        <f t="shared" si="126"/>
        <v>1.1713227533673155E-5</v>
      </c>
      <c r="Q172" s="54">
        <f t="shared" si="127"/>
        <v>1.7325955311838243E-2</v>
      </c>
      <c r="R172" s="10">
        <f t="shared" si="128"/>
        <v>1.3432507727547391E-4</v>
      </c>
      <c r="S172" s="10">
        <f t="shared" si="129"/>
        <v>4.9121208942797955E-4</v>
      </c>
      <c r="T172" s="10">
        <f t="shared" si="130"/>
        <v>0.29738131093767056</v>
      </c>
      <c r="U172" s="10">
        <f t="shared" si="131"/>
        <v>0.68466710790942875</v>
      </c>
      <c r="V172" s="10">
        <f t="shared" si="132"/>
        <v>8.6443738403545719E-8</v>
      </c>
      <c r="W172" s="10">
        <f t="shared" si="133"/>
        <v>2.230620567258676E-9</v>
      </c>
      <c r="X172" s="163">
        <f t="shared" si="114"/>
        <v>1</v>
      </c>
      <c r="Y172" s="54">
        <f t="shared" si="134"/>
        <v>0.16445926097170985</v>
      </c>
      <c r="Z172" s="54">
        <f t="shared" si="135"/>
        <v>1.5035305816534563E-2</v>
      </c>
      <c r="AA172" s="113"/>
    </row>
    <row r="173" spans="1:27" x14ac:dyDescent="0.2">
      <c r="A173" s="20">
        <f t="shared" si="115"/>
        <v>1</v>
      </c>
      <c r="B173" s="23">
        <f t="shared" si="116"/>
        <v>0</v>
      </c>
      <c r="C173" s="12">
        <f t="shared" si="117"/>
        <v>0</v>
      </c>
      <c r="D173" s="12">
        <f t="shared" si="118"/>
        <v>1198.51644454703</v>
      </c>
      <c r="E173" s="23">
        <f t="shared" si="136"/>
        <v>7.6709969405438741E-2</v>
      </c>
      <c r="F173" s="23">
        <f t="shared" si="140"/>
        <v>135.73589957452666</v>
      </c>
      <c r="G173" s="95">
        <f t="shared" si="137"/>
        <v>0.60608183914704084</v>
      </c>
      <c r="H173" s="95">
        <f t="shared" si="138"/>
        <v>0.25085195358639883</v>
      </c>
      <c r="I173" s="95">
        <f t="shared" si="139"/>
        <v>1.5639520465115617E-2</v>
      </c>
      <c r="J173" s="12">
        <f t="shared" si="120"/>
        <v>0</v>
      </c>
      <c r="K173" s="12">
        <f t="shared" si="121"/>
        <v>1335.2016274041605</v>
      </c>
      <c r="L173" s="54">
        <f t="shared" si="122"/>
        <v>5.7451974167058831E-5</v>
      </c>
      <c r="M173" s="10">
        <f t="shared" si="123"/>
        <v>0.10165947733183815</v>
      </c>
      <c r="N173" s="10">
        <f t="shared" si="124"/>
        <v>4.5392532985850096E-4</v>
      </c>
      <c r="O173" s="10">
        <f t="shared" si="125"/>
        <v>1.8787570988367804E-4</v>
      </c>
      <c r="P173" s="10">
        <f t="shared" si="126"/>
        <v>1.1713227533673155E-5</v>
      </c>
      <c r="Q173" s="54">
        <f t="shared" si="127"/>
        <v>1.7325955311838243E-2</v>
      </c>
      <c r="R173" s="10">
        <f t="shared" si="128"/>
        <v>1.3432507727547391E-4</v>
      </c>
      <c r="S173" s="10">
        <f t="shared" si="129"/>
        <v>4.9121208942797955E-4</v>
      </c>
      <c r="T173" s="10">
        <f t="shared" si="130"/>
        <v>0.29738131093767056</v>
      </c>
      <c r="U173" s="10">
        <f t="shared" si="131"/>
        <v>0.68466710790942875</v>
      </c>
      <c r="V173" s="10">
        <f t="shared" si="132"/>
        <v>8.6443738403545719E-8</v>
      </c>
      <c r="W173" s="10">
        <f t="shared" si="133"/>
        <v>2.230620567258676E-9</v>
      </c>
      <c r="X173" s="163">
        <f t="shared" si="114"/>
        <v>1</v>
      </c>
      <c r="Y173" s="54">
        <f t="shared" si="134"/>
        <v>0.16445926097170985</v>
      </c>
      <c r="Z173" s="54">
        <f t="shared" si="135"/>
        <v>1.5035305816534563E-2</v>
      </c>
      <c r="AA173" s="113"/>
    </row>
    <row r="174" spans="1:27" x14ac:dyDescent="0.2">
      <c r="A174" s="20">
        <f t="shared" si="115"/>
        <v>1</v>
      </c>
      <c r="B174" s="23">
        <f t="shared" si="116"/>
        <v>0</v>
      </c>
      <c r="C174" s="12">
        <f t="shared" si="117"/>
        <v>0</v>
      </c>
      <c r="D174" s="12">
        <f t="shared" si="118"/>
        <v>1198.51644454703</v>
      </c>
      <c r="E174" s="23">
        <f t="shared" si="136"/>
        <v>7.6709969405438741E-2</v>
      </c>
      <c r="F174" s="23">
        <f t="shared" si="140"/>
        <v>135.73589957452666</v>
      </c>
      <c r="G174" s="95">
        <f t="shared" si="137"/>
        <v>0.60608183914704084</v>
      </c>
      <c r="H174" s="95">
        <f t="shared" si="138"/>
        <v>0.25085195358639883</v>
      </c>
      <c r="I174" s="95">
        <f t="shared" si="139"/>
        <v>1.5639520465115617E-2</v>
      </c>
      <c r="J174" s="12">
        <f t="shared" si="120"/>
        <v>0</v>
      </c>
      <c r="K174" s="12">
        <f t="shared" si="121"/>
        <v>1335.2016274041605</v>
      </c>
      <c r="L174" s="54">
        <f t="shared" si="122"/>
        <v>5.7451974167058831E-5</v>
      </c>
      <c r="M174" s="10">
        <f t="shared" si="123"/>
        <v>0.10165947733183815</v>
      </c>
      <c r="N174" s="10">
        <f t="shared" si="124"/>
        <v>4.5392532985850096E-4</v>
      </c>
      <c r="O174" s="10">
        <f t="shared" si="125"/>
        <v>1.8787570988367804E-4</v>
      </c>
      <c r="P174" s="10">
        <f t="shared" si="126"/>
        <v>1.1713227533673155E-5</v>
      </c>
      <c r="Q174" s="54">
        <f t="shared" si="127"/>
        <v>1.7325955311838243E-2</v>
      </c>
      <c r="R174" s="10">
        <f t="shared" si="128"/>
        <v>1.3432507727547391E-4</v>
      </c>
      <c r="S174" s="10">
        <f t="shared" si="129"/>
        <v>4.9121208942797955E-4</v>
      </c>
      <c r="T174" s="10">
        <f t="shared" si="130"/>
        <v>0.29738131093767056</v>
      </c>
      <c r="U174" s="10">
        <f t="shared" si="131"/>
        <v>0.68466710790942875</v>
      </c>
      <c r="V174" s="10">
        <f t="shared" si="132"/>
        <v>8.6443738403545719E-8</v>
      </c>
      <c r="W174" s="10">
        <f t="shared" si="133"/>
        <v>2.230620567258676E-9</v>
      </c>
      <c r="X174" s="163">
        <f t="shared" si="114"/>
        <v>1</v>
      </c>
      <c r="Y174" s="54">
        <f t="shared" si="134"/>
        <v>0.16445926097170985</v>
      </c>
      <c r="Z174" s="54">
        <f t="shared" si="135"/>
        <v>1.5035305816534563E-2</v>
      </c>
      <c r="AA174" s="113"/>
    </row>
    <row r="175" spans="1:27" x14ac:dyDescent="0.2">
      <c r="A175" s="20">
        <f t="shared" si="115"/>
        <v>1</v>
      </c>
      <c r="B175" s="23">
        <f t="shared" si="116"/>
        <v>0</v>
      </c>
      <c r="C175" s="12">
        <f t="shared" si="117"/>
        <v>0</v>
      </c>
      <c r="D175" s="12">
        <f t="shared" si="118"/>
        <v>1198.51644454703</v>
      </c>
      <c r="E175" s="23">
        <f t="shared" si="136"/>
        <v>7.6709969405438741E-2</v>
      </c>
      <c r="F175" s="23">
        <f t="shared" si="140"/>
        <v>135.73589957452666</v>
      </c>
      <c r="G175" s="95">
        <f t="shared" si="137"/>
        <v>0.60608183914704084</v>
      </c>
      <c r="H175" s="95">
        <f t="shared" si="138"/>
        <v>0.25085195358639883</v>
      </c>
      <c r="I175" s="95">
        <f t="shared" si="139"/>
        <v>1.5639520465115617E-2</v>
      </c>
      <c r="J175" s="12">
        <f t="shared" si="120"/>
        <v>0</v>
      </c>
      <c r="K175" s="12">
        <f t="shared" si="121"/>
        <v>1335.2016274041605</v>
      </c>
      <c r="L175" s="54">
        <f t="shared" si="122"/>
        <v>5.7451974167058831E-5</v>
      </c>
      <c r="M175" s="10">
        <f t="shared" si="123"/>
        <v>0.10165947733183815</v>
      </c>
      <c r="N175" s="10">
        <f t="shared" si="124"/>
        <v>4.5392532985850096E-4</v>
      </c>
      <c r="O175" s="10">
        <f t="shared" si="125"/>
        <v>1.8787570988367804E-4</v>
      </c>
      <c r="P175" s="10">
        <f t="shared" si="126"/>
        <v>1.1713227533673155E-5</v>
      </c>
      <c r="Q175" s="54">
        <f t="shared" si="127"/>
        <v>1.7325955311838243E-2</v>
      </c>
      <c r="R175" s="10">
        <f t="shared" si="128"/>
        <v>1.3432507727547391E-4</v>
      </c>
      <c r="S175" s="10">
        <f t="shared" si="129"/>
        <v>4.9121208942797955E-4</v>
      </c>
      <c r="T175" s="10">
        <f t="shared" si="130"/>
        <v>0.29738131093767056</v>
      </c>
      <c r="U175" s="10">
        <f t="shared" si="131"/>
        <v>0.68466710790942875</v>
      </c>
      <c r="V175" s="10">
        <f t="shared" si="132"/>
        <v>8.6443738403545719E-8</v>
      </c>
      <c r="W175" s="10">
        <f t="shared" si="133"/>
        <v>2.230620567258676E-9</v>
      </c>
      <c r="X175" s="163">
        <f t="shared" si="114"/>
        <v>1</v>
      </c>
      <c r="Y175" s="54">
        <f t="shared" si="134"/>
        <v>0.16445926097170985</v>
      </c>
      <c r="Z175" s="54">
        <f t="shared" si="135"/>
        <v>1.5035305816534563E-2</v>
      </c>
      <c r="AA175" s="113"/>
    </row>
    <row r="176" spans="1:27" x14ac:dyDescent="0.2">
      <c r="A176" s="20">
        <f t="shared" si="115"/>
        <v>1</v>
      </c>
      <c r="B176" s="23">
        <f t="shared" si="116"/>
        <v>0</v>
      </c>
      <c r="C176" s="12">
        <f t="shared" si="117"/>
        <v>0</v>
      </c>
      <c r="D176" s="12">
        <f t="shared" si="118"/>
        <v>1198.51644454703</v>
      </c>
      <c r="E176" s="23">
        <f t="shared" si="136"/>
        <v>7.6709969405438741E-2</v>
      </c>
      <c r="F176" s="23">
        <f t="shared" si="140"/>
        <v>135.73589957452666</v>
      </c>
      <c r="G176" s="95">
        <f t="shared" si="137"/>
        <v>0.60608183914704084</v>
      </c>
      <c r="H176" s="95">
        <f t="shared" si="138"/>
        <v>0.25085195358639883</v>
      </c>
      <c r="I176" s="95">
        <f t="shared" si="139"/>
        <v>1.5639520465115617E-2</v>
      </c>
      <c r="J176" s="12">
        <f t="shared" si="120"/>
        <v>0</v>
      </c>
      <c r="K176" s="12">
        <f t="shared" si="121"/>
        <v>1335.2016274041605</v>
      </c>
      <c r="L176" s="54">
        <f t="shared" si="122"/>
        <v>5.7451974167058831E-5</v>
      </c>
      <c r="M176" s="10">
        <f t="shared" si="123"/>
        <v>0.10165947733183815</v>
      </c>
      <c r="N176" s="10">
        <f t="shared" si="124"/>
        <v>4.5392532985850096E-4</v>
      </c>
      <c r="O176" s="10">
        <f t="shared" si="125"/>
        <v>1.8787570988367804E-4</v>
      </c>
      <c r="P176" s="10">
        <f t="shared" si="126"/>
        <v>1.1713227533673155E-5</v>
      </c>
      <c r="Q176" s="54">
        <f t="shared" si="127"/>
        <v>1.7325955311838243E-2</v>
      </c>
      <c r="R176" s="10">
        <f t="shared" si="128"/>
        <v>1.3432507727547391E-4</v>
      </c>
      <c r="S176" s="10">
        <f t="shared" si="129"/>
        <v>4.9121208942797955E-4</v>
      </c>
      <c r="T176" s="10">
        <f t="shared" si="130"/>
        <v>0.29738131093767056</v>
      </c>
      <c r="U176" s="10">
        <f t="shared" si="131"/>
        <v>0.68466710790942875</v>
      </c>
      <c r="V176" s="10">
        <f t="shared" si="132"/>
        <v>8.6443738403545719E-8</v>
      </c>
      <c r="W176" s="10">
        <f t="shared" si="133"/>
        <v>2.230620567258676E-9</v>
      </c>
      <c r="X176" s="163">
        <f t="shared" si="114"/>
        <v>1</v>
      </c>
      <c r="Y176" s="54">
        <f t="shared" si="134"/>
        <v>0.16445926097170985</v>
      </c>
      <c r="Z176" s="54">
        <f t="shared" si="135"/>
        <v>1.5035305816534563E-2</v>
      </c>
      <c r="AA176" s="113"/>
    </row>
    <row r="177" spans="1:27" x14ac:dyDescent="0.2">
      <c r="A177" s="20">
        <f t="shared" si="115"/>
        <v>1</v>
      </c>
      <c r="B177" s="23">
        <f t="shared" si="116"/>
        <v>0</v>
      </c>
      <c r="C177" s="12">
        <f t="shared" si="117"/>
        <v>0</v>
      </c>
      <c r="D177" s="12">
        <f t="shared" si="118"/>
        <v>1198.51644454703</v>
      </c>
      <c r="E177" s="23">
        <f t="shared" si="136"/>
        <v>7.6709969405438741E-2</v>
      </c>
      <c r="F177" s="23">
        <f t="shared" si="140"/>
        <v>135.73589957452666</v>
      </c>
      <c r="G177" s="95">
        <f t="shared" si="137"/>
        <v>0.60608183914704084</v>
      </c>
      <c r="H177" s="95">
        <f t="shared" si="138"/>
        <v>0.25085195358639883</v>
      </c>
      <c r="I177" s="95">
        <f t="shared" si="139"/>
        <v>1.5639520465115617E-2</v>
      </c>
      <c r="J177" s="12">
        <f t="shared" si="120"/>
        <v>0</v>
      </c>
      <c r="K177" s="12">
        <f t="shared" si="121"/>
        <v>1335.2016274041605</v>
      </c>
      <c r="L177" s="54">
        <f t="shared" si="122"/>
        <v>5.7451974167058831E-5</v>
      </c>
      <c r="M177" s="10">
        <f t="shared" si="123"/>
        <v>0.10165947733183815</v>
      </c>
      <c r="N177" s="10">
        <f t="shared" si="124"/>
        <v>4.5392532985850096E-4</v>
      </c>
      <c r="O177" s="10">
        <f t="shared" si="125"/>
        <v>1.8787570988367804E-4</v>
      </c>
      <c r="P177" s="10">
        <f t="shared" si="126"/>
        <v>1.1713227533673155E-5</v>
      </c>
      <c r="Q177" s="54">
        <f t="shared" si="127"/>
        <v>1.7325955311838243E-2</v>
      </c>
      <c r="R177" s="10">
        <f t="shared" si="128"/>
        <v>1.3432507727547391E-4</v>
      </c>
      <c r="S177" s="10">
        <f t="shared" si="129"/>
        <v>4.9121208942797955E-4</v>
      </c>
      <c r="T177" s="10">
        <f t="shared" si="130"/>
        <v>0.29738131093767056</v>
      </c>
      <c r="U177" s="10">
        <f t="shared" si="131"/>
        <v>0.68466710790942875</v>
      </c>
      <c r="V177" s="10">
        <f t="shared" si="132"/>
        <v>8.6443738403545719E-8</v>
      </c>
      <c r="W177" s="10">
        <f t="shared" si="133"/>
        <v>2.230620567258676E-9</v>
      </c>
      <c r="X177" s="163">
        <f t="shared" si="114"/>
        <v>1</v>
      </c>
      <c r="Y177" s="54">
        <f t="shared" si="134"/>
        <v>0.16445926097170985</v>
      </c>
      <c r="Z177" s="54">
        <f t="shared" si="135"/>
        <v>1.5035305816534563E-2</v>
      </c>
      <c r="AA177" s="113"/>
    </row>
    <row r="178" spans="1:27" x14ac:dyDescent="0.2">
      <c r="A178" s="20">
        <f t="shared" si="115"/>
        <v>1</v>
      </c>
      <c r="B178" s="23">
        <f t="shared" si="116"/>
        <v>0</v>
      </c>
      <c r="C178" s="12">
        <f t="shared" si="117"/>
        <v>0</v>
      </c>
      <c r="D178" s="12">
        <f t="shared" si="118"/>
        <v>1198.51644454703</v>
      </c>
      <c r="E178" s="23">
        <f t="shared" si="136"/>
        <v>7.6709969405438741E-2</v>
      </c>
      <c r="F178" s="23">
        <f t="shared" si="140"/>
        <v>135.73589957452666</v>
      </c>
      <c r="G178" s="95">
        <f t="shared" si="137"/>
        <v>0.60608183914704084</v>
      </c>
      <c r="H178" s="95">
        <f t="shared" si="138"/>
        <v>0.25085195358639883</v>
      </c>
      <c r="I178" s="95">
        <f t="shared" si="139"/>
        <v>1.5639520465115617E-2</v>
      </c>
      <c r="J178" s="12">
        <f t="shared" si="120"/>
        <v>0</v>
      </c>
      <c r="K178" s="12">
        <f t="shared" si="121"/>
        <v>1335.2016274041605</v>
      </c>
      <c r="L178" s="54">
        <f t="shared" si="122"/>
        <v>5.7451974167058831E-5</v>
      </c>
      <c r="M178" s="10">
        <f t="shared" si="123"/>
        <v>0.10165947733183815</v>
      </c>
      <c r="N178" s="10">
        <f t="shared" si="124"/>
        <v>4.5392532985850096E-4</v>
      </c>
      <c r="O178" s="10">
        <f t="shared" si="125"/>
        <v>1.8787570988367804E-4</v>
      </c>
      <c r="P178" s="10">
        <f t="shared" si="126"/>
        <v>1.1713227533673155E-5</v>
      </c>
      <c r="Q178" s="54">
        <f t="shared" si="127"/>
        <v>1.7325955311838243E-2</v>
      </c>
      <c r="R178" s="10">
        <f t="shared" si="128"/>
        <v>1.3432507727547391E-4</v>
      </c>
      <c r="S178" s="10">
        <f t="shared" si="129"/>
        <v>4.9121208942797955E-4</v>
      </c>
      <c r="T178" s="10">
        <f t="shared" si="130"/>
        <v>0.29738131093767056</v>
      </c>
      <c r="U178" s="10">
        <f t="shared" si="131"/>
        <v>0.68466710790942875</v>
      </c>
      <c r="V178" s="10">
        <f t="shared" si="132"/>
        <v>8.6443738403545719E-8</v>
      </c>
      <c r="W178" s="10">
        <f t="shared" si="133"/>
        <v>2.230620567258676E-9</v>
      </c>
      <c r="X178" s="163">
        <f t="shared" si="114"/>
        <v>1</v>
      </c>
      <c r="Y178" s="54">
        <f t="shared" si="134"/>
        <v>0.16445926097170985</v>
      </c>
      <c r="Z178" s="54">
        <f t="shared" si="135"/>
        <v>1.5035305816534563E-2</v>
      </c>
      <c r="AA178" s="113"/>
    </row>
    <row r="179" spans="1:27" x14ac:dyDescent="0.2">
      <c r="A179" s="20">
        <f t="shared" si="115"/>
        <v>1</v>
      </c>
      <c r="B179" s="23">
        <f t="shared" si="116"/>
        <v>0</v>
      </c>
      <c r="C179" s="12">
        <f t="shared" si="117"/>
        <v>0</v>
      </c>
      <c r="D179" s="12">
        <f t="shared" si="118"/>
        <v>1198.51644454703</v>
      </c>
      <c r="E179" s="23">
        <f t="shared" si="136"/>
        <v>7.6709969405438741E-2</v>
      </c>
      <c r="F179" s="23">
        <f t="shared" si="140"/>
        <v>135.73589957452666</v>
      </c>
      <c r="G179" s="95">
        <f t="shared" si="137"/>
        <v>0.60608183914704084</v>
      </c>
      <c r="H179" s="95">
        <f t="shared" si="138"/>
        <v>0.25085195358639883</v>
      </c>
      <c r="I179" s="95">
        <f t="shared" si="139"/>
        <v>1.5639520465115617E-2</v>
      </c>
      <c r="J179" s="12">
        <f t="shared" si="120"/>
        <v>0</v>
      </c>
      <c r="K179" s="12">
        <f t="shared" si="121"/>
        <v>1335.2016274041605</v>
      </c>
      <c r="L179" s="54">
        <f t="shared" si="122"/>
        <v>5.7451974167058831E-5</v>
      </c>
      <c r="M179" s="10">
        <f t="shared" si="123"/>
        <v>0.10165947733183815</v>
      </c>
      <c r="N179" s="10">
        <f t="shared" si="124"/>
        <v>4.5392532985850096E-4</v>
      </c>
      <c r="O179" s="10">
        <f t="shared" si="125"/>
        <v>1.8787570988367804E-4</v>
      </c>
      <c r="P179" s="10">
        <f t="shared" si="126"/>
        <v>1.1713227533673155E-5</v>
      </c>
      <c r="Q179" s="54">
        <f t="shared" si="127"/>
        <v>1.7325955311838243E-2</v>
      </c>
      <c r="R179" s="10">
        <f t="shared" si="128"/>
        <v>1.3432507727547391E-4</v>
      </c>
      <c r="S179" s="10">
        <f t="shared" si="129"/>
        <v>4.9121208942797955E-4</v>
      </c>
      <c r="T179" s="10">
        <f t="shared" si="130"/>
        <v>0.29738131093767056</v>
      </c>
      <c r="U179" s="10">
        <f t="shared" si="131"/>
        <v>0.68466710790942875</v>
      </c>
      <c r="V179" s="10">
        <f t="shared" si="132"/>
        <v>8.6443738403545719E-8</v>
      </c>
      <c r="W179" s="10">
        <f t="shared" si="133"/>
        <v>2.230620567258676E-9</v>
      </c>
      <c r="X179" s="163">
        <f t="shared" si="114"/>
        <v>1</v>
      </c>
      <c r="Y179" s="54">
        <f t="shared" si="134"/>
        <v>0.16445926097170985</v>
      </c>
      <c r="Z179" s="54">
        <f t="shared" si="135"/>
        <v>1.5035305816534563E-2</v>
      </c>
      <c r="AA179" s="113"/>
    </row>
    <row r="180" spans="1:27" x14ac:dyDescent="0.2">
      <c r="A180" s="20">
        <f t="shared" si="115"/>
        <v>1</v>
      </c>
      <c r="B180" s="23">
        <f t="shared" si="116"/>
        <v>0</v>
      </c>
      <c r="C180" s="12">
        <f t="shared" si="117"/>
        <v>0</v>
      </c>
      <c r="D180" s="12">
        <f t="shared" si="118"/>
        <v>1198.51644454703</v>
      </c>
      <c r="E180" s="23">
        <f t="shared" si="136"/>
        <v>7.6709969405438741E-2</v>
      </c>
      <c r="F180" s="23">
        <f t="shared" si="140"/>
        <v>135.73589957452666</v>
      </c>
      <c r="G180" s="95">
        <f t="shared" si="137"/>
        <v>0.60608183914704084</v>
      </c>
      <c r="H180" s="95">
        <f t="shared" si="138"/>
        <v>0.25085195358639883</v>
      </c>
      <c r="I180" s="95">
        <f t="shared" si="139"/>
        <v>1.5639520465115617E-2</v>
      </c>
      <c r="J180" s="12">
        <f t="shared" si="120"/>
        <v>0</v>
      </c>
      <c r="K180" s="12">
        <f t="shared" si="121"/>
        <v>1335.2016274041605</v>
      </c>
      <c r="L180" s="54">
        <f t="shared" si="122"/>
        <v>5.7451974167058831E-5</v>
      </c>
      <c r="M180" s="10">
        <f t="shared" si="123"/>
        <v>0.10165947733183815</v>
      </c>
      <c r="N180" s="10">
        <f t="shared" si="124"/>
        <v>4.5392532985850096E-4</v>
      </c>
      <c r="O180" s="10">
        <f t="shared" si="125"/>
        <v>1.8787570988367804E-4</v>
      </c>
      <c r="P180" s="10">
        <f t="shared" si="126"/>
        <v>1.1713227533673155E-5</v>
      </c>
      <c r="Q180" s="54">
        <f t="shared" si="127"/>
        <v>1.7325955311838243E-2</v>
      </c>
      <c r="R180" s="10">
        <f t="shared" si="128"/>
        <v>1.3432507727547391E-4</v>
      </c>
      <c r="S180" s="10">
        <f t="shared" si="129"/>
        <v>4.9121208942797955E-4</v>
      </c>
      <c r="T180" s="10">
        <f t="shared" si="130"/>
        <v>0.29738131093767056</v>
      </c>
      <c r="U180" s="10">
        <f t="shared" si="131"/>
        <v>0.68466710790942875</v>
      </c>
      <c r="V180" s="10">
        <f t="shared" si="132"/>
        <v>8.6443738403545719E-8</v>
      </c>
      <c r="W180" s="10">
        <f t="shared" si="133"/>
        <v>2.230620567258676E-9</v>
      </c>
      <c r="X180" s="163">
        <f t="shared" si="114"/>
        <v>1</v>
      </c>
      <c r="Y180" s="54">
        <f t="shared" si="134"/>
        <v>0.16445926097170985</v>
      </c>
      <c r="Z180" s="54">
        <f t="shared" si="135"/>
        <v>1.5035305816534563E-2</v>
      </c>
      <c r="AA180" s="113"/>
    </row>
    <row r="181" spans="1:27" x14ac:dyDescent="0.2">
      <c r="A181" s="20">
        <f t="shared" si="115"/>
        <v>1</v>
      </c>
      <c r="B181" s="23">
        <f t="shared" si="116"/>
        <v>0</v>
      </c>
      <c r="C181" s="12">
        <f t="shared" si="117"/>
        <v>0</v>
      </c>
      <c r="D181" s="12">
        <f t="shared" si="118"/>
        <v>1198.51644454703</v>
      </c>
      <c r="E181" s="23">
        <f t="shared" si="136"/>
        <v>7.6709969405438741E-2</v>
      </c>
      <c r="F181" s="23">
        <f t="shared" si="140"/>
        <v>135.73589957452666</v>
      </c>
      <c r="G181" s="95">
        <f t="shared" si="137"/>
        <v>0.60608183914704084</v>
      </c>
      <c r="H181" s="95">
        <f t="shared" si="138"/>
        <v>0.25085195358639883</v>
      </c>
      <c r="I181" s="95">
        <f t="shared" si="139"/>
        <v>1.5639520465115617E-2</v>
      </c>
      <c r="J181" s="12">
        <f t="shared" si="120"/>
        <v>0</v>
      </c>
      <c r="K181" s="12">
        <f t="shared" si="121"/>
        <v>1335.2016274041605</v>
      </c>
      <c r="L181" s="54">
        <f t="shared" si="122"/>
        <v>5.7451974167058831E-5</v>
      </c>
      <c r="M181" s="10">
        <f t="shared" si="123"/>
        <v>0.10165947733183815</v>
      </c>
      <c r="N181" s="10">
        <f t="shared" si="124"/>
        <v>4.5392532985850096E-4</v>
      </c>
      <c r="O181" s="10">
        <f t="shared" si="125"/>
        <v>1.8787570988367804E-4</v>
      </c>
      <c r="P181" s="10">
        <f t="shared" si="126"/>
        <v>1.1713227533673155E-5</v>
      </c>
      <c r="Q181" s="54">
        <f t="shared" si="127"/>
        <v>1.7325955311838243E-2</v>
      </c>
      <c r="R181" s="10">
        <f t="shared" si="128"/>
        <v>1.3432507727547391E-4</v>
      </c>
      <c r="S181" s="10">
        <f t="shared" si="129"/>
        <v>4.9121208942797955E-4</v>
      </c>
      <c r="T181" s="10">
        <f t="shared" si="130"/>
        <v>0.29738131093767056</v>
      </c>
      <c r="U181" s="10">
        <f t="shared" si="131"/>
        <v>0.68466710790942875</v>
      </c>
      <c r="V181" s="10">
        <f t="shared" si="132"/>
        <v>8.6443738403545719E-8</v>
      </c>
      <c r="W181" s="10">
        <f t="shared" si="133"/>
        <v>2.230620567258676E-9</v>
      </c>
      <c r="X181" s="163">
        <f t="shared" si="114"/>
        <v>1</v>
      </c>
      <c r="Y181" s="54">
        <f t="shared" si="134"/>
        <v>0.16445926097170985</v>
      </c>
      <c r="Z181" s="54">
        <f t="shared" si="135"/>
        <v>1.5035305816534563E-2</v>
      </c>
      <c r="AA181" s="113"/>
    </row>
    <row r="182" spans="1:27" x14ac:dyDescent="0.2">
      <c r="A182" s="20">
        <f t="shared" si="115"/>
        <v>1</v>
      </c>
      <c r="B182" s="23">
        <f t="shared" si="116"/>
        <v>0</v>
      </c>
      <c r="C182" s="12">
        <f t="shared" si="117"/>
        <v>0</v>
      </c>
      <c r="D182" s="12">
        <f t="shared" si="118"/>
        <v>1198.51644454703</v>
      </c>
      <c r="E182" s="23">
        <f t="shared" si="136"/>
        <v>7.6709969405438741E-2</v>
      </c>
      <c r="F182" s="23">
        <f t="shared" si="140"/>
        <v>135.73589957452666</v>
      </c>
      <c r="G182" s="95">
        <f t="shared" si="137"/>
        <v>0.60608183914704084</v>
      </c>
      <c r="H182" s="95">
        <f t="shared" si="138"/>
        <v>0.25085195358639883</v>
      </c>
      <c r="I182" s="95">
        <f t="shared" si="139"/>
        <v>1.5639520465115617E-2</v>
      </c>
      <c r="J182" s="12">
        <f t="shared" si="120"/>
        <v>0</v>
      </c>
      <c r="K182" s="12">
        <f t="shared" si="121"/>
        <v>1335.2016274041605</v>
      </c>
      <c r="L182" s="54">
        <f t="shared" si="122"/>
        <v>5.7451974167058831E-5</v>
      </c>
      <c r="M182" s="10">
        <f t="shared" si="123"/>
        <v>0.10165947733183815</v>
      </c>
      <c r="N182" s="10">
        <f t="shared" si="124"/>
        <v>4.5392532985850096E-4</v>
      </c>
      <c r="O182" s="10">
        <f t="shared" si="125"/>
        <v>1.8787570988367804E-4</v>
      </c>
      <c r="P182" s="10">
        <f t="shared" si="126"/>
        <v>1.1713227533673155E-5</v>
      </c>
      <c r="Q182" s="54">
        <f t="shared" si="127"/>
        <v>1.7325955311838243E-2</v>
      </c>
      <c r="R182" s="10">
        <f t="shared" si="128"/>
        <v>1.3432507727547391E-4</v>
      </c>
      <c r="S182" s="10">
        <f t="shared" si="129"/>
        <v>4.9121208942797955E-4</v>
      </c>
      <c r="T182" s="10">
        <f t="shared" si="130"/>
        <v>0.29738131093767056</v>
      </c>
      <c r="U182" s="10">
        <f t="shared" si="131"/>
        <v>0.68466710790942875</v>
      </c>
      <c r="V182" s="10">
        <f t="shared" si="132"/>
        <v>8.6443738403545719E-8</v>
      </c>
      <c r="W182" s="10">
        <f t="shared" si="133"/>
        <v>2.230620567258676E-9</v>
      </c>
      <c r="X182" s="163">
        <f t="shared" si="114"/>
        <v>1</v>
      </c>
      <c r="Y182" s="54">
        <f t="shared" si="134"/>
        <v>0.16445926097170985</v>
      </c>
      <c r="Z182" s="54">
        <f t="shared" si="135"/>
        <v>1.5035305816534563E-2</v>
      </c>
      <c r="AA182" s="113"/>
    </row>
    <row r="183" spans="1:27" x14ac:dyDescent="0.2">
      <c r="A183" s="20">
        <f t="shared" si="115"/>
        <v>1</v>
      </c>
      <c r="B183" s="23">
        <f t="shared" si="116"/>
        <v>0</v>
      </c>
      <c r="C183" s="12">
        <f t="shared" si="117"/>
        <v>0</v>
      </c>
      <c r="D183" s="12">
        <f t="shared" si="118"/>
        <v>1198.51644454703</v>
      </c>
      <c r="E183" s="23">
        <f t="shared" si="136"/>
        <v>7.6709969405438741E-2</v>
      </c>
      <c r="F183" s="23">
        <f t="shared" si="140"/>
        <v>135.73589957452666</v>
      </c>
      <c r="G183" s="95">
        <f t="shared" si="137"/>
        <v>0.60608183914704084</v>
      </c>
      <c r="H183" s="95">
        <f t="shared" si="138"/>
        <v>0.25085195358639883</v>
      </c>
      <c r="I183" s="95">
        <f t="shared" si="139"/>
        <v>1.5639520465115617E-2</v>
      </c>
      <c r="J183" s="12">
        <f t="shared" si="120"/>
        <v>0</v>
      </c>
      <c r="K183" s="12">
        <f t="shared" si="121"/>
        <v>1335.2016274041605</v>
      </c>
      <c r="L183" s="54">
        <f t="shared" si="122"/>
        <v>5.7451974167058831E-5</v>
      </c>
      <c r="M183" s="10">
        <f t="shared" si="123"/>
        <v>0.10165947733183815</v>
      </c>
      <c r="N183" s="10">
        <f t="shared" si="124"/>
        <v>4.5392532985850096E-4</v>
      </c>
      <c r="O183" s="10">
        <f t="shared" si="125"/>
        <v>1.8787570988367804E-4</v>
      </c>
      <c r="P183" s="10">
        <f t="shared" si="126"/>
        <v>1.1713227533673155E-5</v>
      </c>
      <c r="Q183" s="54">
        <f t="shared" si="127"/>
        <v>1.7325955311838243E-2</v>
      </c>
      <c r="R183" s="10">
        <f t="shared" si="128"/>
        <v>1.3432507727547391E-4</v>
      </c>
      <c r="S183" s="10">
        <f t="shared" si="129"/>
        <v>4.9121208942797955E-4</v>
      </c>
      <c r="T183" s="10">
        <f t="shared" si="130"/>
        <v>0.29738131093767056</v>
      </c>
      <c r="U183" s="10">
        <f t="shared" si="131"/>
        <v>0.68466710790942875</v>
      </c>
      <c r="V183" s="10">
        <f t="shared" si="132"/>
        <v>8.6443738403545719E-8</v>
      </c>
      <c r="W183" s="10">
        <f t="shared" si="133"/>
        <v>2.230620567258676E-9</v>
      </c>
      <c r="X183" s="163">
        <f t="shared" si="114"/>
        <v>1</v>
      </c>
      <c r="Y183" s="54">
        <f t="shared" si="134"/>
        <v>0.16445926097170985</v>
      </c>
      <c r="Z183" s="54">
        <f t="shared" si="135"/>
        <v>1.5035305816534563E-2</v>
      </c>
      <c r="AA183" s="113"/>
    </row>
    <row r="184" spans="1:27" x14ac:dyDescent="0.2">
      <c r="A184" s="20">
        <f t="shared" si="115"/>
        <v>1</v>
      </c>
      <c r="B184" s="23">
        <f t="shared" si="116"/>
        <v>0</v>
      </c>
      <c r="C184" s="12">
        <f t="shared" si="117"/>
        <v>0</v>
      </c>
      <c r="D184" s="12">
        <f t="shared" si="118"/>
        <v>1198.51644454703</v>
      </c>
      <c r="E184" s="23">
        <f t="shared" si="136"/>
        <v>7.6709969405438741E-2</v>
      </c>
      <c r="F184" s="23">
        <f t="shared" si="140"/>
        <v>135.73589957452666</v>
      </c>
      <c r="G184" s="95">
        <f t="shared" si="137"/>
        <v>0.60608183914704084</v>
      </c>
      <c r="H184" s="95">
        <f t="shared" si="138"/>
        <v>0.25085195358639883</v>
      </c>
      <c r="I184" s="95">
        <f t="shared" si="139"/>
        <v>1.5639520465115617E-2</v>
      </c>
      <c r="J184" s="12">
        <f t="shared" si="120"/>
        <v>0</v>
      </c>
      <c r="K184" s="12">
        <f t="shared" si="121"/>
        <v>1335.2016274041605</v>
      </c>
      <c r="L184" s="54">
        <f t="shared" si="122"/>
        <v>5.7451974167058831E-5</v>
      </c>
      <c r="M184" s="10">
        <f t="shared" si="123"/>
        <v>0.10165947733183815</v>
      </c>
      <c r="N184" s="10">
        <f t="shared" si="124"/>
        <v>4.5392532985850096E-4</v>
      </c>
      <c r="O184" s="10">
        <f t="shared" si="125"/>
        <v>1.8787570988367804E-4</v>
      </c>
      <c r="P184" s="10">
        <f t="shared" si="126"/>
        <v>1.1713227533673155E-5</v>
      </c>
      <c r="Q184" s="54">
        <f t="shared" si="127"/>
        <v>1.7325955311838243E-2</v>
      </c>
      <c r="R184" s="10">
        <f t="shared" si="128"/>
        <v>1.3432507727547391E-4</v>
      </c>
      <c r="S184" s="10">
        <f t="shared" si="129"/>
        <v>4.9121208942797955E-4</v>
      </c>
      <c r="T184" s="10">
        <f t="shared" si="130"/>
        <v>0.29738131093767056</v>
      </c>
      <c r="U184" s="10">
        <f t="shared" si="131"/>
        <v>0.68466710790942875</v>
      </c>
      <c r="V184" s="10">
        <f t="shared" si="132"/>
        <v>8.6443738403545719E-8</v>
      </c>
      <c r="W184" s="10">
        <f t="shared" si="133"/>
        <v>2.230620567258676E-9</v>
      </c>
      <c r="X184" s="163">
        <f t="shared" si="114"/>
        <v>1</v>
      </c>
      <c r="Y184" s="54">
        <f t="shared" si="134"/>
        <v>0.16445926097170985</v>
      </c>
      <c r="Z184" s="54">
        <f t="shared" si="135"/>
        <v>1.5035305816534563E-2</v>
      </c>
      <c r="AA184" s="113"/>
    </row>
    <row r="185" spans="1:27" x14ac:dyDescent="0.2">
      <c r="A185" s="20">
        <f t="shared" si="115"/>
        <v>1</v>
      </c>
      <c r="B185" s="23">
        <f t="shared" si="116"/>
        <v>0</v>
      </c>
      <c r="C185" s="12">
        <f t="shared" si="117"/>
        <v>0</v>
      </c>
      <c r="D185" s="12">
        <f t="shared" si="118"/>
        <v>1198.51644454703</v>
      </c>
      <c r="E185" s="23">
        <f t="shared" si="136"/>
        <v>7.6709969405438741E-2</v>
      </c>
      <c r="F185" s="23">
        <f t="shared" si="140"/>
        <v>135.73589957452666</v>
      </c>
      <c r="G185" s="95">
        <f t="shared" si="137"/>
        <v>0.60608183914704084</v>
      </c>
      <c r="H185" s="95">
        <f t="shared" si="138"/>
        <v>0.25085195358639883</v>
      </c>
      <c r="I185" s="95">
        <f t="shared" si="139"/>
        <v>1.5639520465115617E-2</v>
      </c>
      <c r="J185" s="12">
        <f t="shared" si="120"/>
        <v>0</v>
      </c>
      <c r="K185" s="12">
        <f t="shared" si="121"/>
        <v>1335.2016274041605</v>
      </c>
      <c r="L185" s="54">
        <f t="shared" si="122"/>
        <v>5.7451974167058831E-5</v>
      </c>
      <c r="M185" s="10">
        <f t="shared" si="123"/>
        <v>0.10165947733183815</v>
      </c>
      <c r="N185" s="10">
        <f t="shared" si="124"/>
        <v>4.5392532985850096E-4</v>
      </c>
      <c r="O185" s="10">
        <f t="shared" si="125"/>
        <v>1.8787570988367804E-4</v>
      </c>
      <c r="P185" s="10">
        <f t="shared" si="126"/>
        <v>1.1713227533673155E-5</v>
      </c>
      <c r="Q185" s="54">
        <f t="shared" si="127"/>
        <v>1.7325955311838243E-2</v>
      </c>
      <c r="R185" s="10">
        <f t="shared" si="128"/>
        <v>1.3432507727547391E-4</v>
      </c>
      <c r="S185" s="10">
        <f t="shared" si="129"/>
        <v>4.9121208942797955E-4</v>
      </c>
      <c r="T185" s="10">
        <f t="shared" si="130"/>
        <v>0.29738131093767056</v>
      </c>
      <c r="U185" s="10">
        <f t="shared" si="131"/>
        <v>0.68466710790942875</v>
      </c>
      <c r="V185" s="10">
        <f t="shared" si="132"/>
        <v>8.6443738403545719E-8</v>
      </c>
      <c r="W185" s="10">
        <f t="shared" si="133"/>
        <v>2.230620567258676E-9</v>
      </c>
      <c r="X185" s="163">
        <f t="shared" si="114"/>
        <v>1</v>
      </c>
      <c r="Y185" s="54">
        <f t="shared" si="134"/>
        <v>0.16445926097170985</v>
      </c>
      <c r="Z185" s="54">
        <f t="shared" si="135"/>
        <v>1.5035305816534563E-2</v>
      </c>
      <c r="AA185" s="113"/>
    </row>
    <row r="186" spans="1:27" x14ac:dyDescent="0.2">
      <c r="A186" s="20">
        <f t="shared" si="115"/>
        <v>1</v>
      </c>
      <c r="B186" s="23">
        <f t="shared" si="116"/>
        <v>0</v>
      </c>
      <c r="C186" s="12">
        <f t="shared" si="117"/>
        <v>0</v>
      </c>
      <c r="D186" s="12">
        <f t="shared" si="118"/>
        <v>1198.51644454703</v>
      </c>
      <c r="E186" s="23">
        <f t="shared" si="136"/>
        <v>7.6709969405438741E-2</v>
      </c>
      <c r="F186" s="23">
        <f t="shared" si="140"/>
        <v>135.73589957452666</v>
      </c>
      <c r="G186" s="95">
        <f t="shared" si="137"/>
        <v>0.60608183914704084</v>
      </c>
      <c r="H186" s="95">
        <f t="shared" si="138"/>
        <v>0.25085195358639883</v>
      </c>
      <c r="I186" s="95">
        <f t="shared" si="139"/>
        <v>1.5639520465115617E-2</v>
      </c>
      <c r="J186" s="12">
        <f t="shared" si="120"/>
        <v>0</v>
      </c>
      <c r="K186" s="12">
        <f t="shared" si="121"/>
        <v>1335.2016274041605</v>
      </c>
      <c r="L186" s="54">
        <f t="shared" si="122"/>
        <v>5.7451974167058831E-5</v>
      </c>
      <c r="M186" s="10">
        <f t="shared" si="123"/>
        <v>0.10165947733183815</v>
      </c>
      <c r="N186" s="10">
        <f t="shared" si="124"/>
        <v>4.5392532985850096E-4</v>
      </c>
      <c r="O186" s="10">
        <f t="shared" si="125"/>
        <v>1.8787570988367804E-4</v>
      </c>
      <c r="P186" s="10">
        <f t="shared" si="126"/>
        <v>1.1713227533673155E-5</v>
      </c>
      <c r="Q186" s="54">
        <f t="shared" si="127"/>
        <v>1.7325955311838243E-2</v>
      </c>
      <c r="R186" s="10">
        <f t="shared" si="128"/>
        <v>1.3432507727547391E-4</v>
      </c>
      <c r="S186" s="10">
        <f t="shared" si="129"/>
        <v>4.9121208942797955E-4</v>
      </c>
      <c r="T186" s="10">
        <f t="shared" si="130"/>
        <v>0.29738131093767056</v>
      </c>
      <c r="U186" s="10">
        <f t="shared" si="131"/>
        <v>0.68466710790942875</v>
      </c>
      <c r="V186" s="10">
        <f t="shared" si="132"/>
        <v>8.6443738403545719E-8</v>
      </c>
      <c r="W186" s="10">
        <f t="shared" si="133"/>
        <v>2.230620567258676E-9</v>
      </c>
      <c r="X186" s="163">
        <f t="shared" si="114"/>
        <v>1</v>
      </c>
      <c r="Y186" s="54">
        <f t="shared" si="134"/>
        <v>0.16445926097170985</v>
      </c>
      <c r="Z186" s="54">
        <f t="shared" si="135"/>
        <v>1.5035305816534563E-2</v>
      </c>
      <c r="AA186" s="113"/>
    </row>
    <row r="187" spans="1:27" x14ac:dyDescent="0.2">
      <c r="A187" s="20">
        <f t="shared" si="115"/>
        <v>1</v>
      </c>
      <c r="B187" s="23">
        <f t="shared" si="116"/>
        <v>0</v>
      </c>
      <c r="C187" s="12">
        <f t="shared" si="117"/>
        <v>0</v>
      </c>
      <c r="D187" s="12">
        <f t="shared" si="118"/>
        <v>1198.51644454703</v>
      </c>
      <c r="E187" s="23">
        <f t="shared" si="136"/>
        <v>7.6709969405438741E-2</v>
      </c>
      <c r="F187" s="23">
        <f t="shared" si="140"/>
        <v>135.73589957452666</v>
      </c>
      <c r="G187" s="95">
        <f t="shared" si="137"/>
        <v>0.60608183914704084</v>
      </c>
      <c r="H187" s="95">
        <f t="shared" si="138"/>
        <v>0.25085195358639883</v>
      </c>
      <c r="I187" s="95">
        <f t="shared" si="139"/>
        <v>1.5639520465115617E-2</v>
      </c>
      <c r="J187" s="12">
        <f t="shared" si="120"/>
        <v>0</v>
      </c>
      <c r="K187" s="12">
        <f t="shared" si="121"/>
        <v>1335.2016274041605</v>
      </c>
      <c r="L187" s="54">
        <f t="shared" si="122"/>
        <v>5.7451974167058831E-5</v>
      </c>
      <c r="M187" s="10">
        <f t="shared" si="123"/>
        <v>0.10165947733183815</v>
      </c>
      <c r="N187" s="10">
        <f t="shared" si="124"/>
        <v>4.5392532985850096E-4</v>
      </c>
      <c r="O187" s="10">
        <f t="shared" si="125"/>
        <v>1.8787570988367804E-4</v>
      </c>
      <c r="P187" s="10">
        <f t="shared" si="126"/>
        <v>1.1713227533673155E-5</v>
      </c>
      <c r="Q187" s="54">
        <f t="shared" si="127"/>
        <v>1.7325955311838243E-2</v>
      </c>
      <c r="R187" s="10">
        <f t="shared" si="128"/>
        <v>1.3432507727547391E-4</v>
      </c>
      <c r="S187" s="10">
        <f t="shared" si="129"/>
        <v>4.9121208942797955E-4</v>
      </c>
      <c r="T187" s="10">
        <f t="shared" si="130"/>
        <v>0.29738131093767056</v>
      </c>
      <c r="U187" s="10">
        <f t="shared" si="131"/>
        <v>0.68466710790942875</v>
      </c>
      <c r="V187" s="10">
        <f t="shared" si="132"/>
        <v>8.6443738403545719E-8</v>
      </c>
      <c r="W187" s="10">
        <f t="shared" si="133"/>
        <v>2.230620567258676E-9</v>
      </c>
      <c r="X187" s="163">
        <f t="shared" si="114"/>
        <v>1</v>
      </c>
      <c r="Y187" s="54">
        <f t="shared" si="134"/>
        <v>0.16445926097170985</v>
      </c>
      <c r="Z187" s="54">
        <f t="shared" si="135"/>
        <v>1.5035305816534563E-2</v>
      </c>
      <c r="AA187" s="113"/>
    </row>
    <row r="188" spans="1:27" x14ac:dyDescent="0.2">
      <c r="A188" s="20">
        <f t="shared" si="115"/>
        <v>1</v>
      </c>
      <c r="B188" s="23">
        <f t="shared" si="116"/>
        <v>0</v>
      </c>
      <c r="C188" s="12">
        <f t="shared" si="117"/>
        <v>0</v>
      </c>
      <c r="D188" s="12">
        <f t="shared" si="118"/>
        <v>1198.51644454703</v>
      </c>
      <c r="E188" s="23">
        <f t="shared" si="136"/>
        <v>7.6709969405438741E-2</v>
      </c>
      <c r="F188" s="23">
        <f t="shared" si="140"/>
        <v>135.73589957452666</v>
      </c>
      <c r="G188" s="95">
        <f t="shared" si="137"/>
        <v>0.60608183914704084</v>
      </c>
      <c r="H188" s="95">
        <f t="shared" si="138"/>
        <v>0.25085195358639883</v>
      </c>
      <c r="I188" s="95">
        <f t="shared" si="139"/>
        <v>1.5639520465115617E-2</v>
      </c>
      <c r="J188" s="12">
        <f t="shared" si="120"/>
        <v>0</v>
      </c>
      <c r="K188" s="12">
        <f t="shared" si="121"/>
        <v>1335.2016274041605</v>
      </c>
      <c r="L188" s="54">
        <f t="shared" si="122"/>
        <v>5.7451974167058831E-5</v>
      </c>
      <c r="M188" s="10">
        <f t="shared" si="123"/>
        <v>0.10165947733183815</v>
      </c>
      <c r="N188" s="10">
        <f t="shared" si="124"/>
        <v>4.5392532985850096E-4</v>
      </c>
      <c r="O188" s="10">
        <f t="shared" si="125"/>
        <v>1.8787570988367804E-4</v>
      </c>
      <c r="P188" s="10">
        <f t="shared" si="126"/>
        <v>1.1713227533673155E-5</v>
      </c>
      <c r="Q188" s="54">
        <f t="shared" si="127"/>
        <v>1.7325955311838243E-2</v>
      </c>
      <c r="R188" s="10">
        <f t="shared" si="128"/>
        <v>1.3432507727547391E-4</v>
      </c>
      <c r="S188" s="10">
        <f t="shared" si="129"/>
        <v>4.9121208942797955E-4</v>
      </c>
      <c r="T188" s="10">
        <f t="shared" si="130"/>
        <v>0.29738131093767056</v>
      </c>
      <c r="U188" s="10">
        <f t="shared" si="131"/>
        <v>0.68466710790942875</v>
      </c>
      <c r="V188" s="10">
        <f t="shared" si="132"/>
        <v>8.6443738403545719E-8</v>
      </c>
      <c r="W188" s="10">
        <f t="shared" si="133"/>
        <v>2.230620567258676E-9</v>
      </c>
      <c r="X188" s="163">
        <f t="shared" si="114"/>
        <v>1</v>
      </c>
      <c r="Y188" s="54">
        <f t="shared" si="134"/>
        <v>0.16445926097170985</v>
      </c>
      <c r="Z188" s="54">
        <f t="shared" si="135"/>
        <v>1.5035305816534563E-2</v>
      </c>
      <c r="AA188" s="113"/>
    </row>
    <row r="189" spans="1:27" x14ac:dyDescent="0.2">
      <c r="A189" s="20">
        <f t="shared" si="115"/>
        <v>1</v>
      </c>
      <c r="B189" s="23">
        <f t="shared" si="116"/>
        <v>0</v>
      </c>
      <c r="C189" s="12">
        <f t="shared" si="117"/>
        <v>0</v>
      </c>
      <c r="D189" s="12">
        <f t="shared" si="118"/>
        <v>1198.51644454703</v>
      </c>
      <c r="E189" s="23">
        <f t="shared" si="136"/>
        <v>7.6709969405438741E-2</v>
      </c>
      <c r="F189" s="23">
        <f t="shared" si="140"/>
        <v>135.73589957452666</v>
      </c>
      <c r="G189" s="95">
        <f t="shared" si="137"/>
        <v>0.60608183914704084</v>
      </c>
      <c r="H189" s="95">
        <f t="shared" si="138"/>
        <v>0.25085195358639883</v>
      </c>
      <c r="I189" s="95">
        <f t="shared" si="139"/>
        <v>1.5639520465115617E-2</v>
      </c>
      <c r="J189" s="12">
        <f t="shared" si="120"/>
        <v>0</v>
      </c>
      <c r="K189" s="12">
        <f t="shared" si="121"/>
        <v>1335.2016274041605</v>
      </c>
      <c r="L189" s="54">
        <f t="shared" si="122"/>
        <v>5.7451974167058831E-5</v>
      </c>
      <c r="M189" s="10">
        <f t="shared" si="123"/>
        <v>0.10165947733183815</v>
      </c>
      <c r="N189" s="10">
        <f t="shared" si="124"/>
        <v>4.5392532985850096E-4</v>
      </c>
      <c r="O189" s="10">
        <f t="shared" si="125"/>
        <v>1.8787570988367804E-4</v>
      </c>
      <c r="P189" s="10">
        <f t="shared" si="126"/>
        <v>1.1713227533673155E-5</v>
      </c>
      <c r="Q189" s="54">
        <f t="shared" si="127"/>
        <v>1.7325955311838243E-2</v>
      </c>
      <c r="R189" s="10">
        <f t="shared" si="128"/>
        <v>1.3432507727547391E-4</v>
      </c>
      <c r="S189" s="10">
        <f t="shared" si="129"/>
        <v>4.9121208942797955E-4</v>
      </c>
      <c r="T189" s="10">
        <f t="shared" si="130"/>
        <v>0.29738131093767056</v>
      </c>
      <c r="U189" s="10">
        <f t="shared" si="131"/>
        <v>0.68466710790942875</v>
      </c>
      <c r="V189" s="10">
        <f t="shared" si="132"/>
        <v>8.6443738403545719E-8</v>
      </c>
      <c r="W189" s="10">
        <f t="shared" si="133"/>
        <v>2.230620567258676E-9</v>
      </c>
      <c r="X189" s="163">
        <f t="shared" si="114"/>
        <v>1</v>
      </c>
      <c r="Y189" s="54">
        <f t="shared" si="134"/>
        <v>0.16445926097170985</v>
      </c>
      <c r="Z189" s="54">
        <f t="shared" si="135"/>
        <v>1.5035305816534563E-2</v>
      </c>
      <c r="AA189" s="113"/>
    </row>
    <row r="190" spans="1:27" x14ac:dyDescent="0.2">
      <c r="A190" s="20">
        <f t="shared" si="115"/>
        <v>1</v>
      </c>
      <c r="B190" s="23">
        <f t="shared" si="116"/>
        <v>0</v>
      </c>
      <c r="C190" s="12">
        <f t="shared" si="117"/>
        <v>0</v>
      </c>
      <c r="D190" s="12">
        <f t="shared" si="118"/>
        <v>1198.51644454703</v>
      </c>
      <c r="E190" s="23">
        <f t="shared" si="136"/>
        <v>7.6709969405438741E-2</v>
      </c>
      <c r="F190" s="23">
        <f t="shared" si="140"/>
        <v>135.73589957452666</v>
      </c>
      <c r="G190" s="95">
        <f t="shared" si="137"/>
        <v>0.60608183914704084</v>
      </c>
      <c r="H190" s="95">
        <f t="shared" si="138"/>
        <v>0.25085195358639883</v>
      </c>
      <c r="I190" s="95">
        <f t="shared" si="139"/>
        <v>1.5639520465115617E-2</v>
      </c>
      <c r="J190" s="12">
        <f t="shared" si="120"/>
        <v>0</v>
      </c>
      <c r="K190" s="12">
        <f t="shared" si="121"/>
        <v>1335.2016274041605</v>
      </c>
      <c r="L190" s="54">
        <f t="shared" si="122"/>
        <v>5.7451974167058831E-5</v>
      </c>
      <c r="M190" s="10">
        <f t="shared" si="123"/>
        <v>0.10165947733183815</v>
      </c>
      <c r="N190" s="10">
        <f t="shared" si="124"/>
        <v>4.5392532985850096E-4</v>
      </c>
      <c r="O190" s="10">
        <f t="shared" si="125"/>
        <v>1.8787570988367804E-4</v>
      </c>
      <c r="P190" s="10">
        <f t="shared" si="126"/>
        <v>1.1713227533673155E-5</v>
      </c>
      <c r="Q190" s="54">
        <f t="shared" si="127"/>
        <v>1.7325955311838243E-2</v>
      </c>
      <c r="R190" s="10">
        <f t="shared" si="128"/>
        <v>1.3432507727547391E-4</v>
      </c>
      <c r="S190" s="10">
        <f t="shared" si="129"/>
        <v>4.9121208942797955E-4</v>
      </c>
      <c r="T190" s="10">
        <f t="shared" si="130"/>
        <v>0.29738131093767056</v>
      </c>
      <c r="U190" s="10">
        <f t="shared" si="131"/>
        <v>0.68466710790942875</v>
      </c>
      <c r="V190" s="10">
        <f t="shared" si="132"/>
        <v>8.6443738403545719E-8</v>
      </c>
      <c r="W190" s="10">
        <f t="shared" si="133"/>
        <v>2.230620567258676E-9</v>
      </c>
      <c r="X190" s="163">
        <f t="shared" si="114"/>
        <v>1</v>
      </c>
      <c r="Y190" s="54">
        <f t="shared" si="134"/>
        <v>0.16445926097170985</v>
      </c>
      <c r="Z190" s="54">
        <f t="shared" si="135"/>
        <v>1.5035305816534563E-2</v>
      </c>
      <c r="AA190" s="113"/>
    </row>
    <row r="191" spans="1:27" x14ac:dyDescent="0.2">
      <c r="A191" s="20">
        <f t="shared" si="115"/>
        <v>1</v>
      </c>
      <c r="B191" s="23">
        <f t="shared" si="116"/>
        <v>0</v>
      </c>
      <c r="C191" s="12">
        <f t="shared" si="117"/>
        <v>0</v>
      </c>
      <c r="D191" s="12">
        <f t="shared" si="118"/>
        <v>1198.51644454703</v>
      </c>
      <c r="E191" s="23">
        <f t="shared" si="136"/>
        <v>7.6709969405438741E-2</v>
      </c>
      <c r="F191" s="23">
        <f t="shared" si="140"/>
        <v>135.73589957452666</v>
      </c>
      <c r="G191" s="95">
        <f t="shared" si="137"/>
        <v>0.60608183914704084</v>
      </c>
      <c r="H191" s="95">
        <f t="shared" si="138"/>
        <v>0.25085195358639883</v>
      </c>
      <c r="I191" s="95">
        <f t="shared" si="139"/>
        <v>1.5639520465115617E-2</v>
      </c>
      <c r="J191" s="12">
        <f t="shared" si="120"/>
        <v>0</v>
      </c>
      <c r="K191" s="12">
        <f t="shared" si="121"/>
        <v>1335.2016274041605</v>
      </c>
      <c r="L191" s="54">
        <f t="shared" si="122"/>
        <v>5.7451974167058831E-5</v>
      </c>
      <c r="M191" s="10">
        <f t="shared" si="123"/>
        <v>0.10165947733183815</v>
      </c>
      <c r="N191" s="10">
        <f t="shared" si="124"/>
        <v>4.5392532985850096E-4</v>
      </c>
      <c r="O191" s="10">
        <f t="shared" si="125"/>
        <v>1.8787570988367804E-4</v>
      </c>
      <c r="P191" s="10">
        <f t="shared" si="126"/>
        <v>1.1713227533673155E-5</v>
      </c>
      <c r="Q191" s="54">
        <f t="shared" si="127"/>
        <v>1.7325955311838243E-2</v>
      </c>
      <c r="R191" s="10">
        <f t="shared" si="128"/>
        <v>1.3432507727547391E-4</v>
      </c>
      <c r="S191" s="10">
        <f t="shared" si="129"/>
        <v>4.9121208942797955E-4</v>
      </c>
      <c r="T191" s="10">
        <f t="shared" si="130"/>
        <v>0.29738131093767056</v>
      </c>
      <c r="U191" s="10">
        <f t="shared" si="131"/>
        <v>0.68466710790942875</v>
      </c>
      <c r="V191" s="10">
        <f t="shared" si="132"/>
        <v>8.6443738403545719E-8</v>
      </c>
      <c r="W191" s="10">
        <f t="shared" si="133"/>
        <v>2.230620567258676E-9</v>
      </c>
      <c r="X191" s="163">
        <f t="shared" si="114"/>
        <v>1</v>
      </c>
      <c r="Y191" s="54">
        <f t="shared" si="134"/>
        <v>0.16445926097170985</v>
      </c>
      <c r="Z191" s="54">
        <f t="shared" si="135"/>
        <v>1.5035305816534563E-2</v>
      </c>
      <c r="AA191" s="113"/>
    </row>
    <row r="192" spans="1:27" x14ac:dyDescent="0.2">
      <c r="A192" s="20">
        <f t="shared" si="115"/>
        <v>1</v>
      </c>
      <c r="B192" s="23">
        <f t="shared" si="116"/>
        <v>0</v>
      </c>
      <c r="C192" s="12">
        <f t="shared" si="117"/>
        <v>0</v>
      </c>
      <c r="D192" s="12">
        <f t="shared" si="118"/>
        <v>1198.51644454703</v>
      </c>
      <c r="E192" s="23">
        <f t="shared" si="136"/>
        <v>7.6709969405438741E-2</v>
      </c>
      <c r="F192" s="23">
        <f t="shared" si="140"/>
        <v>135.73589957452666</v>
      </c>
      <c r="G192" s="95">
        <f t="shared" si="137"/>
        <v>0.60608183914704084</v>
      </c>
      <c r="H192" s="95">
        <f t="shared" si="138"/>
        <v>0.25085195358639883</v>
      </c>
      <c r="I192" s="95">
        <f t="shared" si="139"/>
        <v>1.5639520465115617E-2</v>
      </c>
      <c r="J192" s="12">
        <f t="shared" si="120"/>
        <v>0</v>
      </c>
      <c r="K192" s="12">
        <f t="shared" si="121"/>
        <v>1335.2016274041605</v>
      </c>
      <c r="L192" s="54">
        <f t="shared" si="122"/>
        <v>5.7451974167058831E-5</v>
      </c>
      <c r="M192" s="10">
        <f t="shared" si="123"/>
        <v>0.10165947733183815</v>
      </c>
      <c r="N192" s="10">
        <f t="shared" si="124"/>
        <v>4.5392532985850096E-4</v>
      </c>
      <c r="O192" s="10">
        <f t="shared" si="125"/>
        <v>1.8787570988367804E-4</v>
      </c>
      <c r="P192" s="10">
        <f t="shared" si="126"/>
        <v>1.1713227533673155E-5</v>
      </c>
      <c r="Q192" s="54">
        <f t="shared" si="127"/>
        <v>1.7325955311838243E-2</v>
      </c>
      <c r="R192" s="10">
        <f t="shared" si="128"/>
        <v>1.3432507727547391E-4</v>
      </c>
      <c r="S192" s="10">
        <f t="shared" si="129"/>
        <v>4.9121208942797955E-4</v>
      </c>
      <c r="T192" s="10">
        <f t="shared" si="130"/>
        <v>0.29738131093767056</v>
      </c>
      <c r="U192" s="10">
        <f t="shared" si="131"/>
        <v>0.68466710790942875</v>
      </c>
      <c r="V192" s="10">
        <f t="shared" si="132"/>
        <v>8.6443738403545719E-8</v>
      </c>
      <c r="W192" s="10">
        <f t="shared" si="133"/>
        <v>2.230620567258676E-9</v>
      </c>
      <c r="X192" s="163">
        <f t="shared" si="114"/>
        <v>1</v>
      </c>
      <c r="Y192" s="54">
        <f t="shared" si="134"/>
        <v>0.16445926097170985</v>
      </c>
      <c r="Z192" s="54">
        <f t="shared" si="135"/>
        <v>1.5035305816534563E-2</v>
      </c>
      <c r="AA192" s="113"/>
    </row>
    <row r="193" spans="1:27" x14ac:dyDescent="0.2">
      <c r="A193" s="20">
        <f t="shared" si="115"/>
        <v>1</v>
      </c>
      <c r="B193" s="23">
        <f t="shared" si="116"/>
        <v>0</v>
      </c>
      <c r="C193" s="12">
        <f t="shared" si="117"/>
        <v>0</v>
      </c>
      <c r="D193" s="12">
        <f t="shared" si="118"/>
        <v>1198.51644454703</v>
      </c>
      <c r="E193" s="23">
        <f t="shared" si="136"/>
        <v>7.6709969405438741E-2</v>
      </c>
      <c r="F193" s="23">
        <f t="shared" si="140"/>
        <v>135.73589957452666</v>
      </c>
      <c r="G193" s="95">
        <f t="shared" si="137"/>
        <v>0.60608183914704084</v>
      </c>
      <c r="H193" s="95">
        <f t="shared" si="138"/>
        <v>0.25085195358639883</v>
      </c>
      <c r="I193" s="95">
        <f t="shared" si="139"/>
        <v>1.5639520465115617E-2</v>
      </c>
      <c r="J193" s="12">
        <f t="shared" si="120"/>
        <v>0</v>
      </c>
      <c r="K193" s="12">
        <f t="shared" si="121"/>
        <v>1335.2016274041605</v>
      </c>
      <c r="L193" s="54">
        <f t="shared" si="122"/>
        <v>5.7451974167058831E-5</v>
      </c>
      <c r="M193" s="10">
        <f t="shared" si="123"/>
        <v>0.10165947733183815</v>
      </c>
      <c r="N193" s="10">
        <f t="shared" si="124"/>
        <v>4.5392532985850096E-4</v>
      </c>
      <c r="O193" s="10">
        <f t="shared" si="125"/>
        <v>1.8787570988367804E-4</v>
      </c>
      <c r="P193" s="10">
        <f t="shared" si="126"/>
        <v>1.1713227533673155E-5</v>
      </c>
      <c r="Q193" s="54">
        <f t="shared" si="127"/>
        <v>1.7325955311838243E-2</v>
      </c>
      <c r="R193" s="10">
        <f t="shared" si="128"/>
        <v>1.3432507727547391E-4</v>
      </c>
      <c r="S193" s="10">
        <f t="shared" si="129"/>
        <v>4.9121208942797955E-4</v>
      </c>
      <c r="T193" s="10">
        <f t="shared" si="130"/>
        <v>0.29738131093767056</v>
      </c>
      <c r="U193" s="10">
        <f t="shared" si="131"/>
        <v>0.68466710790942875</v>
      </c>
      <c r="V193" s="10">
        <f t="shared" si="132"/>
        <v>8.6443738403545719E-8</v>
      </c>
      <c r="W193" s="10">
        <f t="shared" si="133"/>
        <v>2.230620567258676E-9</v>
      </c>
      <c r="X193" s="163">
        <f t="shared" si="114"/>
        <v>1</v>
      </c>
      <c r="Y193" s="54">
        <f t="shared" si="134"/>
        <v>0.16445926097170985</v>
      </c>
      <c r="Z193" s="54">
        <f t="shared" si="135"/>
        <v>1.5035305816534563E-2</v>
      </c>
      <c r="AA193" s="113"/>
    </row>
    <row r="194" spans="1:27" x14ac:dyDescent="0.2">
      <c r="A194" s="20">
        <f t="shared" si="115"/>
        <v>1</v>
      </c>
      <c r="B194" s="23">
        <f t="shared" si="116"/>
        <v>0</v>
      </c>
      <c r="C194" s="12">
        <f t="shared" si="117"/>
        <v>0</v>
      </c>
      <c r="D194" s="12">
        <f t="shared" si="118"/>
        <v>1198.51644454703</v>
      </c>
      <c r="E194" s="23">
        <f t="shared" si="136"/>
        <v>7.6709969405438741E-2</v>
      </c>
      <c r="F194" s="23">
        <f t="shared" si="140"/>
        <v>135.73589957452666</v>
      </c>
      <c r="G194" s="95">
        <f t="shared" si="137"/>
        <v>0.60608183914704084</v>
      </c>
      <c r="H194" s="95">
        <f t="shared" si="138"/>
        <v>0.25085195358639883</v>
      </c>
      <c r="I194" s="95">
        <f t="shared" si="139"/>
        <v>1.5639520465115617E-2</v>
      </c>
      <c r="J194" s="12">
        <f t="shared" si="120"/>
        <v>0</v>
      </c>
      <c r="K194" s="12">
        <f t="shared" si="121"/>
        <v>1335.2016274041605</v>
      </c>
      <c r="L194" s="54">
        <f t="shared" si="122"/>
        <v>5.7451974167058831E-5</v>
      </c>
      <c r="M194" s="10">
        <f t="shared" si="123"/>
        <v>0.10165947733183815</v>
      </c>
      <c r="N194" s="10">
        <f t="shared" si="124"/>
        <v>4.5392532985850096E-4</v>
      </c>
      <c r="O194" s="10">
        <f t="shared" si="125"/>
        <v>1.8787570988367804E-4</v>
      </c>
      <c r="P194" s="10">
        <f t="shared" si="126"/>
        <v>1.1713227533673155E-5</v>
      </c>
      <c r="Q194" s="54">
        <f t="shared" si="127"/>
        <v>1.7325955311838243E-2</v>
      </c>
      <c r="R194" s="10">
        <f t="shared" si="128"/>
        <v>1.3432507727547391E-4</v>
      </c>
      <c r="S194" s="10">
        <f t="shared" si="129"/>
        <v>4.9121208942797955E-4</v>
      </c>
      <c r="T194" s="10">
        <f t="shared" si="130"/>
        <v>0.29738131093767056</v>
      </c>
      <c r="U194" s="10">
        <f t="shared" si="131"/>
        <v>0.68466710790942875</v>
      </c>
      <c r="V194" s="10">
        <f t="shared" si="132"/>
        <v>8.6443738403545719E-8</v>
      </c>
      <c r="W194" s="10">
        <f t="shared" si="133"/>
        <v>2.230620567258676E-9</v>
      </c>
      <c r="X194" s="163">
        <f t="shared" si="114"/>
        <v>1</v>
      </c>
      <c r="Y194" s="54">
        <f t="shared" si="134"/>
        <v>0.16445926097170985</v>
      </c>
      <c r="Z194" s="54">
        <f t="shared" si="135"/>
        <v>1.5035305816534563E-2</v>
      </c>
      <c r="AA194" s="113"/>
    </row>
    <row r="195" spans="1:27" x14ac:dyDescent="0.2">
      <c r="A195" s="20">
        <f t="shared" si="115"/>
        <v>1</v>
      </c>
      <c r="B195" s="23">
        <f t="shared" si="116"/>
        <v>0</v>
      </c>
      <c r="C195" s="12">
        <f t="shared" si="117"/>
        <v>0</v>
      </c>
      <c r="D195" s="12">
        <f t="shared" si="118"/>
        <v>1198.51644454703</v>
      </c>
      <c r="E195" s="23">
        <f t="shared" si="136"/>
        <v>7.6709969405438741E-2</v>
      </c>
      <c r="F195" s="23">
        <f t="shared" si="140"/>
        <v>135.73589957452666</v>
      </c>
      <c r="G195" s="95">
        <f t="shared" si="137"/>
        <v>0.60608183914704084</v>
      </c>
      <c r="H195" s="95">
        <f t="shared" si="138"/>
        <v>0.25085195358639883</v>
      </c>
      <c r="I195" s="95">
        <f t="shared" si="139"/>
        <v>1.5639520465115617E-2</v>
      </c>
      <c r="J195" s="12">
        <f t="shared" si="120"/>
        <v>0</v>
      </c>
      <c r="K195" s="12">
        <f t="shared" si="121"/>
        <v>1335.2016274041605</v>
      </c>
      <c r="L195" s="54">
        <f t="shared" si="122"/>
        <v>5.7451974167058831E-5</v>
      </c>
      <c r="M195" s="10">
        <f t="shared" si="123"/>
        <v>0.10165947733183815</v>
      </c>
      <c r="N195" s="10">
        <f t="shared" si="124"/>
        <v>4.5392532985850096E-4</v>
      </c>
      <c r="O195" s="10">
        <f t="shared" si="125"/>
        <v>1.8787570988367804E-4</v>
      </c>
      <c r="P195" s="10">
        <f t="shared" si="126"/>
        <v>1.1713227533673155E-5</v>
      </c>
      <c r="Q195" s="54">
        <f t="shared" si="127"/>
        <v>1.7325955311838243E-2</v>
      </c>
      <c r="R195" s="10">
        <f t="shared" si="128"/>
        <v>1.3432507727547391E-4</v>
      </c>
      <c r="S195" s="10">
        <f t="shared" si="129"/>
        <v>4.9121208942797955E-4</v>
      </c>
      <c r="T195" s="10">
        <f t="shared" si="130"/>
        <v>0.29738131093767056</v>
      </c>
      <c r="U195" s="10">
        <f t="shared" si="131"/>
        <v>0.68466710790942875</v>
      </c>
      <c r="V195" s="10">
        <f t="shared" si="132"/>
        <v>8.6443738403545719E-8</v>
      </c>
      <c r="W195" s="10">
        <f t="shared" si="133"/>
        <v>2.230620567258676E-9</v>
      </c>
      <c r="X195" s="163">
        <f t="shared" si="114"/>
        <v>1</v>
      </c>
      <c r="Y195" s="54">
        <f t="shared" si="134"/>
        <v>0.16445926097170985</v>
      </c>
      <c r="Z195" s="54">
        <f t="shared" si="135"/>
        <v>1.5035305816534563E-2</v>
      </c>
      <c r="AA195" s="113"/>
    </row>
    <row r="196" spans="1:27" x14ac:dyDescent="0.2">
      <c r="A196" s="20">
        <f t="shared" si="115"/>
        <v>1</v>
      </c>
      <c r="B196" s="23">
        <f t="shared" si="116"/>
        <v>0</v>
      </c>
      <c r="C196" s="12">
        <f t="shared" si="117"/>
        <v>0</v>
      </c>
      <c r="D196" s="12">
        <f t="shared" si="118"/>
        <v>1198.51644454703</v>
      </c>
      <c r="E196" s="23">
        <f t="shared" si="136"/>
        <v>7.6709969405438741E-2</v>
      </c>
      <c r="F196" s="23">
        <f t="shared" si="140"/>
        <v>135.73589957452666</v>
      </c>
      <c r="G196" s="95">
        <f t="shared" si="137"/>
        <v>0.60608183914704084</v>
      </c>
      <c r="H196" s="95">
        <f t="shared" si="138"/>
        <v>0.25085195358639883</v>
      </c>
      <c r="I196" s="95">
        <f t="shared" si="139"/>
        <v>1.5639520465115617E-2</v>
      </c>
      <c r="J196" s="12">
        <f t="shared" si="120"/>
        <v>0</v>
      </c>
      <c r="K196" s="12">
        <f t="shared" si="121"/>
        <v>1335.2016274041605</v>
      </c>
      <c r="L196" s="54">
        <f t="shared" si="122"/>
        <v>5.7451974167058831E-5</v>
      </c>
      <c r="M196" s="10">
        <f t="shared" si="123"/>
        <v>0.10165947733183815</v>
      </c>
      <c r="N196" s="10">
        <f t="shared" si="124"/>
        <v>4.5392532985850096E-4</v>
      </c>
      <c r="O196" s="10">
        <f t="shared" si="125"/>
        <v>1.8787570988367804E-4</v>
      </c>
      <c r="P196" s="10">
        <f t="shared" si="126"/>
        <v>1.1713227533673155E-5</v>
      </c>
      <c r="Q196" s="54">
        <f t="shared" si="127"/>
        <v>1.7325955311838243E-2</v>
      </c>
      <c r="R196" s="10">
        <f t="shared" si="128"/>
        <v>1.3432507727547391E-4</v>
      </c>
      <c r="S196" s="10">
        <f t="shared" si="129"/>
        <v>4.9121208942797955E-4</v>
      </c>
      <c r="T196" s="10">
        <f t="shared" si="130"/>
        <v>0.29738131093767056</v>
      </c>
      <c r="U196" s="10">
        <f t="shared" si="131"/>
        <v>0.68466710790942875</v>
      </c>
      <c r="V196" s="10">
        <f t="shared" si="132"/>
        <v>8.6443738403545719E-8</v>
      </c>
      <c r="W196" s="10">
        <f t="shared" si="133"/>
        <v>2.230620567258676E-9</v>
      </c>
      <c r="X196" s="163">
        <f t="shared" si="114"/>
        <v>1</v>
      </c>
      <c r="Y196" s="54">
        <f t="shared" si="134"/>
        <v>0.16445926097170985</v>
      </c>
      <c r="Z196" s="54">
        <f t="shared" si="135"/>
        <v>1.5035305816534563E-2</v>
      </c>
      <c r="AA196" s="113"/>
    </row>
    <row r="197" spans="1:27" x14ac:dyDescent="0.2">
      <c r="A197" s="20">
        <f t="shared" si="115"/>
        <v>1</v>
      </c>
      <c r="B197" s="23">
        <f t="shared" si="116"/>
        <v>0</v>
      </c>
      <c r="C197" s="12">
        <f t="shared" si="117"/>
        <v>0</v>
      </c>
      <c r="D197" s="12">
        <f t="shared" si="118"/>
        <v>1198.51644454703</v>
      </c>
      <c r="E197" s="23">
        <f t="shared" si="136"/>
        <v>7.6709969405438741E-2</v>
      </c>
      <c r="F197" s="23">
        <f t="shared" si="140"/>
        <v>135.73589957452666</v>
      </c>
      <c r="G197" s="95">
        <f t="shared" si="137"/>
        <v>0.60608183914704084</v>
      </c>
      <c r="H197" s="95">
        <f t="shared" si="138"/>
        <v>0.25085195358639883</v>
      </c>
      <c r="I197" s="95">
        <f t="shared" si="139"/>
        <v>1.5639520465115617E-2</v>
      </c>
      <c r="J197" s="12">
        <f t="shared" si="120"/>
        <v>0</v>
      </c>
      <c r="K197" s="12">
        <f t="shared" ref="K197:K199" si="141">SUM(C197:J197)</f>
        <v>1335.2016274041605</v>
      </c>
      <c r="L197" s="54">
        <f t="shared" si="122"/>
        <v>5.7451974167058831E-5</v>
      </c>
      <c r="M197" s="10">
        <f t="shared" si="123"/>
        <v>0.10165947733183815</v>
      </c>
      <c r="N197" s="10">
        <f t="shared" si="124"/>
        <v>4.5392532985850096E-4</v>
      </c>
      <c r="O197" s="10">
        <f t="shared" si="125"/>
        <v>1.8787570988367804E-4</v>
      </c>
      <c r="P197" s="10">
        <f t="shared" si="126"/>
        <v>1.1713227533673155E-5</v>
      </c>
      <c r="Q197" s="54">
        <f t="shared" ref="Q197:Q199" si="142">1/(1+K1_*L197+K2_*M197+SQRT(K2_*K3_*M197)+1/K6_*N197+K7_*O197+P197/K10_)</f>
        <v>1.7325955311838243E-2</v>
      </c>
      <c r="R197" s="10">
        <f t="shared" ref="R197:R199" si="143">K1_*L197*Q197</f>
        <v>1.3432507727547391E-4</v>
      </c>
      <c r="S197" s="10">
        <f t="shared" si="129"/>
        <v>4.9121208942797955E-4</v>
      </c>
      <c r="T197" s="10">
        <f t="shared" si="130"/>
        <v>0.29738131093767056</v>
      </c>
      <c r="U197" s="10">
        <f t="shared" si="131"/>
        <v>0.68466710790942875</v>
      </c>
      <c r="V197" s="10">
        <f t="shared" si="132"/>
        <v>8.6443738403545719E-8</v>
      </c>
      <c r="W197" s="10">
        <f t="shared" si="133"/>
        <v>2.230620567258676E-9</v>
      </c>
      <c r="X197" s="163">
        <f t="shared" si="114"/>
        <v>1</v>
      </c>
      <c r="Y197" s="54">
        <f t="shared" si="134"/>
        <v>0.16445926097170985</v>
      </c>
      <c r="Z197" s="54">
        <f t="shared" si="135"/>
        <v>1.5035305816534563E-2</v>
      </c>
      <c r="AA197" s="113"/>
    </row>
    <row r="198" spans="1:27" x14ac:dyDescent="0.2">
      <c r="A198" s="20">
        <f t="shared" si="115"/>
        <v>1</v>
      </c>
      <c r="B198" s="23">
        <f t="shared" si="116"/>
        <v>0</v>
      </c>
      <c r="C198" s="12">
        <f t="shared" si="117"/>
        <v>0</v>
      </c>
      <c r="D198" s="12">
        <f t="shared" si="118"/>
        <v>1198.51644454703</v>
      </c>
      <c r="E198" s="23">
        <f t="shared" si="136"/>
        <v>7.6709969405438741E-2</v>
      </c>
      <c r="F198" s="23">
        <f t="shared" si="140"/>
        <v>135.73589957452666</v>
      </c>
      <c r="G198" s="95">
        <f t="shared" si="137"/>
        <v>0.60608183914704084</v>
      </c>
      <c r="H198" s="95">
        <f t="shared" si="138"/>
        <v>0.25085195358639883</v>
      </c>
      <c r="I198" s="95">
        <f t="shared" si="139"/>
        <v>1.5639520465115617E-2</v>
      </c>
      <c r="J198" s="12">
        <f t="shared" si="120"/>
        <v>0</v>
      </c>
      <c r="K198" s="12">
        <f t="shared" si="141"/>
        <v>1335.2016274041605</v>
      </c>
      <c r="L198" s="54">
        <f t="shared" si="122"/>
        <v>5.7451974167058831E-5</v>
      </c>
      <c r="M198" s="10">
        <f t="shared" si="123"/>
        <v>0.10165947733183815</v>
      </c>
      <c r="N198" s="10">
        <f t="shared" si="124"/>
        <v>4.5392532985850096E-4</v>
      </c>
      <c r="O198" s="10">
        <f t="shared" si="125"/>
        <v>1.8787570988367804E-4</v>
      </c>
      <c r="P198" s="10">
        <f t="shared" si="126"/>
        <v>1.1713227533673155E-5</v>
      </c>
      <c r="Q198" s="54">
        <f t="shared" si="142"/>
        <v>1.7325955311838243E-2</v>
      </c>
      <c r="R198" s="10">
        <f t="shared" si="143"/>
        <v>1.3432507727547391E-4</v>
      </c>
      <c r="S198" s="10">
        <f t="shared" si="129"/>
        <v>4.9121208942797955E-4</v>
      </c>
      <c r="T198" s="10">
        <f t="shared" si="130"/>
        <v>0.29738131093767056</v>
      </c>
      <c r="U198" s="10">
        <f t="shared" si="131"/>
        <v>0.68466710790942875</v>
      </c>
      <c r="V198" s="10">
        <f t="shared" si="132"/>
        <v>8.6443738403545719E-8</v>
      </c>
      <c r="W198" s="10">
        <f t="shared" si="133"/>
        <v>2.230620567258676E-9</v>
      </c>
      <c r="X198" s="163">
        <f t="shared" ref="X198:X199" si="144">SUM(Q198:W198)</f>
        <v>1</v>
      </c>
      <c r="Y198" s="54">
        <f t="shared" si="134"/>
        <v>0.16445926097170985</v>
      </c>
      <c r="Z198" s="54">
        <f t="shared" si="135"/>
        <v>1.5035305816534563E-2</v>
      </c>
      <c r="AA198" s="113"/>
    </row>
    <row r="199" spans="1:27" x14ac:dyDescent="0.2">
      <c r="A199" s="20">
        <f t="shared" ref="A199" si="145">+A198-B199</f>
        <v>1</v>
      </c>
      <c r="C199" s="12">
        <f t="shared" ref="C199:D199" si="146">+C198</f>
        <v>0</v>
      </c>
      <c r="D199" s="12">
        <f t="shared" si="146"/>
        <v>1198.51644454703</v>
      </c>
      <c r="E199" s="23">
        <f t="shared" si="136"/>
        <v>7.6709969405438741E-2</v>
      </c>
      <c r="F199" s="23">
        <f t="shared" si="140"/>
        <v>135.73589957452666</v>
      </c>
      <c r="G199" s="95">
        <f t="shared" si="137"/>
        <v>0.60608183914704084</v>
      </c>
      <c r="H199" s="95">
        <f t="shared" si="138"/>
        <v>0.25085195358639883</v>
      </c>
      <c r="I199" s="95">
        <f t="shared" si="139"/>
        <v>1.5639520465115617E-2</v>
      </c>
      <c r="J199" s="12">
        <f t="shared" ref="J199" si="147">+J198</f>
        <v>0</v>
      </c>
      <c r="K199" s="12">
        <f t="shared" si="141"/>
        <v>1335.2016274041605</v>
      </c>
      <c r="L199" s="54">
        <f t="shared" si="122"/>
        <v>5.7451974167058831E-5</v>
      </c>
      <c r="M199" s="10">
        <f t="shared" si="123"/>
        <v>0.10165947733183815</v>
      </c>
      <c r="N199" s="10">
        <f t="shared" si="124"/>
        <v>4.5392532985850096E-4</v>
      </c>
      <c r="O199" s="10">
        <f t="shared" si="125"/>
        <v>1.8787570988367804E-4</v>
      </c>
      <c r="P199" s="10">
        <f t="shared" si="126"/>
        <v>1.1713227533673155E-5</v>
      </c>
      <c r="Q199" s="54">
        <f t="shared" si="142"/>
        <v>1.7325955311838243E-2</v>
      </c>
      <c r="R199" s="10">
        <f t="shared" si="143"/>
        <v>1.3432507727547391E-4</v>
      </c>
      <c r="S199" s="10">
        <f t="shared" si="129"/>
        <v>4.9121208942797955E-4</v>
      </c>
      <c r="T199" s="10">
        <f t="shared" si="130"/>
        <v>0.29738131093767056</v>
      </c>
      <c r="U199" s="10">
        <f t="shared" si="131"/>
        <v>0.68466710790942875</v>
      </c>
      <c r="V199" s="10">
        <f t="shared" si="132"/>
        <v>8.6443738403545719E-8</v>
      </c>
      <c r="W199" s="10">
        <f t="shared" si="133"/>
        <v>2.230620567258676E-9</v>
      </c>
      <c r="X199" s="163">
        <f t="shared" si="144"/>
        <v>1</v>
      </c>
      <c r="Y199" s="54">
        <f t="shared" si="134"/>
        <v>0.16445926097170985</v>
      </c>
      <c r="Z199" s="54">
        <f t="shared" si="135"/>
        <v>1.5035305816534563E-2</v>
      </c>
      <c r="AA199" s="113"/>
    </row>
    <row r="200" spans="1:27" x14ac:dyDescent="0.2">
      <c r="A200" s="20"/>
      <c r="C200" s="12"/>
      <c r="D200" s="12"/>
      <c r="J200" s="12"/>
      <c r="K200" s="12"/>
      <c r="L200" s="54"/>
      <c r="M200" s="10"/>
      <c r="N200" s="10"/>
      <c r="O200" s="10"/>
      <c r="P200" s="10"/>
      <c r="Q200" s="54"/>
      <c r="R200" s="10"/>
      <c r="S200" s="10"/>
      <c r="T200" s="10"/>
      <c r="U200" s="10"/>
      <c r="V200" s="10"/>
      <c r="W200" s="10"/>
      <c r="X200" s="10"/>
      <c r="Y200" s="54"/>
      <c r="Z200" s="10"/>
      <c r="AA200" s="113"/>
    </row>
  </sheetData>
  <pageMargins left="0.7" right="0.7" top="0.75" bottom="0.75" header="0.3" footer="0.3"/>
  <pageSetup orientation="portrait" horizontalDpi="4294967293" verticalDpi="1200" r:id="rId1"/>
  <drawing r:id="rId2"/>
  <legacyDrawing r:id="rId3"/>
  <oleObjects>
    <mc:AlternateContent xmlns:mc="http://schemas.openxmlformats.org/markup-compatibility/2006">
      <mc:Choice Requires="x14">
        <oleObject progId="Equation.DSMT4" shapeId="2050" r:id="rId4">
          <objectPr defaultSize="0" autoPict="0" r:id="rId5">
            <anchor moveWithCells="1" sizeWithCells="1">
              <from>
                <xdr:col>27</xdr:col>
                <xdr:colOff>0</xdr:colOff>
                <xdr:row>13</xdr:row>
                <xdr:rowOff>0</xdr:rowOff>
              </from>
              <to>
                <xdr:col>37</xdr:col>
                <xdr:colOff>12700</xdr:colOff>
                <xdr:row>18</xdr:row>
                <xdr:rowOff>63500</xdr:rowOff>
              </to>
            </anchor>
          </objectPr>
        </oleObject>
      </mc:Choice>
      <mc:Fallback>
        <oleObject progId="Equation.DSMT4" shapeId="2050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9"/>
  <sheetViews>
    <sheetView workbookViewId="0">
      <selection activeCell="B9" sqref="B9"/>
    </sheetView>
  </sheetViews>
  <sheetFormatPr baseColWidth="10" defaultColWidth="8.83203125" defaultRowHeight="15" x14ac:dyDescent="0.2"/>
  <sheetData>
    <row r="1" spans="1:2" x14ac:dyDescent="0.2">
      <c r="A1" t="s">
        <v>63</v>
      </c>
      <c r="B1" t="s">
        <v>89</v>
      </c>
    </row>
    <row r="2" spans="1:2" x14ac:dyDescent="0.2">
      <c r="B2" t="s">
        <v>90</v>
      </c>
    </row>
    <row r="3" spans="1:2" x14ac:dyDescent="0.2">
      <c r="B3" t="s">
        <v>113</v>
      </c>
    </row>
    <row r="4" spans="1:2" x14ac:dyDescent="0.2">
      <c r="A4" t="s">
        <v>116</v>
      </c>
      <c r="B4" t="s">
        <v>117</v>
      </c>
    </row>
    <row r="5" spans="1:2" x14ac:dyDescent="0.2">
      <c r="A5" t="s">
        <v>156</v>
      </c>
      <c r="B5" t="s">
        <v>157</v>
      </c>
    </row>
    <row r="6" spans="1:2" x14ac:dyDescent="0.2">
      <c r="A6" t="s">
        <v>170</v>
      </c>
      <c r="B6" t="s">
        <v>171</v>
      </c>
    </row>
    <row r="7" spans="1:2" x14ac:dyDescent="0.2">
      <c r="B7" t="s">
        <v>178</v>
      </c>
    </row>
    <row r="8" spans="1:2" x14ac:dyDescent="0.2">
      <c r="A8" t="s">
        <v>180</v>
      </c>
      <c r="B8" t="s">
        <v>181</v>
      </c>
    </row>
    <row r="9" spans="1:2" x14ac:dyDescent="0.2">
      <c r="B9" t="s">
        <v>205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24"/>
  <sheetViews>
    <sheetView workbookViewId="0">
      <selection activeCell="M1" sqref="M1"/>
    </sheetView>
  </sheetViews>
  <sheetFormatPr baseColWidth="10" defaultColWidth="8.83203125" defaultRowHeight="15" x14ac:dyDescent="0.2"/>
  <sheetData>
    <row r="1" spans="1:12" ht="32" x14ac:dyDescent="0.2">
      <c r="A1" s="1" t="s">
        <v>4</v>
      </c>
      <c r="B1" s="1" t="s">
        <v>5</v>
      </c>
      <c r="C1" s="2" t="s">
        <v>6</v>
      </c>
      <c r="D1" s="4" t="s">
        <v>7</v>
      </c>
      <c r="E1" s="4" t="s">
        <v>45</v>
      </c>
      <c r="F1" s="4" t="s">
        <v>46</v>
      </c>
      <c r="G1" s="4" t="s">
        <v>47</v>
      </c>
      <c r="H1" s="4" t="s">
        <v>48</v>
      </c>
      <c r="I1" s="4" t="s">
        <v>49</v>
      </c>
      <c r="J1" s="4" t="s">
        <v>50</v>
      </c>
      <c r="K1" s="4" t="s">
        <v>51</v>
      </c>
      <c r="L1" s="4" t="s">
        <v>61</v>
      </c>
    </row>
    <row r="2" spans="1:12" x14ac:dyDescent="0.2">
      <c r="A2" t="s">
        <v>10</v>
      </c>
      <c r="B2" t="s">
        <v>32</v>
      </c>
      <c r="C2" s="3">
        <v>-252.9</v>
      </c>
      <c r="D2" s="3">
        <f>2*1.00794</f>
        <v>2.0158800000000001</v>
      </c>
      <c r="E2" s="35">
        <v>33.066178000000001</v>
      </c>
      <c r="F2" s="35">
        <v>-11.363417</v>
      </c>
      <c r="G2" s="35">
        <v>11.432816000000001</v>
      </c>
      <c r="H2" s="35">
        <v>-2.7728739999999998</v>
      </c>
      <c r="I2" s="35">
        <v>-0.158558</v>
      </c>
      <c r="J2" s="35">
        <v>-9.9807970000000008</v>
      </c>
      <c r="K2" s="35">
        <v>172.70797400000001</v>
      </c>
      <c r="L2" s="35">
        <v>0</v>
      </c>
    </row>
    <row r="3" spans="1:12" x14ac:dyDescent="0.2">
      <c r="A3" t="s">
        <v>29</v>
      </c>
      <c r="B3" t="s">
        <v>31</v>
      </c>
      <c r="C3" s="3">
        <v>-195.8</v>
      </c>
      <c r="D3" s="3">
        <v>28</v>
      </c>
      <c r="E3" s="35">
        <v>19.50583</v>
      </c>
      <c r="F3" s="35">
        <v>19.887049999999999</v>
      </c>
      <c r="G3" s="35">
        <v>-8.598535</v>
      </c>
      <c r="H3" s="35">
        <v>1.3697839999999999</v>
      </c>
      <c r="I3" s="35">
        <v>0.52760099999999999</v>
      </c>
      <c r="J3" s="35">
        <v>-4.9352020000000003</v>
      </c>
      <c r="K3" s="35">
        <v>212.39</v>
      </c>
      <c r="L3" s="35">
        <v>0</v>
      </c>
    </row>
    <row r="4" spans="1:12" x14ac:dyDescent="0.2">
      <c r="A4" t="s">
        <v>30</v>
      </c>
      <c r="B4" t="s">
        <v>27</v>
      </c>
      <c r="C4" s="34" t="s">
        <v>37</v>
      </c>
      <c r="D4" s="3">
        <v>28.01</v>
      </c>
      <c r="E4" s="35">
        <v>25.567589999999999</v>
      </c>
      <c r="F4" s="35">
        <v>6.0961299999999996</v>
      </c>
      <c r="G4" s="35">
        <v>4.0546559999999996</v>
      </c>
      <c r="H4" s="35">
        <v>-2.6713010000000001</v>
      </c>
      <c r="I4" s="35">
        <v>0.131021</v>
      </c>
      <c r="J4" s="35">
        <v>-118.0089</v>
      </c>
      <c r="K4" s="35">
        <v>227.3665</v>
      </c>
      <c r="L4" s="35">
        <v>-110.5271</v>
      </c>
    </row>
    <row r="5" spans="1:12" x14ac:dyDescent="0.2">
      <c r="A5" t="s">
        <v>36</v>
      </c>
      <c r="B5" t="s">
        <v>35</v>
      </c>
      <c r="C5" s="34">
        <v>-183</v>
      </c>
      <c r="D5" s="3">
        <v>32</v>
      </c>
      <c r="E5" s="35">
        <v>31.322340000000001</v>
      </c>
      <c r="F5" s="35">
        <v>-20.235309999999998</v>
      </c>
      <c r="G5" s="35">
        <v>57.866439999999997</v>
      </c>
      <c r="H5" s="35">
        <v>-36.506239999999998</v>
      </c>
      <c r="I5" s="35">
        <v>-7.3740000000000003E-3</v>
      </c>
      <c r="J5" s="35">
        <v>-8.9034709999999997</v>
      </c>
      <c r="K5" s="35">
        <v>246.7945</v>
      </c>
      <c r="L5" s="35">
        <v>0</v>
      </c>
    </row>
    <row r="6" spans="1:12" x14ac:dyDescent="0.2">
      <c r="A6" t="s">
        <v>33</v>
      </c>
      <c r="B6" t="s">
        <v>34</v>
      </c>
      <c r="C6" s="34">
        <v>-78.5</v>
      </c>
      <c r="D6" s="3">
        <v>44.01</v>
      </c>
      <c r="E6" s="35">
        <v>24.997350000000001</v>
      </c>
      <c r="F6" s="35">
        <v>55.186959999999999</v>
      </c>
      <c r="G6" s="35">
        <v>-33.691369999999999</v>
      </c>
      <c r="H6" s="35">
        <v>7.9483870000000003</v>
      </c>
      <c r="I6" s="35">
        <v>-0.13663800000000001</v>
      </c>
      <c r="J6" s="35">
        <v>-403.60750000000002</v>
      </c>
      <c r="K6" s="35">
        <v>228.2431</v>
      </c>
      <c r="L6" s="35">
        <v>-393.5224</v>
      </c>
    </row>
    <row r="7" spans="1:12" x14ac:dyDescent="0.2">
      <c r="A7" t="s">
        <v>38</v>
      </c>
      <c r="B7" t="s">
        <v>41</v>
      </c>
      <c r="C7" s="3">
        <f>111-273.15</f>
        <v>-162.14999999999998</v>
      </c>
      <c r="D7" s="34">
        <f>12.011+4*1.008</f>
        <v>16.042999999999999</v>
      </c>
      <c r="E7" s="35">
        <v>-0.70302900000000002</v>
      </c>
      <c r="F7" s="35">
        <v>108.4773</v>
      </c>
      <c r="G7" s="35">
        <v>-42.521569999999997</v>
      </c>
      <c r="H7" s="35">
        <v>5.8627880000000001</v>
      </c>
      <c r="I7" s="35">
        <v>0.67856499999999997</v>
      </c>
      <c r="J7" s="35">
        <v>-76.843760000000003</v>
      </c>
      <c r="K7" s="35">
        <v>158.71629999999999</v>
      </c>
      <c r="L7" s="35">
        <v>-74.873099999999994</v>
      </c>
    </row>
    <row r="8" spans="1:12" x14ac:dyDescent="0.2">
      <c r="A8" t="s">
        <v>39</v>
      </c>
      <c r="B8" t="s">
        <v>42</v>
      </c>
      <c r="C8" s="34">
        <f>184.6-273.15</f>
        <v>-88.549999999999983</v>
      </c>
      <c r="D8" s="34">
        <f>2*12.011+6*1.008</f>
        <v>30.07</v>
      </c>
      <c r="E8" s="35"/>
      <c r="F8" s="35"/>
      <c r="G8" s="35"/>
      <c r="H8" s="35"/>
      <c r="I8" s="35"/>
      <c r="J8" s="35"/>
      <c r="K8" s="35"/>
      <c r="L8" s="35">
        <v>-84</v>
      </c>
    </row>
    <row r="9" spans="1:12" x14ac:dyDescent="0.2">
      <c r="A9" t="s">
        <v>0</v>
      </c>
      <c r="B9" t="s">
        <v>1</v>
      </c>
      <c r="C9" s="3">
        <v>-50.582062424429921</v>
      </c>
      <c r="D9" s="3">
        <v>44.096200000000003</v>
      </c>
      <c r="E9" s="3"/>
      <c r="F9" s="3"/>
      <c r="G9" s="3"/>
      <c r="H9" s="3"/>
      <c r="I9" s="3"/>
      <c r="J9" s="3"/>
      <c r="K9" s="3"/>
      <c r="L9" s="3"/>
    </row>
    <row r="10" spans="1:12" x14ac:dyDescent="0.2">
      <c r="A10" t="s">
        <v>2</v>
      </c>
      <c r="B10" t="s">
        <v>3</v>
      </c>
      <c r="C10" s="3">
        <v>-0.50116964272865516</v>
      </c>
      <c r="D10" s="3">
        <v>58.122999999999998</v>
      </c>
      <c r="E10" s="3"/>
      <c r="F10" s="3"/>
      <c r="G10" s="3"/>
      <c r="H10" s="3"/>
      <c r="I10" s="3"/>
      <c r="J10" s="3"/>
      <c r="K10" s="3"/>
      <c r="L10" s="3"/>
    </row>
    <row r="11" spans="1:12" x14ac:dyDescent="0.2">
      <c r="A11" t="s">
        <v>40</v>
      </c>
      <c r="B11" t="s">
        <v>43</v>
      </c>
      <c r="C11" s="34">
        <v>0</v>
      </c>
      <c r="D11" s="34">
        <f>0*12.011+2*1.008+15.999</f>
        <v>18.015000000000001</v>
      </c>
      <c r="E11" s="35">
        <v>30.091999999999999</v>
      </c>
      <c r="F11" s="35">
        <v>6.8325139999999998</v>
      </c>
      <c r="G11" s="35">
        <v>6.7934349999999997</v>
      </c>
      <c r="H11" s="35">
        <v>-2.5344799999999998</v>
      </c>
      <c r="I11" s="35">
        <v>8.2139000000000004E-2</v>
      </c>
      <c r="J11" s="35">
        <v>-250.881</v>
      </c>
      <c r="K11" s="35">
        <v>223.39670000000001</v>
      </c>
      <c r="L11" s="35">
        <v>-241.82640000000001</v>
      </c>
    </row>
    <row r="12" spans="1:12" ht="16" thickBot="1" x14ac:dyDescent="0.25">
      <c r="A12" s="27" t="s">
        <v>8</v>
      </c>
      <c r="B12" s="28"/>
      <c r="C12" s="29"/>
      <c r="D12" s="29"/>
      <c r="E12" s="29"/>
      <c r="F12" s="29"/>
      <c r="G12" s="29"/>
      <c r="H12" s="29"/>
      <c r="I12" s="29"/>
      <c r="J12" s="29"/>
      <c r="K12" s="29"/>
      <c r="L12" s="29"/>
    </row>
    <row r="20" spans="3:8" x14ac:dyDescent="0.2">
      <c r="C20">
        <v>-800.27918490224101</v>
      </c>
      <c r="D20">
        <v>-1413.9107927811065</v>
      </c>
      <c r="E20">
        <v>-2040.6625254823832</v>
      </c>
      <c r="F20">
        <v>-2653.5735130146204</v>
      </c>
    </row>
    <row r="21" spans="3:8" x14ac:dyDescent="0.2">
      <c r="C21">
        <v>2</v>
      </c>
      <c r="D21">
        <f>7/2</f>
        <v>3.5</v>
      </c>
      <c r="E21">
        <v>5</v>
      </c>
      <c r="F21">
        <f>13/2</f>
        <v>6.5</v>
      </c>
    </row>
    <row r="22" spans="3:8" x14ac:dyDescent="0.2">
      <c r="C22">
        <f>+C20/C21</f>
        <v>-400.13959245112051</v>
      </c>
      <c r="D22">
        <f t="shared" ref="D22:F22" si="0">+D20/D21</f>
        <v>-403.97451222317329</v>
      </c>
      <c r="E22">
        <f t="shared" si="0"/>
        <v>-408.13250509647662</v>
      </c>
      <c r="F22">
        <f t="shared" si="0"/>
        <v>-408.24207892532621</v>
      </c>
    </row>
    <row r="24" spans="3:8" x14ac:dyDescent="0.2">
      <c r="D24">
        <f>+IO!O7</f>
        <v>41.732018160908503</v>
      </c>
      <c r="H24" s="51">
        <f>D24/1000/D22</f>
        <v>-1.0330359193021044E-4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8" baseType="lpstr">
      <vt:lpstr>Cases</vt:lpstr>
      <vt:lpstr>IO</vt:lpstr>
      <vt:lpstr>Model</vt:lpstr>
      <vt:lpstr>Revisions</vt:lpstr>
      <vt:lpstr>Sheet1</vt:lpstr>
      <vt:lpstr>surface</vt:lpstr>
      <vt:lpstr>O2</vt:lpstr>
      <vt:lpstr>CO</vt:lpstr>
      <vt:lpstr>NO</vt:lpstr>
      <vt:lpstr>cal</vt:lpstr>
      <vt:lpstr>cal_J</vt:lpstr>
      <vt:lpstr>Case</vt:lpstr>
      <vt:lpstr>Cases</vt:lpstr>
      <vt:lpstr>K1_</vt:lpstr>
      <vt:lpstr>K10_</vt:lpstr>
      <vt:lpstr>k10f</vt:lpstr>
      <vt:lpstr>k10r</vt:lpstr>
      <vt:lpstr>k1f</vt:lpstr>
      <vt:lpstr>k1r</vt:lpstr>
      <vt:lpstr>K2_</vt:lpstr>
      <vt:lpstr>k2f</vt:lpstr>
      <vt:lpstr>k2r</vt:lpstr>
      <vt:lpstr>K3_</vt:lpstr>
      <vt:lpstr>k3f</vt:lpstr>
      <vt:lpstr>k3r</vt:lpstr>
      <vt:lpstr>K4_</vt:lpstr>
      <vt:lpstr>k4f</vt:lpstr>
      <vt:lpstr>k4r</vt:lpstr>
      <vt:lpstr>K5_</vt:lpstr>
      <vt:lpstr>k5f</vt:lpstr>
      <vt:lpstr>k5r</vt:lpstr>
      <vt:lpstr>K6_</vt:lpstr>
      <vt:lpstr>k6f</vt:lpstr>
      <vt:lpstr>k6r</vt:lpstr>
      <vt:lpstr>K7_</vt:lpstr>
      <vt:lpstr>k7f</vt:lpstr>
      <vt:lpstr>k7r</vt:lpstr>
      <vt:lpstr>K8_</vt:lpstr>
      <vt:lpstr>k8f</vt:lpstr>
      <vt:lpstr>k8r</vt:lpstr>
      <vt:lpstr>K9_</vt:lpstr>
      <vt:lpstr>k9f</vt:lpstr>
      <vt:lpstr>k9r</vt:lpstr>
      <vt:lpstr>P_t</vt:lpstr>
      <vt:lpstr>IO!Print_Area</vt:lpstr>
      <vt:lpstr>ratio_3_4</vt:lpstr>
      <vt:lpstr>sample</vt:lpstr>
      <vt:lpstr>T_cat</vt:lpstr>
    </vt:vector>
  </TitlesOfParts>
  <Company>Johnson Matthey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Gildert</dc:creator>
  <cp:lastModifiedBy>Kusima, Kenneth L</cp:lastModifiedBy>
  <cp:lastPrinted>2014-08-12T19:36:44Z</cp:lastPrinted>
  <dcterms:created xsi:type="dcterms:W3CDTF">2010-04-21T14:16:07Z</dcterms:created>
  <dcterms:modified xsi:type="dcterms:W3CDTF">2023-11-19T07:41:31Z</dcterms:modified>
</cp:coreProperties>
</file>