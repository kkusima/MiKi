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embeddings/oleObject9.bin" ContentType="application/vnd.openxmlformats-officedocument.oleObject"/>
  <Override PartName="/xl/embeddings/oleObject10.bin" ContentType="application/vnd.openxmlformats-officedocument.oleObject"/>
  <Override PartName="/xl/ctrlProps/ctrlProp1.xml" ContentType="application/vnd.ms-excel.controlproperties+xml"/>
  <Override PartName="/xl/drawings/drawing2.xml" ContentType="application/vnd.openxmlformats-officedocument.drawing+xml"/>
  <Override PartName="/xl/embeddings/oleObject11.bin" ContentType="application/vnd.openxmlformats-officedocument.oleObject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110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klkusima/Desktop/RASH_Research/CO_ox/Kinetics/OOP_Kinetics/MiKi/Miscallaneous/PFR Model/PSSA_PEA/"/>
    </mc:Choice>
  </mc:AlternateContent>
  <xr:revisionPtr revIDLastSave="0" documentId="13_ncr:1_{5493C8F8-09DF-624D-80C8-D38742F47877}" xr6:coauthVersionLast="47" xr6:coauthVersionMax="47" xr10:uidLastSave="{00000000-0000-0000-0000-000000000000}"/>
  <bookViews>
    <workbookView xWindow="0" yWindow="500" windowWidth="28800" windowHeight="17500" activeTab="1" xr2:uid="{00000000-000D-0000-FFFF-FFFF00000000}"/>
  </bookViews>
  <sheets>
    <sheet name="Cases" sheetId="19" r:id="rId1"/>
    <sheet name="IO" sheetId="1" r:id="rId2"/>
    <sheet name="Model" sheetId="2" r:id="rId3"/>
    <sheet name="surface" sheetId="18" r:id="rId4"/>
    <sheet name="O2" sheetId="15" r:id="rId5"/>
    <sheet name="CO" sheetId="16" r:id="rId6"/>
    <sheet name="NO" sheetId="20" r:id="rId7"/>
    <sheet name="Revisions" sheetId="10" r:id="rId8"/>
    <sheet name="Sheet1" sheetId="17" r:id="rId9"/>
  </sheets>
  <definedNames>
    <definedName name="_xlnm._FilterDatabase" localSheetId="0" hidden="1">Cases!$A$2:$N$206</definedName>
    <definedName name="cal">IO!$B$57</definedName>
    <definedName name="cal_J">IO!$B$80</definedName>
    <definedName name="Case">IO!$A$1</definedName>
    <definedName name="Cases">Cases!$A$3:$N$206</definedName>
    <definedName name="data">#REF!</definedName>
    <definedName name="K1_">IO!$AQ$21</definedName>
    <definedName name="K10_">IO!$AQ$30</definedName>
    <definedName name="k10f">IO!$AK$30</definedName>
    <definedName name="k10r">IO!$AT$30</definedName>
    <definedName name="k1f">IO!$AK$21</definedName>
    <definedName name="k1r">IO!$AT$21</definedName>
    <definedName name="K2_">IO!$AQ$22</definedName>
    <definedName name="k2f">IO!$AK$22</definedName>
    <definedName name="k2r">IO!$AT$22</definedName>
    <definedName name="K3_">IO!$AQ$23</definedName>
    <definedName name="k3f">IO!$AK$23</definedName>
    <definedName name="k3r">IO!$AT$23</definedName>
    <definedName name="K4_">IO!$AQ$24</definedName>
    <definedName name="k4f">IO!$AK$24</definedName>
    <definedName name="k4r">IO!$AT$24</definedName>
    <definedName name="K5_">IO!$AQ$25</definedName>
    <definedName name="k5f">IO!$AK$25</definedName>
    <definedName name="k5r">IO!$AT$25</definedName>
    <definedName name="K6_">IO!$AQ$26</definedName>
    <definedName name="k6f">IO!$AK$26</definedName>
    <definedName name="k6r">IO!$AT$26</definedName>
    <definedName name="K7_">IO!$AQ$27</definedName>
    <definedName name="k7f">IO!$AK$27</definedName>
    <definedName name="k7r">IO!$AT$27</definedName>
    <definedName name="K8_">IO!$AQ$28</definedName>
    <definedName name="k8f">IO!$AK$28</definedName>
    <definedName name="k8r">IO!$AT$28</definedName>
    <definedName name="K9_">IO!$AQ$29</definedName>
    <definedName name="k9f">IO!$AK$29</definedName>
    <definedName name="k9r">IO!$AT$29</definedName>
    <definedName name="nRx">#REF!</definedName>
    <definedName name="P_t">Model!$M$1</definedName>
    <definedName name="Por_306">#REF!</definedName>
    <definedName name="_xlnm.Print_Area" localSheetId="1">IO!$A$1:$AE$19</definedName>
    <definedName name="ratio_3_4">IO!$AG$19</definedName>
    <definedName name="sample">IO!$A$1</definedName>
    <definedName name="solver_adj" localSheetId="1" hidden="1">IO!$AG$24,IO!$AM$21,IO!$AM$22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100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2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IO!$AG$91</definedName>
    <definedName name="solver_pre" localSheetId="1" hidden="1">0.000001</definedName>
    <definedName name="solver_rbv" localSheetId="1" hidden="1">1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2</definedName>
    <definedName name="solver_val" localSheetId="1" hidden="1">0</definedName>
    <definedName name="solver_ver" localSheetId="1" hidden="1">3</definedName>
    <definedName name="T_cat">IO!$V$14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79" i="1" l="1"/>
  <c r="AG29" i="1"/>
  <c r="AG25" i="1"/>
  <c r="AI25" i="1"/>
  <c r="AI29" i="1"/>
  <c r="AD81" i="1"/>
  <c r="M17" i="1"/>
  <c r="V14" i="1"/>
  <c r="AK24" i="1" s="1"/>
  <c r="S1" i="1"/>
  <c r="R1" i="1"/>
  <c r="D93" i="19"/>
  <c r="AQ28" i="1" l="1"/>
  <c r="AM29" i="1" s="1"/>
  <c r="AQ29" i="1" s="1"/>
  <c r="AQ27" i="1"/>
  <c r="AQ30" i="1"/>
  <c r="AQ26" i="1"/>
  <c r="AQ25" i="1"/>
  <c r="AQ24" i="1"/>
  <c r="AQ23" i="1"/>
  <c r="AQ21" i="1"/>
  <c r="AQ22" i="1"/>
  <c r="AK29" i="1"/>
  <c r="AK28" i="1"/>
  <c r="AT28" i="1"/>
  <c r="AT30" i="1"/>
  <c r="AT27" i="1"/>
  <c r="AT22" i="1" l="1"/>
  <c r="AC3" i="2" s="1"/>
  <c r="AB2" i="2"/>
  <c r="AC2" i="2"/>
  <c r="AT21" i="1"/>
  <c r="AB3" i="2" s="1"/>
  <c r="AT26" i="1"/>
  <c r="AG3" i="2" s="1"/>
  <c r="AT23" i="1"/>
  <c r="AD3" i="2" s="1"/>
  <c r="B6" i="2"/>
  <c r="A2" i="2"/>
  <c r="M10" i="1"/>
  <c r="M8" i="1"/>
  <c r="M6" i="1"/>
  <c r="M5" i="1"/>
  <c r="N18" i="1"/>
  <c r="AG2" i="2" l="1"/>
  <c r="AD2" i="2"/>
  <c r="A6" i="2"/>
  <c r="M4" i="1"/>
  <c r="B7" i="2" l="1"/>
  <c r="A7" i="2" l="1"/>
  <c r="B8" i="2" s="1"/>
  <c r="A8" i="2" s="1"/>
  <c r="B9" i="2" l="1"/>
  <c r="A9" i="2" s="1"/>
  <c r="B10" i="2" l="1"/>
  <c r="A10" i="2" s="1"/>
  <c r="B11" i="2" l="1"/>
  <c r="A11" i="2" s="1"/>
  <c r="B12" i="2" s="1"/>
  <c r="A12" i="2" l="1"/>
  <c r="B13" i="2" l="1"/>
  <c r="A13" i="2" l="1"/>
  <c r="B14" i="2" l="1"/>
  <c r="A14" i="2" l="1"/>
  <c r="B15" i="2" l="1"/>
  <c r="A15" i="2" l="1"/>
  <c r="B16" i="2" l="1"/>
  <c r="A16" i="2" l="1"/>
  <c r="B17" i="2" l="1"/>
  <c r="A17" i="2" l="1"/>
  <c r="B18" i="2" l="1"/>
  <c r="A18" i="2" l="1"/>
  <c r="B19" i="2" l="1"/>
  <c r="A19" i="2" l="1"/>
  <c r="B20" i="2" l="1"/>
  <c r="A20" i="2" l="1"/>
  <c r="B21" i="2" l="1"/>
  <c r="A21" i="2" l="1"/>
  <c r="B22" i="2" l="1"/>
  <c r="A22" i="2" l="1"/>
  <c r="B23" i="2" l="1"/>
  <c r="A23" i="2" l="1"/>
  <c r="B24" i="2" l="1"/>
  <c r="A24" i="2" l="1"/>
  <c r="B25" i="2" l="1"/>
  <c r="A25" i="2" l="1"/>
  <c r="C9" i="1"/>
  <c r="C8" i="1"/>
  <c r="L77" i="1"/>
  <c r="H77" i="1"/>
  <c r="G77" i="1"/>
  <c r="F77" i="1"/>
  <c r="E77" i="1"/>
  <c r="C71" i="1"/>
  <c r="B26" i="2" l="1"/>
  <c r="A26" i="2" l="1"/>
  <c r="E22" i="17"/>
  <c r="C22" i="17"/>
  <c r="F21" i="17"/>
  <c r="F22" i="17" s="1"/>
  <c r="D21" i="17"/>
  <c r="D22" i="17" s="1"/>
  <c r="X14" i="1"/>
  <c r="B27" i="2" l="1"/>
  <c r="Z4" i="1"/>
  <c r="Z8" i="1"/>
  <c r="Z9" i="1"/>
  <c r="Z7" i="1"/>
  <c r="Z6" i="1"/>
  <c r="Z3" i="1"/>
  <c r="Z5" i="1"/>
  <c r="Z10" i="1"/>
  <c r="E74" i="1"/>
  <c r="F74" i="1"/>
  <c r="G74" i="1"/>
  <c r="H74" i="1"/>
  <c r="L74" i="1"/>
  <c r="E75" i="1"/>
  <c r="F75" i="1"/>
  <c r="G75" i="1"/>
  <c r="H75" i="1"/>
  <c r="L75" i="1"/>
  <c r="E76" i="1"/>
  <c r="F76" i="1"/>
  <c r="G76" i="1"/>
  <c r="H76" i="1"/>
  <c r="L76" i="1"/>
  <c r="C66" i="1"/>
  <c r="L73" i="1"/>
  <c r="C70" i="1"/>
  <c r="C69" i="1"/>
  <c r="C68" i="1"/>
  <c r="H73" i="1"/>
  <c r="G73" i="1"/>
  <c r="F73" i="1"/>
  <c r="E73" i="1"/>
  <c r="C67" i="1"/>
  <c r="D11" i="17"/>
  <c r="D8" i="17"/>
  <c r="C8" i="17"/>
  <c r="D7" i="17"/>
  <c r="C7" i="17"/>
  <c r="D2" i="17"/>
  <c r="A27" i="2" l="1"/>
  <c r="R15" i="1"/>
  <c r="S15" i="1"/>
  <c r="K73" i="1"/>
  <c r="B28" i="2" l="1"/>
  <c r="A28" i="2" l="1"/>
  <c r="T11" i="1"/>
  <c r="U11" i="1"/>
  <c r="M11" i="1"/>
  <c r="B29" i="2" l="1"/>
  <c r="N9" i="1"/>
  <c r="I1" i="2" s="1"/>
  <c r="N10" i="1"/>
  <c r="N8" i="1"/>
  <c r="H1" i="2" s="1"/>
  <c r="N7" i="1"/>
  <c r="G1" i="2" s="1"/>
  <c r="N4" i="1"/>
  <c r="N5" i="1"/>
  <c r="N6" i="1"/>
  <c r="F1" i="2" s="1"/>
  <c r="N3" i="1"/>
  <c r="C1" i="2" s="1"/>
  <c r="E1" i="2" l="1"/>
  <c r="N14" i="1"/>
  <c r="A29" i="2"/>
  <c r="V10" i="1"/>
  <c r="J1" i="2"/>
  <c r="V4" i="1"/>
  <c r="D1" i="2"/>
  <c r="S8" i="1"/>
  <c r="S6" i="1" s="1"/>
  <c r="R5" i="1"/>
  <c r="V5" i="1" s="1"/>
  <c r="W5" i="1" s="1"/>
  <c r="B30" i="2" l="1"/>
  <c r="S9" i="1"/>
  <c r="V9" i="1" s="1"/>
  <c r="W9" i="1" s="1"/>
  <c r="V8" i="1"/>
  <c r="R6" i="1"/>
  <c r="R7" i="1"/>
  <c r="V7" i="1" s="1"/>
  <c r="W7" i="1" s="1"/>
  <c r="A30" i="2" l="1"/>
  <c r="S11" i="1"/>
  <c r="W8" i="1"/>
  <c r="V6" i="1"/>
  <c r="W6" i="1" s="1"/>
  <c r="V3" i="1"/>
  <c r="R11" i="1"/>
  <c r="D10" i="1"/>
  <c r="B31" i="2" l="1"/>
  <c r="Z15" i="1"/>
  <c r="V11" i="1"/>
  <c r="D3" i="1"/>
  <c r="A31" i="2" l="1"/>
  <c r="U13" i="1"/>
  <c r="T13" i="1"/>
  <c r="S13" i="1"/>
  <c r="R13" i="1"/>
  <c r="X9" i="1"/>
  <c r="X8" i="1"/>
  <c r="X3" i="1"/>
  <c r="V12" i="1"/>
  <c r="X4" i="1"/>
  <c r="X5" i="1"/>
  <c r="X7" i="1"/>
  <c r="X6" i="1"/>
  <c r="X10" i="1"/>
  <c r="V13" i="1"/>
  <c r="N13" i="1"/>
  <c r="B32" i="2" l="1"/>
  <c r="X11" i="1"/>
  <c r="M12" i="1"/>
  <c r="A32" i="2" l="1"/>
  <c r="D5" i="2"/>
  <c r="B33" i="2" l="1"/>
  <c r="D6" i="2"/>
  <c r="D7" i="2" l="1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1" i="2" s="1"/>
  <c r="D132" i="2" s="1"/>
  <c r="D133" i="2" s="1"/>
  <c r="D134" i="2" s="1"/>
  <c r="D135" i="2" s="1"/>
  <c r="D136" i="2" s="1"/>
  <c r="D137" i="2" s="1"/>
  <c r="D138" i="2" s="1"/>
  <c r="D139" i="2" s="1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" i="2" s="1"/>
  <c r="AC4" i="1" s="1"/>
  <c r="A33" i="2"/>
  <c r="N11" i="1"/>
  <c r="B34" i="2" l="1"/>
  <c r="N12" i="1"/>
  <c r="A34" i="2" l="1"/>
  <c r="E5" i="2"/>
  <c r="C5" i="2"/>
  <c r="C6" i="2" s="1"/>
  <c r="C7" i="2" l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6" i="2" s="1"/>
  <c r="C127" i="2" s="1"/>
  <c r="C128" i="2" s="1"/>
  <c r="C129" i="2" s="1"/>
  <c r="C130" i="2" s="1"/>
  <c r="C131" i="2" s="1"/>
  <c r="C132" i="2" s="1"/>
  <c r="C133" i="2" s="1"/>
  <c r="C134" i="2" s="1"/>
  <c r="C135" i="2" s="1"/>
  <c r="C136" i="2" s="1"/>
  <c r="C137" i="2" s="1"/>
  <c r="C138" i="2" s="1"/>
  <c r="C139" i="2" s="1"/>
  <c r="C140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" i="2" s="1"/>
  <c r="AC3" i="1" s="1"/>
  <c r="B35" i="2"/>
  <c r="A35" i="2" l="1"/>
  <c r="H5" i="2"/>
  <c r="B36" i="2" l="1"/>
  <c r="I5" i="2"/>
  <c r="A36" i="2" l="1"/>
  <c r="J5" i="2"/>
  <c r="J6" i="2" s="1"/>
  <c r="J7" i="2" s="1"/>
  <c r="J8" i="2" s="1"/>
  <c r="J9" i="2" s="1"/>
  <c r="J10" i="2" s="1"/>
  <c r="J11" i="2" s="1"/>
  <c r="J12" i="2" s="1"/>
  <c r="J13" i="2" s="1"/>
  <c r="J14" i="2" s="1"/>
  <c r="J15" i="2" s="1"/>
  <c r="J16" i="2" s="1"/>
  <c r="J17" i="2" s="1"/>
  <c r="J18" i="2" s="1"/>
  <c r="J19" i="2" s="1"/>
  <c r="J20" i="2" s="1"/>
  <c r="J21" i="2" s="1"/>
  <c r="J22" i="2" s="1"/>
  <c r="J23" i="2" s="1"/>
  <c r="J24" i="2" s="1"/>
  <c r="J25" i="2" s="1"/>
  <c r="J26" i="2" s="1"/>
  <c r="J27" i="2" s="1"/>
  <c r="J28" i="2" s="1"/>
  <c r="J29" i="2" s="1"/>
  <c r="J30" i="2" s="1"/>
  <c r="J31" i="2" s="1"/>
  <c r="J32" i="2" s="1"/>
  <c r="J33" i="2" s="1"/>
  <c r="J34" i="2" s="1"/>
  <c r="J35" i="2" s="1"/>
  <c r="J36" i="2" s="1"/>
  <c r="J37" i="2" s="1"/>
  <c r="J38" i="2" s="1"/>
  <c r="J39" i="2" s="1"/>
  <c r="J40" i="2" s="1"/>
  <c r="J41" i="2" s="1"/>
  <c r="J42" i="2" s="1"/>
  <c r="J43" i="2" s="1"/>
  <c r="J44" i="2" s="1"/>
  <c r="J45" i="2" s="1"/>
  <c r="J46" i="2" s="1"/>
  <c r="J47" i="2" s="1"/>
  <c r="J48" i="2" s="1"/>
  <c r="J49" i="2" s="1"/>
  <c r="J50" i="2" s="1"/>
  <c r="J51" i="2" s="1"/>
  <c r="J52" i="2" s="1"/>
  <c r="J53" i="2" s="1"/>
  <c r="J54" i="2" s="1"/>
  <c r="J55" i="2" s="1"/>
  <c r="J56" i="2" s="1"/>
  <c r="J57" i="2" s="1"/>
  <c r="J58" i="2" s="1"/>
  <c r="J59" i="2" s="1"/>
  <c r="J60" i="2" s="1"/>
  <c r="J61" i="2" s="1"/>
  <c r="J62" i="2" s="1"/>
  <c r="J63" i="2" s="1"/>
  <c r="J64" i="2" s="1"/>
  <c r="J65" i="2" s="1"/>
  <c r="J66" i="2" s="1"/>
  <c r="J67" i="2" s="1"/>
  <c r="J68" i="2" s="1"/>
  <c r="J69" i="2" s="1"/>
  <c r="J70" i="2" s="1"/>
  <c r="J71" i="2" s="1"/>
  <c r="J72" i="2" s="1"/>
  <c r="J73" i="2" s="1"/>
  <c r="J74" i="2" s="1"/>
  <c r="J75" i="2" s="1"/>
  <c r="J76" i="2" s="1"/>
  <c r="J77" i="2" s="1"/>
  <c r="J78" i="2" s="1"/>
  <c r="J79" i="2" s="1"/>
  <c r="J80" i="2" s="1"/>
  <c r="J81" i="2" s="1"/>
  <c r="J82" i="2" s="1"/>
  <c r="J83" i="2" s="1"/>
  <c r="J84" i="2" s="1"/>
  <c r="J85" i="2" s="1"/>
  <c r="J86" i="2" s="1"/>
  <c r="J87" i="2" s="1"/>
  <c r="J88" i="2" s="1"/>
  <c r="J89" i="2" s="1"/>
  <c r="J90" i="2" s="1"/>
  <c r="J91" i="2" s="1"/>
  <c r="J92" i="2" s="1"/>
  <c r="J93" i="2" s="1"/>
  <c r="J94" i="2" s="1"/>
  <c r="J95" i="2" s="1"/>
  <c r="J96" i="2" s="1"/>
  <c r="J97" i="2" s="1"/>
  <c r="J98" i="2" s="1"/>
  <c r="J99" i="2" s="1"/>
  <c r="J100" i="2" s="1"/>
  <c r="J101" i="2" s="1"/>
  <c r="J102" i="2" s="1"/>
  <c r="J103" i="2" s="1"/>
  <c r="J104" i="2" s="1"/>
  <c r="J105" i="2" s="1"/>
  <c r="J106" i="2" s="1"/>
  <c r="J107" i="2" s="1"/>
  <c r="J108" i="2" s="1"/>
  <c r="J109" i="2" s="1"/>
  <c r="J110" i="2" s="1"/>
  <c r="J111" i="2" s="1"/>
  <c r="J112" i="2" s="1"/>
  <c r="J113" i="2" s="1"/>
  <c r="J114" i="2" s="1"/>
  <c r="J115" i="2" s="1"/>
  <c r="J116" i="2" s="1"/>
  <c r="J117" i="2" s="1"/>
  <c r="J118" i="2" s="1"/>
  <c r="J119" i="2" s="1"/>
  <c r="J120" i="2" s="1"/>
  <c r="J121" i="2" s="1"/>
  <c r="J122" i="2" s="1"/>
  <c r="J123" i="2" s="1"/>
  <c r="J124" i="2" s="1"/>
  <c r="J125" i="2" s="1"/>
  <c r="J126" i="2" s="1"/>
  <c r="J127" i="2" s="1"/>
  <c r="J128" i="2" s="1"/>
  <c r="J129" i="2" s="1"/>
  <c r="J130" i="2" s="1"/>
  <c r="J131" i="2" s="1"/>
  <c r="J132" i="2" s="1"/>
  <c r="J133" i="2" s="1"/>
  <c r="J134" i="2" s="1"/>
  <c r="J135" i="2" s="1"/>
  <c r="J136" i="2" s="1"/>
  <c r="J137" i="2" s="1"/>
  <c r="J138" i="2" s="1"/>
  <c r="J139" i="2" s="1"/>
  <c r="J140" i="2" s="1"/>
  <c r="J141" i="2" s="1"/>
  <c r="J142" i="2" s="1"/>
  <c r="J143" i="2" s="1"/>
  <c r="J144" i="2" s="1"/>
  <c r="J145" i="2" s="1"/>
  <c r="J146" i="2" s="1"/>
  <c r="J147" i="2" s="1"/>
  <c r="J148" i="2" s="1"/>
  <c r="J149" i="2" s="1"/>
  <c r="J150" i="2" s="1"/>
  <c r="J151" i="2" s="1"/>
  <c r="J152" i="2" s="1"/>
  <c r="J153" i="2" s="1"/>
  <c r="J154" i="2" s="1"/>
  <c r="J155" i="2" s="1"/>
  <c r="J156" i="2" s="1"/>
  <c r="J157" i="2" s="1"/>
  <c r="J158" i="2" s="1"/>
  <c r="J159" i="2" s="1"/>
  <c r="J160" i="2" s="1"/>
  <c r="J161" i="2" s="1"/>
  <c r="J162" i="2" s="1"/>
  <c r="J163" i="2" s="1"/>
  <c r="J164" i="2" s="1"/>
  <c r="J165" i="2" s="1"/>
  <c r="J166" i="2" s="1"/>
  <c r="J167" i="2" s="1"/>
  <c r="J168" i="2" s="1"/>
  <c r="J169" i="2" s="1"/>
  <c r="J170" i="2" s="1"/>
  <c r="J171" i="2" s="1"/>
  <c r="J172" i="2" s="1"/>
  <c r="J173" i="2" s="1"/>
  <c r="J174" i="2" s="1"/>
  <c r="J175" i="2" s="1"/>
  <c r="J176" i="2" s="1"/>
  <c r="J177" i="2" s="1"/>
  <c r="J178" i="2" s="1"/>
  <c r="J179" i="2" s="1"/>
  <c r="J180" i="2" s="1"/>
  <c r="J181" i="2" s="1"/>
  <c r="J182" i="2" s="1"/>
  <c r="J183" i="2" s="1"/>
  <c r="J184" i="2" s="1"/>
  <c r="J185" i="2" s="1"/>
  <c r="J186" i="2" s="1"/>
  <c r="J187" i="2" s="1"/>
  <c r="J188" i="2" s="1"/>
  <c r="J189" i="2" s="1"/>
  <c r="J190" i="2" s="1"/>
  <c r="J191" i="2" s="1"/>
  <c r="J192" i="2" s="1"/>
  <c r="J193" i="2" s="1"/>
  <c r="J194" i="2" s="1"/>
  <c r="J195" i="2" s="1"/>
  <c r="J196" i="2" s="1"/>
  <c r="J197" i="2" s="1"/>
  <c r="J198" i="2" s="1"/>
  <c r="J199" i="2" s="1"/>
  <c r="G5" i="2"/>
  <c r="B37" i="2" l="1"/>
  <c r="K1" i="2"/>
  <c r="F5" i="2"/>
  <c r="A37" i="2" l="1"/>
  <c r="K5" i="2"/>
  <c r="L5" i="2" l="1"/>
  <c r="O5" i="2"/>
  <c r="P5" i="2"/>
  <c r="N5" i="2"/>
  <c r="M5" i="2"/>
  <c r="B38" i="2"/>
  <c r="Q5" i="2" l="1"/>
  <c r="A38" i="2"/>
  <c r="S5" i="2" l="1"/>
  <c r="W5" i="2"/>
  <c r="U5" i="2"/>
  <c r="T5" i="2"/>
  <c r="R5" i="2"/>
  <c r="V5" i="2"/>
  <c r="AG5" i="2" s="1"/>
  <c r="B39" i="2"/>
  <c r="X5" i="2" l="1"/>
  <c r="AB5" i="2"/>
  <c r="AD5" i="2"/>
  <c r="AC5" i="2"/>
  <c r="A39" i="2"/>
  <c r="B40" i="2" l="1"/>
  <c r="A40" i="2" l="1"/>
  <c r="B41" i="2" l="1"/>
  <c r="A41" i="2" l="1"/>
  <c r="B42" i="2" l="1"/>
  <c r="A42" i="2" l="1"/>
  <c r="B43" i="2" l="1"/>
  <c r="A43" i="2" l="1"/>
  <c r="B44" i="2" l="1"/>
  <c r="A44" i="2" l="1"/>
  <c r="B45" i="2" l="1"/>
  <c r="A45" i="2" l="1"/>
  <c r="B46" i="2" l="1"/>
  <c r="A46" i="2" l="1"/>
  <c r="B47" i="2" l="1"/>
  <c r="A47" i="2" l="1"/>
  <c r="B48" i="2" l="1"/>
  <c r="A48" i="2" l="1"/>
  <c r="B49" i="2" l="1"/>
  <c r="A49" i="2" l="1"/>
  <c r="B50" i="2" l="1"/>
  <c r="A50" i="2" l="1"/>
  <c r="B51" i="2" l="1"/>
  <c r="A51" i="2" l="1"/>
  <c r="B52" i="2" l="1"/>
  <c r="A52" i="2" l="1"/>
  <c r="B53" i="2" l="1"/>
  <c r="A53" i="2" l="1"/>
  <c r="B54" i="2" l="1"/>
  <c r="A54" i="2" l="1"/>
  <c r="B55" i="2" l="1"/>
  <c r="A55" i="2" l="1"/>
  <c r="B56" i="2" l="1"/>
  <c r="A56" i="2" l="1"/>
  <c r="B57" i="2" l="1"/>
  <c r="A57" i="2" l="1"/>
  <c r="B58" i="2" l="1"/>
  <c r="A58" i="2" l="1"/>
  <c r="B59" i="2" l="1"/>
  <c r="A59" i="2" l="1"/>
  <c r="B60" i="2" l="1"/>
  <c r="A60" i="2" l="1"/>
  <c r="B61" i="2" l="1"/>
  <c r="A61" i="2" l="1"/>
  <c r="B62" i="2" l="1"/>
  <c r="A62" i="2" l="1"/>
  <c r="B63" i="2" l="1"/>
  <c r="A63" i="2" l="1"/>
  <c r="B64" i="2" l="1"/>
  <c r="A64" i="2" l="1"/>
  <c r="B65" i="2" l="1"/>
  <c r="A65" i="2" l="1"/>
  <c r="B66" i="2" l="1"/>
  <c r="A66" i="2" l="1"/>
  <c r="B67" i="2" l="1"/>
  <c r="A67" i="2" l="1"/>
  <c r="B68" i="2" l="1"/>
  <c r="A68" i="2" l="1"/>
  <c r="B69" i="2" l="1"/>
  <c r="A69" i="2" l="1"/>
  <c r="B70" i="2" l="1"/>
  <c r="A70" i="2" l="1"/>
  <c r="B71" i="2" l="1"/>
  <c r="A71" i="2" l="1"/>
  <c r="B72" i="2" l="1"/>
  <c r="A72" i="2" l="1"/>
  <c r="B73" i="2" l="1"/>
  <c r="A73" i="2" l="1"/>
  <c r="B74" i="2" l="1"/>
  <c r="A74" i="2" l="1"/>
  <c r="B75" i="2" l="1"/>
  <c r="A75" i="2" l="1"/>
  <c r="B76" i="2" l="1"/>
  <c r="A76" i="2" l="1"/>
  <c r="B77" i="2" l="1"/>
  <c r="A77" i="2" l="1"/>
  <c r="B78" i="2" l="1"/>
  <c r="A78" i="2" l="1"/>
  <c r="B79" i="2" l="1"/>
  <c r="A79" i="2" l="1"/>
  <c r="B80" i="2" l="1"/>
  <c r="A80" i="2" l="1"/>
  <c r="B81" i="2" l="1"/>
  <c r="A81" i="2" l="1"/>
  <c r="B82" i="2" l="1"/>
  <c r="A82" i="2" l="1"/>
  <c r="B83" i="2" l="1"/>
  <c r="A83" i="2" l="1"/>
  <c r="B84" i="2" l="1"/>
  <c r="A84" i="2" l="1"/>
  <c r="B85" i="2" l="1"/>
  <c r="A85" i="2" l="1"/>
  <c r="B86" i="2" l="1"/>
  <c r="A86" i="2" l="1"/>
  <c r="B87" i="2" l="1"/>
  <c r="A87" i="2" l="1"/>
  <c r="B88" i="2" l="1"/>
  <c r="A88" i="2" l="1"/>
  <c r="B89" i="2" l="1"/>
  <c r="A89" i="2" l="1"/>
  <c r="B90" i="2" l="1"/>
  <c r="A90" i="2" l="1"/>
  <c r="B91" i="2" l="1"/>
  <c r="A91" i="2" l="1"/>
  <c r="B92" i="2" l="1"/>
  <c r="A92" i="2" l="1"/>
  <c r="B93" i="2" l="1"/>
  <c r="A93" i="2" l="1"/>
  <c r="B94" i="2" l="1"/>
  <c r="A94" i="2" l="1"/>
  <c r="B95" i="2" l="1"/>
  <c r="A95" i="2" l="1"/>
  <c r="B96" i="2" l="1"/>
  <c r="A96" i="2" l="1"/>
  <c r="B97" i="2" l="1"/>
  <c r="A97" i="2" l="1"/>
  <c r="B98" i="2" l="1"/>
  <c r="A98" i="2" l="1"/>
  <c r="B99" i="2" l="1"/>
  <c r="A99" i="2" l="1"/>
  <c r="B100" i="2" l="1"/>
  <c r="A100" i="2" l="1"/>
  <c r="B101" i="2" l="1"/>
  <c r="A101" i="2" l="1"/>
  <c r="B102" i="2" l="1"/>
  <c r="A102" i="2" l="1"/>
  <c r="B103" i="2" l="1"/>
  <c r="A103" i="2" l="1"/>
  <c r="B104" i="2" l="1"/>
  <c r="A104" i="2" l="1"/>
  <c r="B105" i="2" l="1"/>
  <c r="A105" i="2" l="1"/>
  <c r="B106" i="2" l="1"/>
  <c r="A106" i="2" l="1"/>
  <c r="B107" i="2" l="1"/>
  <c r="A107" i="2" l="1"/>
  <c r="B108" i="2" l="1"/>
  <c r="A108" i="2" l="1"/>
  <c r="B109" i="2" l="1"/>
  <c r="A109" i="2" l="1"/>
  <c r="B110" i="2" l="1"/>
  <c r="A110" i="2" l="1"/>
  <c r="B111" i="2" l="1"/>
  <c r="A111" i="2" s="1"/>
  <c r="B112" i="2" l="1"/>
  <c r="A112" i="2" s="1"/>
  <c r="B113" i="2" l="1"/>
  <c r="A113" i="2" s="1"/>
  <c r="B114" i="2" l="1"/>
  <c r="A114" i="2" s="1"/>
  <c r="B115" i="2" l="1"/>
  <c r="A115" i="2" s="1"/>
  <c r="B116" i="2" l="1"/>
  <c r="A116" i="2" s="1"/>
  <c r="B117" i="2" l="1"/>
  <c r="A117" i="2" s="1"/>
  <c r="B118" i="2" l="1"/>
  <c r="A118" i="2" s="1"/>
  <c r="B119" i="2" l="1"/>
  <c r="A119" i="2" s="1"/>
  <c r="B120" i="2" l="1"/>
  <c r="A120" i="2" s="1"/>
  <c r="B121" i="2" l="1"/>
  <c r="A121" i="2" s="1"/>
  <c r="B122" i="2" l="1"/>
  <c r="A122" i="2" s="1"/>
  <c r="B123" i="2" l="1"/>
  <c r="A123" i="2" l="1"/>
  <c r="B124" i="2" l="1"/>
  <c r="A124" i="2" l="1"/>
  <c r="B125" i="2" l="1"/>
  <c r="A125" i="2" l="1"/>
  <c r="B126" i="2" l="1"/>
  <c r="A126" i="2" l="1"/>
  <c r="B127" i="2" l="1"/>
  <c r="A127" i="2" s="1"/>
  <c r="B128" i="2" l="1"/>
  <c r="A128" i="2" s="1"/>
  <c r="B129" i="2" l="1"/>
  <c r="A129" i="2" s="1"/>
  <c r="B130" i="2" l="1"/>
  <c r="A130" i="2" s="1"/>
  <c r="B131" i="2" l="1"/>
  <c r="A131" i="2" s="1"/>
  <c r="B132" i="2" l="1"/>
  <c r="A132" i="2" s="1"/>
  <c r="B133" i="2" l="1"/>
  <c r="A133" i="2" s="1"/>
  <c r="B134" i="2" l="1"/>
  <c r="A134" i="2" s="1"/>
  <c r="B135" i="2" l="1"/>
  <c r="A135" i="2" s="1"/>
  <c r="B136" i="2" l="1"/>
  <c r="A136" i="2" s="1"/>
  <c r="B137" i="2" l="1"/>
  <c r="A137" i="2" s="1"/>
  <c r="B138" i="2" l="1"/>
  <c r="A138" i="2" s="1"/>
  <c r="B139" i="2" l="1"/>
  <c r="A139" i="2" s="1"/>
  <c r="B140" i="2" l="1"/>
  <c r="A140" i="2" l="1"/>
  <c r="B141" i="2" l="1"/>
  <c r="A141" i="2" l="1"/>
  <c r="B142" i="2" l="1"/>
  <c r="A142" i="2" l="1"/>
  <c r="B143" i="2" l="1"/>
  <c r="A143" i="2" l="1"/>
  <c r="B144" i="2" l="1"/>
  <c r="A144" i="2" l="1"/>
  <c r="B145" i="2" l="1"/>
  <c r="A145" i="2" l="1"/>
  <c r="B146" i="2" l="1"/>
  <c r="A146" i="2" l="1"/>
  <c r="B147" i="2" l="1"/>
  <c r="A147" i="2" l="1"/>
  <c r="B148" i="2" l="1"/>
  <c r="A148" i="2" l="1"/>
  <c r="B149" i="2" l="1"/>
  <c r="A149" i="2" l="1"/>
  <c r="B150" i="2" s="1"/>
  <c r="A150" i="2" s="1"/>
  <c r="W14" i="1"/>
  <c r="O14" i="1"/>
  <c r="B151" i="2" l="1"/>
  <c r="A151" i="2" s="1"/>
  <c r="Y74" i="1"/>
  <c r="Y9" i="1"/>
  <c r="Y8" i="1"/>
  <c r="P6" i="1"/>
  <c r="Y7" i="1"/>
  <c r="O73" i="1"/>
  <c r="O8" i="1"/>
  <c r="O76" i="1"/>
  <c r="Y10" i="1"/>
  <c r="Y3" i="1"/>
  <c r="O3" i="1"/>
  <c r="P10" i="1"/>
  <c r="P3" i="1"/>
  <c r="Y76" i="1"/>
  <c r="Y6" i="1"/>
  <c r="Y73" i="1"/>
  <c r="P9" i="1"/>
  <c r="O4" i="1"/>
  <c r="O75" i="1"/>
  <c r="P8" i="1"/>
  <c r="O74" i="1"/>
  <c r="P5" i="1"/>
  <c r="O9" i="1"/>
  <c r="P4" i="1"/>
  <c r="Y75" i="1"/>
  <c r="Y5" i="1"/>
  <c r="Y4" i="1"/>
  <c r="O7" i="1"/>
  <c r="D24" i="17" s="1"/>
  <c r="H24" i="17" s="1"/>
  <c r="O6" i="1"/>
  <c r="O5" i="1"/>
  <c r="P7" i="1"/>
  <c r="O10" i="1"/>
  <c r="B152" i="2" l="1"/>
  <c r="A152" i="2" s="1"/>
  <c r="O16" i="1"/>
  <c r="P15" i="1"/>
  <c r="W15" i="1" s="1"/>
  <c r="Y16" i="1"/>
  <c r="B153" i="2" l="1"/>
  <c r="A153" i="2" s="1"/>
  <c r="B154" i="2" l="1"/>
  <c r="A154" i="2" s="1"/>
  <c r="B155" i="2" l="1"/>
  <c r="A155" i="2" s="1"/>
  <c r="B156" i="2" l="1"/>
  <c r="A156" i="2" s="1"/>
  <c r="B157" i="2" l="1"/>
  <c r="A157" i="2" s="1"/>
  <c r="B158" i="2" l="1"/>
  <c r="A158" i="2" s="1"/>
  <c r="B159" i="2" l="1"/>
  <c r="A159" i="2" s="1"/>
  <c r="B160" i="2" l="1"/>
  <c r="A160" i="2" s="1"/>
  <c r="B161" i="2" l="1"/>
  <c r="A161" i="2" s="1"/>
  <c r="B162" i="2" l="1"/>
  <c r="A162" i="2" s="1"/>
  <c r="B163" i="2" l="1"/>
  <c r="A163" i="2" s="1"/>
  <c r="B164" i="2" l="1"/>
  <c r="A164" i="2" s="1"/>
  <c r="B165" i="2" l="1"/>
  <c r="A165" i="2" s="1"/>
  <c r="B166" i="2" l="1"/>
  <c r="A166" i="2" s="1"/>
  <c r="B167" i="2" l="1"/>
  <c r="A167" i="2" s="1"/>
  <c r="B168" i="2" l="1"/>
  <c r="A168" i="2" l="1"/>
  <c r="B169" i="2" s="1"/>
  <c r="A169" i="2" l="1"/>
  <c r="B170" i="2" l="1"/>
  <c r="A170" i="2" l="1"/>
  <c r="B171" i="2" l="1"/>
  <c r="A171" i="2" l="1"/>
  <c r="B172" i="2" l="1"/>
  <c r="A172" i="2" l="1"/>
  <c r="B173" i="2" l="1"/>
  <c r="A173" i="2" l="1"/>
  <c r="B174" i="2" l="1"/>
  <c r="A174" i="2" l="1"/>
  <c r="B175" i="2" l="1"/>
  <c r="A175" i="2" l="1"/>
  <c r="B176" i="2" l="1"/>
  <c r="A176" i="2" l="1"/>
  <c r="B177" i="2" l="1"/>
  <c r="A177" i="2" l="1"/>
  <c r="B178" i="2" l="1"/>
  <c r="A178" i="2" l="1"/>
  <c r="B179" i="2" l="1"/>
  <c r="A179" i="2" l="1"/>
  <c r="B180" i="2" l="1"/>
  <c r="A180" i="2" l="1"/>
  <c r="B181" i="2" l="1"/>
  <c r="A181" i="2" l="1"/>
  <c r="B182" i="2" l="1"/>
  <c r="A182" i="2" l="1"/>
  <c r="B183" i="2" l="1"/>
  <c r="A183" i="2" l="1"/>
  <c r="B184" i="2" l="1"/>
  <c r="A184" i="2" l="1"/>
  <c r="B185" i="2" l="1"/>
  <c r="A185" i="2" l="1"/>
  <c r="B186" i="2" l="1"/>
  <c r="A186" i="2" l="1"/>
  <c r="B187" i="2" l="1"/>
  <c r="A187" i="2" l="1"/>
  <c r="B188" i="2" l="1"/>
  <c r="A188" i="2" l="1"/>
  <c r="B189" i="2" l="1"/>
  <c r="A189" i="2" l="1"/>
  <c r="B190" i="2" l="1"/>
  <c r="A190" i="2" l="1"/>
  <c r="B191" i="2" l="1"/>
  <c r="A191" i="2" l="1"/>
  <c r="B192" i="2" l="1"/>
  <c r="A192" i="2" l="1"/>
  <c r="B193" i="2" l="1"/>
  <c r="A193" i="2" l="1"/>
  <c r="B194" i="2" l="1"/>
  <c r="A194" i="2" l="1"/>
  <c r="B195" i="2" l="1"/>
  <c r="A195" i="2" l="1"/>
  <c r="B196" i="2" l="1"/>
  <c r="A196" i="2" l="1"/>
  <c r="B197" i="2" l="1"/>
  <c r="A197" i="2" l="1"/>
  <c r="B198" i="2" l="1"/>
  <c r="A198" i="2" l="1"/>
  <c r="A199" i="2" l="1"/>
  <c r="J2" i="2" l="1"/>
  <c r="AC10" i="1" s="1"/>
  <c r="AC14" i="1" l="1"/>
  <c r="AF14" i="1" s="1"/>
  <c r="AT24" i="1" l="1"/>
  <c r="AE3" i="2" s="1"/>
  <c r="AE2" i="2"/>
  <c r="AK25" i="1"/>
  <c r="AF2" i="2" s="1"/>
  <c r="AE5" i="2" l="1"/>
  <c r="AT25" i="1"/>
  <c r="AF3" i="2" l="1"/>
  <c r="Y5" i="2"/>
  <c r="AF5" i="2"/>
  <c r="E6" i="2" l="1"/>
  <c r="G6" i="2"/>
  <c r="AT29" i="1"/>
  <c r="Z5" i="2" s="1"/>
  <c r="I6" i="2" s="1"/>
  <c r="F6" i="2" l="1"/>
  <c r="H6" i="2"/>
  <c r="K6" i="2" l="1"/>
  <c r="N6" i="2" l="1"/>
  <c r="L6" i="2"/>
  <c r="P6" i="2"/>
  <c r="M6" i="2"/>
  <c r="O6" i="2"/>
  <c r="Q6" i="2" l="1"/>
  <c r="W6" i="2" l="1"/>
  <c r="Y6" i="2"/>
  <c r="Z6" i="2"/>
  <c r="H7" i="2" s="1"/>
  <c r="R6" i="2"/>
  <c r="T6" i="2"/>
  <c r="S6" i="2"/>
  <c r="U6" i="2"/>
  <c r="V6" i="2"/>
  <c r="F7" i="2" l="1"/>
  <c r="X6" i="2"/>
  <c r="I7" i="2"/>
  <c r="G7" i="2"/>
  <c r="E7" i="2"/>
  <c r="K7" i="2" l="1"/>
  <c r="M7" i="2" s="1"/>
  <c r="O7" i="2" l="1"/>
  <c r="N7" i="2"/>
  <c r="P7" i="2"/>
  <c r="L7" i="2"/>
  <c r="Q7" i="2" l="1"/>
  <c r="T7" i="2" s="1"/>
  <c r="Y7" i="2" l="1"/>
  <c r="Z7" i="2"/>
  <c r="I8" i="2" s="1"/>
  <c r="R7" i="2"/>
  <c r="W7" i="2"/>
  <c r="V7" i="2"/>
  <c r="U7" i="2"/>
  <c r="S7" i="2"/>
  <c r="G8" i="2" l="1"/>
  <c r="F8" i="2"/>
  <c r="E8" i="2"/>
  <c r="H8" i="2"/>
  <c r="X7" i="2"/>
  <c r="K8" i="2" l="1"/>
  <c r="M8" i="2" s="1"/>
  <c r="O8" i="2" l="1"/>
  <c r="L8" i="2"/>
  <c r="N8" i="2"/>
  <c r="P8" i="2"/>
  <c r="Q8" i="2" l="1"/>
  <c r="R8" i="2" s="1"/>
  <c r="T8" i="2" l="1"/>
  <c r="S8" i="2"/>
  <c r="V8" i="2"/>
  <c r="U8" i="2"/>
  <c r="W8" i="2"/>
  <c r="Z8" i="2"/>
  <c r="H9" i="2" s="1"/>
  <c r="Y8" i="2"/>
  <c r="E9" i="2" l="1"/>
  <c r="F9" i="2"/>
  <c r="X8" i="2"/>
  <c r="I9" i="2"/>
  <c r="G9" i="2"/>
  <c r="K9" i="2" l="1"/>
  <c r="M9" i="2" s="1"/>
  <c r="L9" i="2" l="1"/>
  <c r="N9" i="2"/>
  <c r="O9" i="2"/>
  <c r="P9" i="2"/>
  <c r="Q9" i="2" l="1"/>
  <c r="T9" i="2" s="1"/>
  <c r="Z9" i="2"/>
  <c r="Y9" i="2" l="1"/>
  <c r="R9" i="2"/>
  <c r="V9" i="2"/>
  <c r="S9" i="2"/>
  <c r="W9" i="2"/>
  <c r="U9" i="2"/>
  <c r="H10" i="2"/>
  <c r="I10" i="2"/>
  <c r="G10" i="2"/>
  <c r="E10" i="2" l="1"/>
  <c r="F10" i="2"/>
  <c r="X9" i="2"/>
  <c r="K10" i="2"/>
  <c r="N10" i="2" s="1"/>
  <c r="M10" i="2" l="1"/>
  <c r="O10" i="2"/>
  <c r="P10" i="2"/>
  <c r="L10" i="2"/>
  <c r="Q10" i="2" l="1"/>
  <c r="R10" i="2" s="1"/>
  <c r="Y10" i="2" l="1"/>
  <c r="U10" i="2"/>
  <c r="T10" i="2"/>
  <c r="S10" i="2"/>
  <c r="W10" i="2"/>
  <c r="V10" i="2"/>
  <c r="Z10" i="2"/>
  <c r="I11" i="2" s="1"/>
  <c r="F11" i="2" l="1"/>
  <c r="E11" i="2"/>
  <c r="G11" i="2"/>
  <c r="X10" i="2"/>
  <c r="H11" i="2"/>
  <c r="K11" i="2" s="1"/>
  <c r="M11" i="2" s="1"/>
  <c r="O11" i="2" l="1"/>
  <c r="P11" i="2"/>
  <c r="N11" i="2"/>
  <c r="L11" i="2"/>
  <c r="Q11" i="2" l="1"/>
  <c r="W11" i="2" s="1"/>
  <c r="R11" i="2" l="1"/>
  <c r="S11" i="2"/>
  <c r="Z11" i="2"/>
  <c r="H12" i="2" s="1"/>
  <c r="U11" i="2"/>
  <c r="Y11" i="2"/>
  <c r="V11" i="2"/>
  <c r="T11" i="2"/>
  <c r="E12" i="2" l="1"/>
  <c r="F12" i="2"/>
  <c r="X11" i="2"/>
  <c r="G12" i="2"/>
  <c r="I12" i="2"/>
  <c r="K12" i="2" l="1"/>
  <c r="N12" i="2" s="1"/>
  <c r="O12" i="2" l="1"/>
  <c r="M12" i="2"/>
  <c r="L12" i="2"/>
  <c r="P12" i="2"/>
  <c r="Q12" i="2" s="1"/>
  <c r="V12" i="2" s="1"/>
  <c r="W12" i="2" l="1"/>
  <c r="Z12" i="2"/>
  <c r="H13" i="2" s="1"/>
  <c r="Y12" i="2"/>
  <c r="F13" i="2" s="1"/>
  <c r="S12" i="2"/>
  <c r="R12" i="2"/>
  <c r="U12" i="2"/>
  <c r="T12" i="2"/>
  <c r="X12" i="2" l="1"/>
  <c r="I13" i="2"/>
  <c r="G13" i="2"/>
  <c r="E13" i="2"/>
  <c r="K13" i="2" l="1"/>
  <c r="L13" i="2" s="1"/>
  <c r="O13" i="2" l="1"/>
  <c r="N13" i="2"/>
  <c r="P13" i="2"/>
  <c r="M13" i="2"/>
  <c r="Q13" i="2"/>
  <c r="R13" i="2" s="1"/>
  <c r="Y13" i="2"/>
  <c r="U13" i="2" l="1"/>
  <c r="S13" i="2"/>
  <c r="Z13" i="2"/>
  <c r="H14" i="2" s="1"/>
  <c r="W13" i="2"/>
  <c r="T13" i="2"/>
  <c r="V13" i="2"/>
  <c r="E14" i="2"/>
  <c r="G14" i="2"/>
  <c r="F14" i="2" l="1"/>
  <c r="X13" i="2"/>
  <c r="I14" i="2"/>
  <c r="K14" i="2" s="1"/>
  <c r="M14" i="2" s="1"/>
  <c r="N14" i="2" l="1"/>
  <c r="O14" i="2"/>
  <c r="P14" i="2"/>
  <c r="L14" i="2"/>
  <c r="Q14" i="2" l="1"/>
  <c r="R14" i="2" l="1"/>
  <c r="Y14" i="2"/>
  <c r="W14" i="2"/>
  <c r="T14" i="2"/>
  <c r="Z14" i="2"/>
  <c r="U14" i="2"/>
  <c r="S14" i="2"/>
  <c r="V14" i="2"/>
  <c r="F15" i="2" l="1"/>
  <c r="X14" i="2"/>
  <c r="G15" i="2"/>
  <c r="E15" i="2"/>
  <c r="I15" i="2"/>
  <c r="H15" i="2"/>
  <c r="K15" i="2" l="1"/>
  <c r="L15" i="2" l="1"/>
  <c r="M15" i="2"/>
  <c r="N15" i="2"/>
  <c r="P15" i="2"/>
  <c r="O15" i="2"/>
  <c r="Q15" i="2" l="1"/>
  <c r="W15" i="2" l="1"/>
  <c r="Z15" i="2"/>
  <c r="H16" i="2" s="1"/>
  <c r="Y15" i="2"/>
  <c r="R15" i="2"/>
  <c r="T15" i="2"/>
  <c r="V15" i="2"/>
  <c r="U15" i="2"/>
  <c r="S15" i="2"/>
  <c r="E16" i="2" l="1"/>
  <c r="F16" i="2"/>
  <c r="X15" i="2"/>
  <c r="I16" i="2"/>
  <c r="G16" i="2"/>
  <c r="K16" i="2" l="1"/>
  <c r="P16" i="2" s="1"/>
  <c r="L16" i="2" l="1"/>
  <c r="O16" i="2"/>
  <c r="M16" i="2"/>
  <c r="N16" i="2"/>
  <c r="Q16" i="2" l="1"/>
  <c r="Y16" i="2" l="1"/>
  <c r="Z16" i="2"/>
  <c r="H17" i="2" s="1"/>
  <c r="V16" i="2"/>
  <c r="S16" i="2"/>
  <c r="U16" i="2"/>
  <c r="R16" i="2"/>
  <c r="T16" i="2"/>
  <c r="W16" i="2"/>
  <c r="F17" i="2" l="1"/>
  <c r="X16" i="2"/>
  <c r="G17" i="2"/>
  <c r="E17" i="2"/>
  <c r="I17" i="2"/>
  <c r="K17" i="2" l="1"/>
  <c r="L17" i="2" s="1"/>
  <c r="P17" i="2" l="1"/>
  <c r="M17" i="2"/>
  <c r="N17" i="2"/>
  <c r="O17" i="2"/>
  <c r="Q17" i="2" l="1"/>
  <c r="W17" i="2" s="1"/>
  <c r="S17" i="2" l="1"/>
  <c r="Z17" i="2"/>
  <c r="H18" i="2" s="1"/>
  <c r="U17" i="2"/>
  <c r="R17" i="2"/>
  <c r="V17" i="2"/>
  <c r="T17" i="2"/>
  <c r="Y17" i="2"/>
  <c r="F18" i="2" s="1"/>
  <c r="X17" i="2" l="1"/>
  <c r="I18" i="2"/>
  <c r="E18" i="2"/>
  <c r="G18" i="2"/>
  <c r="K18" i="2" l="1"/>
  <c r="N18" i="2" s="1"/>
  <c r="M18" i="2"/>
  <c r="L18" i="2"/>
  <c r="P18" i="2"/>
  <c r="O18" i="2"/>
  <c r="Q18" i="2" l="1"/>
  <c r="V18" i="2" s="1"/>
  <c r="Z18" i="2" l="1"/>
  <c r="H19" i="2" s="1"/>
  <c r="Y18" i="2"/>
  <c r="T18" i="2"/>
  <c r="W18" i="2"/>
  <c r="U18" i="2"/>
  <c r="S18" i="2"/>
  <c r="R18" i="2"/>
  <c r="E19" i="2" l="1"/>
  <c r="F19" i="2"/>
  <c r="I19" i="2"/>
  <c r="G19" i="2"/>
  <c r="X18" i="2"/>
  <c r="K19" i="2" l="1"/>
  <c r="N19" i="2" s="1"/>
  <c r="P19" i="2" l="1"/>
  <c r="L19" i="2"/>
  <c r="M19" i="2"/>
  <c r="O19" i="2"/>
  <c r="Q19" i="2" l="1"/>
  <c r="V19" i="2" s="1"/>
  <c r="Y19" i="2" l="1"/>
  <c r="Z19" i="2"/>
  <c r="I20" i="2" s="1"/>
  <c r="U19" i="2"/>
  <c r="T19" i="2"/>
  <c r="R19" i="2"/>
  <c r="S19" i="2"/>
  <c r="W19" i="2"/>
  <c r="F20" i="2" l="1"/>
  <c r="G20" i="2"/>
  <c r="E20" i="2"/>
  <c r="H20" i="2"/>
  <c r="K20" i="2" s="1"/>
  <c r="O20" i="2" s="1"/>
  <c r="X19" i="2"/>
  <c r="N20" i="2" l="1"/>
  <c r="P20" i="2"/>
  <c r="M20" i="2"/>
  <c r="L20" i="2"/>
  <c r="Q20" i="2" l="1"/>
  <c r="T20" i="2" s="1"/>
  <c r="Y20" i="2"/>
  <c r="G21" i="2" l="1"/>
  <c r="U20" i="2"/>
  <c r="V20" i="2"/>
  <c r="Z20" i="2"/>
  <c r="H21" i="2" s="1"/>
  <c r="W20" i="2"/>
  <c r="S20" i="2"/>
  <c r="R20" i="2"/>
  <c r="E21" i="2"/>
  <c r="F21" i="2" l="1"/>
  <c r="I21" i="2"/>
  <c r="K21" i="2" s="1"/>
  <c r="M21" i="2" s="1"/>
  <c r="X20" i="2"/>
  <c r="N21" i="2" l="1"/>
  <c r="L21" i="2"/>
  <c r="O21" i="2"/>
  <c r="P21" i="2"/>
  <c r="Q21" i="2" l="1"/>
  <c r="S21" i="2" s="1"/>
  <c r="Z21" i="2" l="1"/>
  <c r="I22" i="2" s="1"/>
  <c r="V21" i="2"/>
  <c r="R21" i="2"/>
  <c r="U21" i="2"/>
  <c r="T21" i="2"/>
  <c r="Y21" i="2"/>
  <c r="W21" i="2"/>
  <c r="H22" i="2"/>
  <c r="G22" i="2" l="1"/>
  <c r="F22" i="2"/>
  <c r="X21" i="2"/>
  <c r="E22" i="2"/>
  <c r="K22" i="2" l="1"/>
  <c r="L22" i="2" s="1"/>
  <c r="N22" i="2" l="1"/>
  <c r="M22" i="2"/>
  <c r="O22" i="2"/>
  <c r="P22" i="2"/>
  <c r="Q22" i="2"/>
  <c r="R22" i="2" l="1"/>
  <c r="S22" i="2"/>
  <c r="Z22" i="2"/>
  <c r="Y22" i="2"/>
  <c r="F23" i="2" s="1"/>
  <c r="W22" i="2"/>
  <c r="V22" i="2"/>
  <c r="U22" i="2"/>
  <c r="T22" i="2"/>
  <c r="X22" i="2" l="1"/>
  <c r="G23" i="2"/>
  <c r="E23" i="2"/>
  <c r="I23" i="2"/>
  <c r="H23" i="2"/>
  <c r="K23" i="2" l="1"/>
  <c r="O23" i="2" s="1"/>
  <c r="M23" i="2" l="1"/>
  <c r="N23" i="2"/>
  <c r="P23" i="2"/>
  <c r="L23" i="2"/>
  <c r="Q23" i="2" l="1"/>
  <c r="V23" i="2" l="1"/>
  <c r="T23" i="2"/>
  <c r="W23" i="2"/>
  <c r="R23" i="2"/>
  <c r="S23" i="2"/>
  <c r="U23" i="2"/>
  <c r="Y23" i="2"/>
  <c r="Z23" i="2"/>
  <c r="H24" i="2" s="1"/>
  <c r="G24" i="2" l="1"/>
  <c r="F24" i="2"/>
  <c r="X23" i="2"/>
  <c r="E24" i="2"/>
  <c r="I24" i="2"/>
  <c r="K24" i="2" l="1"/>
  <c r="N24" i="2" s="1"/>
  <c r="L24" i="2" l="1"/>
  <c r="O24" i="2"/>
  <c r="P24" i="2"/>
  <c r="M24" i="2"/>
  <c r="Q24" i="2" l="1"/>
  <c r="V24" i="2" l="1"/>
  <c r="W24" i="2"/>
  <c r="T24" i="2"/>
  <c r="Y24" i="2"/>
  <c r="S24" i="2"/>
  <c r="R24" i="2"/>
  <c r="U24" i="2"/>
  <c r="Z24" i="2"/>
  <c r="H25" i="2" s="1"/>
  <c r="F25" i="2" l="1"/>
  <c r="X24" i="2"/>
  <c r="E25" i="2"/>
  <c r="I25" i="2"/>
  <c r="G25" i="2"/>
  <c r="K25" i="2" l="1"/>
  <c r="P25" i="2" l="1"/>
  <c r="M25" i="2"/>
  <c r="L25" i="2"/>
  <c r="O25" i="2"/>
  <c r="N25" i="2"/>
  <c r="Q25" i="2" l="1"/>
  <c r="W25" i="2" s="1"/>
  <c r="V25" i="2" l="1"/>
  <c r="U25" i="2"/>
  <c r="Y25" i="2"/>
  <c r="T25" i="2"/>
  <c r="S25" i="2"/>
  <c r="Z25" i="2"/>
  <c r="I26" i="2" s="1"/>
  <c r="R25" i="2"/>
  <c r="G26" i="2" l="1"/>
  <c r="F26" i="2"/>
  <c r="H26" i="2"/>
  <c r="X25" i="2"/>
  <c r="E26" i="2"/>
  <c r="K26" i="2" l="1"/>
  <c r="N26" i="2" s="1"/>
  <c r="L26" i="2" l="1"/>
  <c r="M26" i="2"/>
  <c r="O26" i="2"/>
  <c r="P26" i="2"/>
  <c r="Q26" i="2" l="1"/>
  <c r="V26" i="2" s="1"/>
  <c r="Y26" i="2"/>
  <c r="G27" i="2" l="1"/>
  <c r="S26" i="2"/>
  <c r="T26" i="2"/>
  <c r="W26" i="2"/>
  <c r="Z26" i="2"/>
  <c r="H27" i="2" s="1"/>
  <c r="U26" i="2"/>
  <c r="R26" i="2"/>
  <c r="E27" i="2"/>
  <c r="F27" i="2" l="1"/>
  <c r="X26" i="2"/>
  <c r="I27" i="2"/>
  <c r="K27" i="2" s="1"/>
  <c r="L27" i="2" s="1"/>
  <c r="M27" i="2" l="1"/>
  <c r="N27" i="2"/>
  <c r="O27" i="2"/>
  <c r="P27" i="2"/>
  <c r="Q27" i="2" l="1"/>
  <c r="Z27" i="2" l="1"/>
  <c r="V27" i="2"/>
  <c r="T27" i="2"/>
  <c r="Y27" i="2"/>
  <c r="F28" i="2" s="1"/>
  <c r="S27" i="2"/>
  <c r="W27" i="2"/>
  <c r="R27" i="2"/>
  <c r="U27" i="2"/>
  <c r="X27" i="2" l="1"/>
  <c r="E28" i="2"/>
  <c r="G28" i="2"/>
  <c r="I28" i="2"/>
  <c r="H28" i="2"/>
  <c r="K28" i="2" l="1"/>
  <c r="L28" i="2" l="1"/>
  <c r="O28" i="2"/>
  <c r="M28" i="2"/>
  <c r="N28" i="2"/>
  <c r="P28" i="2"/>
  <c r="Q28" i="2" l="1"/>
  <c r="U28" i="2" l="1"/>
  <c r="W28" i="2"/>
  <c r="R28" i="2"/>
  <c r="S28" i="2"/>
  <c r="Y28" i="2"/>
  <c r="T28" i="2"/>
  <c r="V28" i="2"/>
  <c r="Z28" i="2"/>
  <c r="F29" i="2" l="1"/>
  <c r="X28" i="2"/>
  <c r="H29" i="2"/>
  <c r="I29" i="2"/>
  <c r="G29" i="2"/>
  <c r="E29" i="2"/>
  <c r="K29" i="2" l="1"/>
  <c r="O29" i="2" s="1"/>
  <c r="L29" i="2" l="1"/>
  <c r="N29" i="2"/>
  <c r="M29" i="2"/>
  <c r="P29" i="2"/>
  <c r="Q29" i="2" l="1"/>
  <c r="R29" i="2"/>
  <c r="Z29" i="2" l="1"/>
  <c r="W29" i="2"/>
  <c r="S29" i="2"/>
  <c r="T29" i="2"/>
  <c r="U29" i="2"/>
  <c r="V29" i="2"/>
  <c r="Y29" i="2"/>
  <c r="F30" i="2" s="1"/>
  <c r="X29" i="2" l="1"/>
  <c r="E30" i="2"/>
  <c r="G30" i="2"/>
  <c r="H30" i="2"/>
  <c r="I30" i="2"/>
  <c r="K30" i="2" l="1"/>
  <c r="O30" i="2" s="1"/>
  <c r="M30" i="2" l="1"/>
  <c r="P30" i="2"/>
  <c r="L30" i="2"/>
  <c r="N30" i="2"/>
  <c r="Q30" i="2" l="1"/>
  <c r="S30" i="2" s="1"/>
  <c r="W30" i="2"/>
  <c r="Z30" i="2"/>
  <c r="I31" i="2" s="1"/>
  <c r="T30" i="2"/>
  <c r="U30" i="2"/>
  <c r="Y30" i="2"/>
  <c r="G31" i="2" l="1"/>
  <c r="F31" i="2"/>
  <c r="H31" i="2"/>
  <c r="R30" i="2"/>
  <c r="V30" i="2"/>
  <c r="E31" i="2"/>
  <c r="K31" i="2"/>
  <c r="L31" i="2" s="1"/>
  <c r="X30" i="2" l="1"/>
  <c r="P31" i="2"/>
  <c r="M31" i="2"/>
  <c r="O31" i="2"/>
  <c r="N31" i="2"/>
  <c r="Q31" i="2" l="1"/>
  <c r="S31" i="2" s="1"/>
  <c r="Y31" i="2" l="1"/>
  <c r="U31" i="2"/>
  <c r="V31" i="2"/>
  <c r="Z31" i="2"/>
  <c r="I32" i="2" s="1"/>
  <c r="W31" i="2"/>
  <c r="T31" i="2"/>
  <c r="R31" i="2"/>
  <c r="F32" i="2" l="1"/>
  <c r="G32" i="2"/>
  <c r="E32" i="2"/>
  <c r="H32" i="2"/>
  <c r="X31" i="2"/>
  <c r="K32" i="2" l="1"/>
  <c r="M32" i="2" s="1"/>
  <c r="O32" i="2" l="1"/>
  <c r="L32" i="2"/>
  <c r="P32" i="2"/>
  <c r="N32" i="2"/>
  <c r="Q32" i="2" l="1"/>
  <c r="R32" i="2" s="1"/>
  <c r="U32" i="2"/>
  <c r="Z32" i="2" l="1"/>
  <c r="I33" i="2" s="1"/>
  <c r="V32" i="2"/>
  <c r="T32" i="2"/>
  <c r="W32" i="2"/>
  <c r="S32" i="2"/>
  <c r="Y32" i="2"/>
  <c r="F33" i="2" s="1"/>
  <c r="X32" i="2" l="1"/>
  <c r="H33" i="2"/>
  <c r="G33" i="2"/>
  <c r="E33" i="2"/>
  <c r="K33" i="2" l="1"/>
  <c r="L33" i="2" s="1"/>
  <c r="N33" i="2"/>
  <c r="O33" i="2"/>
  <c r="P33" i="2"/>
  <c r="M33" i="2" l="1"/>
  <c r="Q33" i="2" s="1"/>
  <c r="V33" i="2" l="1"/>
  <c r="Y33" i="2"/>
  <c r="Z33" i="2"/>
  <c r="S33" i="2"/>
  <c r="U33" i="2"/>
  <c r="T33" i="2"/>
  <c r="R33" i="2"/>
  <c r="W33" i="2"/>
  <c r="F34" i="2" l="1"/>
  <c r="X33" i="2"/>
  <c r="G34" i="2"/>
  <c r="E34" i="2"/>
  <c r="H34" i="2"/>
  <c r="I34" i="2"/>
  <c r="K34" i="2" l="1"/>
  <c r="O34" i="2" l="1"/>
  <c r="M34" i="2"/>
  <c r="P34" i="2"/>
  <c r="L34" i="2"/>
  <c r="N34" i="2"/>
  <c r="Q34" i="2" l="1"/>
  <c r="T34" i="2" s="1"/>
  <c r="Y34" i="2" l="1"/>
  <c r="U34" i="2"/>
  <c r="W34" i="2"/>
  <c r="V34" i="2"/>
  <c r="Z34" i="2"/>
  <c r="I35" i="2" s="1"/>
  <c r="R34" i="2"/>
  <c r="S34" i="2"/>
  <c r="F35" i="2" l="1"/>
  <c r="E35" i="2"/>
  <c r="G35" i="2"/>
  <c r="X34" i="2"/>
  <c r="H35" i="2"/>
  <c r="K35" i="2" s="1"/>
  <c r="N35" i="2" l="1"/>
  <c r="M35" i="2"/>
  <c r="P35" i="2"/>
  <c r="L35" i="2"/>
  <c r="O35" i="2"/>
  <c r="Q35" i="2" l="1"/>
  <c r="R35" i="2" s="1"/>
  <c r="T35" i="2" l="1"/>
  <c r="Z35" i="2"/>
  <c r="I36" i="2" s="1"/>
  <c r="S35" i="2"/>
  <c r="U35" i="2"/>
  <c r="V35" i="2"/>
  <c r="W35" i="2"/>
  <c r="Y35" i="2"/>
  <c r="G36" i="2" l="1"/>
  <c r="F36" i="2"/>
  <c r="H36" i="2"/>
  <c r="X35" i="2"/>
  <c r="E36" i="2"/>
  <c r="K36" i="2" l="1"/>
  <c r="P36" i="2" s="1"/>
  <c r="M36" i="2" l="1"/>
  <c r="N36" i="2"/>
  <c r="L36" i="2"/>
  <c r="O36" i="2"/>
  <c r="Q36" i="2" l="1"/>
  <c r="V36" i="2" s="1"/>
  <c r="Y36" i="2"/>
  <c r="Z36" i="2" l="1"/>
  <c r="I37" i="2" s="1"/>
  <c r="E37" i="2"/>
  <c r="T36" i="2"/>
  <c r="U36" i="2"/>
  <c r="S36" i="2"/>
  <c r="R36" i="2"/>
  <c r="W36" i="2"/>
  <c r="G37" i="2"/>
  <c r="H37" i="2"/>
  <c r="F37" i="2" l="1"/>
  <c r="X36" i="2"/>
  <c r="K37" i="2"/>
  <c r="L37" i="2" s="1"/>
  <c r="P37" i="2"/>
  <c r="O37" i="2"/>
  <c r="N37" i="2"/>
  <c r="M37" i="2"/>
  <c r="Q37" i="2" l="1"/>
  <c r="U37" i="2" s="1"/>
  <c r="Y37" i="2"/>
  <c r="Z37" i="2"/>
  <c r="I38" i="2" s="1"/>
  <c r="F38" i="2" l="1"/>
  <c r="S37" i="2"/>
  <c r="V37" i="2"/>
  <c r="T37" i="2"/>
  <c r="W37" i="2"/>
  <c r="R37" i="2"/>
  <c r="E38" i="2"/>
  <c r="G38" i="2"/>
  <c r="H38" i="2"/>
  <c r="X37" i="2" l="1"/>
  <c r="K38" i="2"/>
  <c r="L38" i="2" s="1"/>
  <c r="P38" i="2" l="1"/>
  <c r="O38" i="2"/>
  <c r="M38" i="2"/>
  <c r="N38" i="2"/>
  <c r="Q38" i="2" l="1"/>
  <c r="R38" i="2" s="1"/>
  <c r="Y38" i="2"/>
  <c r="T38" i="2"/>
  <c r="W38" i="2"/>
  <c r="U38" i="2"/>
  <c r="Z38" i="2"/>
  <c r="H39" i="2" s="1"/>
  <c r="F39" i="2" l="1"/>
  <c r="S38" i="2"/>
  <c r="V38" i="2"/>
  <c r="X38" i="2"/>
  <c r="E39" i="2"/>
  <c r="G39" i="2"/>
  <c r="I39" i="2"/>
  <c r="K39" i="2" l="1"/>
  <c r="M39" i="2" s="1"/>
  <c r="L39" i="2" l="1"/>
  <c r="P39" i="2"/>
  <c r="O39" i="2"/>
  <c r="N39" i="2"/>
  <c r="Q39" i="2" l="1"/>
  <c r="U39" i="2" s="1"/>
  <c r="Y39" i="2" l="1"/>
  <c r="Z39" i="2"/>
  <c r="I40" i="2" s="1"/>
  <c r="W39" i="2"/>
  <c r="S39" i="2"/>
  <c r="V39" i="2"/>
  <c r="R39" i="2"/>
  <c r="T39" i="2"/>
  <c r="G40" i="2" l="1"/>
  <c r="F40" i="2"/>
  <c r="E40" i="2"/>
  <c r="X39" i="2"/>
  <c r="H40" i="2"/>
  <c r="K40" i="2" l="1"/>
  <c r="M40" i="2" s="1"/>
  <c r="P40" i="2" l="1"/>
  <c r="O40" i="2"/>
  <c r="L40" i="2"/>
  <c r="N40" i="2"/>
  <c r="Q40" i="2" l="1"/>
  <c r="Z40" i="2" s="1"/>
  <c r="H41" i="2" s="1"/>
  <c r="T40" i="2" l="1"/>
  <c r="V40" i="2"/>
  <c r="W40" i="2"/>
  <c r="R40" i="2"/>
  <c r="U40" i="2"/>
  <c r="Y40" i="2"/>
  <c r="I41" i="2"/>
  <c r="S40" i="2"/>
  <c r="E41" i="2" l="1"/>
  <c r="F41" i="2"/>
  <c r="X40" i="2"/>
  <c r="G41" i="2"/>
  <c r="K41" i="2" l="1"/>
  <c r="L41" i="2" s="1"/>
  <c r="M41" i="2"/>
  <c r="O41" i="2" l="1"/>
  <c r="N41" i="2"/>
  <c r="P41" i="2"/>
  <c r="Q41" i="2"/>
  <c r="U41" i="2" s="1"/>
  <c r="Y41" i="2"/>
  <c r="Z41" i="2"/>
  <c r="I42" i="2" s="1"/>
  <c r="V41" i="2"/>
  <c r="R41" i="2"/>
  <c r="G42" i="2" l="1"/>
  <c r="F42" i="2"/>
  <c r="T41" i="2"/>
  <c r="S41" i="2"/>
  <c r="W41" i="2"/>
  <c r="H42" i="2"/>
  <c r="E42" i="2"/>
  <c r="X41" i="2" l="1"/>
  <c r="K42" i="2"/>
  <c r="N42" i="2" s="1"/>
  <c r="P42" i="2"/>
  <c r="O42" i="2" l="1"/>
  <c r="L42" i="2"/>
  <c r="M42" i="2"/>
  <c r="Q42" i="2" l="1"/>
  <c r="Y42" i="2" s="1"/>
  <c r="Z42" i="2"/>
  <c r="I43" i="2" s="1"/>
  <c r="W42" i="2"/>
  <c r="U42" i="2"/>
  <c r="R42" i="2"/>
  <c r="V42" i="2"/>
  <c r="F43" i="2" l="1"/>
  <c r="E43" i="2"/>
  <c r="T42" i="2"/>
  <c r="G43" i="2"/>
  <c r="S42" i="2"/>
  <c r="H43" i="2"/>
  <c r="K43" i="2" s="1"/>
  <c r="N43" i="2" s="1"/>
  <c r="X42" i="2"/>
  <c r="P43" i="2" l="1"/>
  <c r="L43" i="2"/>
  <c r="O43" i="2"/>
  <c r="M43" i="2"/>
  <c r="Q43" i="2" l="1"/>
  <c r="V43" i="2" l="1"/>
  <c r="Y43" i="2"/>
  <c r="T43" i="2"/>
  <c r="W43" i="2"/>
  <c r="U43" i="2"/>
  <c r="S43" i="2"/>
  <c r="R43" i="2"/>
  <c r="Z43" i="2"/>
  <c r="H44" i="2" s="1"/>
  <c r="E44" i="2" l="1"/>
  <c r="F44" i="2"/>
  <c r="X43" i="2"/>
  <c r="G44" i="2"/>
  <c r="I44" i="2"/>
  <c r="K44" i="2" l="1"/>
  <c r="L44" i="2" s="1"/>
  <c r="O44" i="2" l="1"/>
  <c r="P44" i="2"/>
  <c r="N44" i="2"/>
  <c r="M44" i="2"/>
  <c r="Q44" i="2" l="1"/>
  <c r="T44" i="2" l="1"/>
  <c r="R44" i="2"/>
  <c r="W44" i="2"/>
  <c r="Z44" i="2"/>
  <c r="H45" i="2" s="1"/>
  <c r="V44" i="2"/>
  <c r="U44" i="2"/>
  <c r="S44" i="2"/>
  <c r="Y44" i="2"/>
  <c r="G45" i="2" l="1"/>
  <c r="F45" i="2"/>
  <c r="X44" i="2"/>
  <c r="I45" i="2"/>
  <c r="E45" i="2"/>
  <c r="K45" i="2" l="1"/>
  <c r="N45" i="2" s="1"/>
  <c r="L45" i="2" l="1"/>
  <c r="P45" i="2"/>
  <c r="O45" i="2"/>
  <c r="M45" i="2"/>
  <c r="Q45" i="2" l="1"/>
  <c r="V45" i="2" s="1"/>
  <c r="Z45" i="2" l="1"/>
  <c r="H46" i="2" s="1"/>
  <c r="S45" i="2"/>
  <c r="Y45" i="2"/>
  <c r="F46" i="2" s="1"/>
  <c r="W45" i="2"/>
  <c r="R45" i="2"/>
  <c r="U45" i="2"/>
  <c r="T45" i="2"/>
  <c r="X45" i="2" l="1"/>
  <c r="I46" i="2"/>
  <c r="E46" i="2"/>
  <c r="G46" i="2"/>
  <c r="K46" i="2" l="1"/>
  <c r="O46" i="2" s="1"/>
  <c r="N46" i="2" l="1"/>
  <c r="L46" i="2"/>
  <c r="P46" i="2"/>
  <c r="M46" i="2"/>
  <c r="Q46" i="2" l="1"/>
  <c r="T46" i="2" s="1"/>
  <c r="Z46" i="2"/>
  <c r="I47" i="2" s="1"/>
  <c r="Y46" i="2"/>
  <c r="F47" i="2" s="1"/>
  <c r="U46" i="2"/>
  <c r="W46" i="2"/>
  <c r="S46" i="2" l="1"/>
  <c r="V46" i="2"/>
  <c r="R46" i="2"/>
  <c r="H47" i="2"/>
  <c r="G47" i="2"/>
  <c r="E47" i="2"/>
  <c r="X46" i="2" l="1"/>
  <c r="K47" i="2"/>
  <c r="M47" i="2" s="1"/>
  <c r="L47" i="2" l="1"/>
  <c r="O47" i="2"/>
  <c r="N47" i="2"/>
  <c r="P47" i="2"/>
  <c r="Q47" i="2" l="1"/>
  <c r="R47" i="2" s="1"/>
  <c r="Y47" i="2"/>
  <c r="U47" i="2"/>
  <c r="S47" i="2"/>
  <c r="V47" i="2"/>
  <c r="Z47" i="2" l="1"/>
  <c r="I48" i="2" s="1"/>
  <c r="T47" i="2"/>
  <c r="W47" i="2"/>
  <c r="X47" i="2"/>
  <c r="G48" i="2"/>
  <c r="E48" i="2"/>
  <c r="F48" i="2" l="1"/>
  <c r="H48" i="2"/>
  <c r="K48" i="2"/>
  <c r="N48" i="2" l="1"/>
  <c r="O48" i="2"/>
  <c r="M48" i="2"/>
  <c r="L48" i="2"/>
  <c r="P48" i="2"/>
  <c r="Q48" i="2" l="1"/>
  <c r="T48" i="2" l="1"/>
  <c r="R48" i="2"/>
  <c r="S48" i="2"/>
  <c r="U48" i="2"/>
  <c r="Z48" i="2"/>
  <c r="I49" i="2" s="1"/>
  <c r="W48" i="2"/>
  <c r="V48" i="2"/>
  <c r="Y48" i="2"/>
  <c r="F49" i="2" l="1"/>
  <c r="X48" i="2"/>
  <c r="H49" i="2"/>
  <c r="G49" i="2"/>
  <c r="E49" i="2"/>
  <c r="K49" i="2" l="1"/>
  <c r="M49" i="2" s="1"/>
  <c r="N49" i="2" l="1"/>
  <c r="P49" i="2"/>
  <c r="O49" i="2"/>
  <c r="L49" i="2"/>
  <c r="Q49" i="2" l="1"/>
  <c r="W49" i="2" l="1"/>
  <c r="V49" i="2"/>
  <c r="Z49" i="2"/>
  <c r="I50" i="2" s="1"/>
  <c r="Y49" i="2"/>
  <c r="R49" i="2"/>
  <c r="T49" i="2"/>
  <c r="U49" i="2"/>
  <c r="S49" i="2"/>
  <c r="E50" i="2" l="1"/>
  <c r="F50" i="2"/>
  <c r="X49" i="2"/>
  <c r="H50" i="2"/>
  <c r="G50" i="2"/>
  <c r="K50" i="2" l="1"/>
  <c r="M50" i="2" s="1"/>
  <c r="P50" i="2" l="1"/>
  <c r="L50" i="2"/>
  <c r="N50" i="2"/>
  <c r="O50" i="2"/>
  <c r="Q50" i="2" l="1"/>
  <c r="S50" i="2" s="1"/>
  <c r="W50" i="2" l="1"/>
  <c r="Z50" i="2"/>
  <c r="H51" i="2" s="1"/>
  <c r="Y50" i="2"/>
  <c r="V50" i="2"/>
  <c r="R50" i="2"/>
  <c r="T50" i="2"/>
  <c r="U50" i="2"/>
  <c r="E51" i="2" l="1"/>
  <c r="F51" i="2"/>
  <c r="G51" i="2"/>
  <c r="X50" i="2"/>
  <c r="I51" i="2"/>
  <c r="K51" i="2" l="1"/>
  <c r="N51" i="2" s="1"/>
  <c r="O51" i="2" l="1"/>
  <c r="M51" i="2"/>
  <c r="L51" i="2"/>
  <c r="P51" i="2"/>
  <c r="Q51" i="2" l="1"/>
  <c r="U51" i="2" s="1"/>
  <c r="Y51" i="2"/>
  <c r="E52" i="2" l="1"/>
  <c r="S51" i="2"/>
  <c r="W51" i="2"/>
  <c r="R51" i="2"/>
  <c r="Z51" i="2"/>
  <c r="I52" i="2" s="1"/>
  <c r="V51" i="2"/>
  <c r="T51" i="2"/>
  <c r="G52" i="2"/>
  <c r="F52" i="2" l="1"/>
  <c r="X51" i="2"/>
  <c r="H52" i="2"/>
  <c r="K52" i="2" l="1"/>
  <c r="O52" i="2" s="1"/>
  <c r="M52" i="2"/>
  <c r="L52" i="2"/>
  <c r="N52" i="2"/>
  <c r="P52" i="2"/>
  <c r="Q52" i="2" l="1"/>
  <c r="Z52" i="2" s="1"/>
  <c r="W52" i="2" l="1"/>
  <c r="S52" i="2"/>
  <c r="T52" i="2"/>
  <c r="I53" i="2"/>
  <c r="H53" i="2"/>
  <c r="R52" i="2"/>
  <c r="U52" i="2"/>
  <c r="Y52" i="2"/>
  <c r="F53" i="2" s="1"/>
  <c r="V52" i="2"/>
  <c r="X52" i="2" l="1"/>
  <c r="E53" i="2"/>
  <c r="G53" i="2"/>
  <c r="K53" i="2" l="1"/>
  <c r="L53" i="2" s="1"/>
  <c r="O53" i="2" l="1"/>
  <c r="P53" i="2"/>
  <c r="N53" i="2"/>
  <c r="M53" i="2"/>
  <c r="Q53" i="2" l="1"/>
  <c r="T53" i="2" s="1"/>
  <c r="Z53" i="2" l="1"/>
  <c r="I54" i="2" s="1"/>
  <c r="U53" i="2"/>
  <c r="R53" i="2"/>
  <c r="S53" i="2"/>
  <c r="W53" i="2"/>
  <c r="Y53" i="2"/>
  <c r="F54" i="2" s="1"/>
  <c r="V53" i="2"/>
  <c r="H54" i="2" l="1"/>
  <c r="X53" i="2"/>
  <c r="E54" i="2"/>
  <c r="G54" i="2"/>
  <c r="K54" i="2" l="1"/>
  <c r="O54" i="2" l="1"/>
  <c r="P54" i="2"/>
  <c r="L54" i="2"/>
  <c r="N54" i="2"/>
  <c r="M54" i="2"/>
  <c r="Q54" i="2" l="1"/>
  <c r="T54" i="2" s="1"/>
  <c r="Y54" i="2" l="1"/>
  <c r="Z54" i="2"/>
  <c r="I55" i="2" s="1"/>
  <c r="W54" i="2"/>
  <c r="R54" i="2"/>
  <c r="V54" i="2"/>
  <c r="S54" i="2"/>
  <c r="U54" i="2"/>
  <c r="G55" i="2" l="1"/>
  <c r="F55" i="2"/>
  <c r="H55" i="2"/>
  <c r="E55" i="2"/>
  <c r="X54" i="2"/>
  <c r="K55" i="2" l="1"/>
  <c r="O55" i="2" s="1"/>
  <c r="N55" i="2" l="1"/>
  <c r="L55" i="2"/>
  <c r="M55" i="2"/>
  <c r="P55" i="2"/>
  <c r="Q55" i="2" l="1"/>
  <c r="R55" i="2" s="1"/>
  <c r="V55" i="2" l="1"/>
  <c r="U55" i="2"/>
  <c r="T55" i="2"/>
  <c r="W55" i="2"/>
  <c r="S55" i="2"/>
  <c r="Y55" i="2"/>
  <c r="Z55" i="2"/>
  <c r="H56" i="2" s="1"/>
  <c r="G56" i="2" l="1"/>
  <c r="F56" i="2"/>
  <c r="X55" i="2"/>
  <c r="E56" i="2"/>
  <c r="I56" i="2"/>
  <c r="K56" i="2" l="1"/>
  <c r="L56" i="2" s="1"/>
  <c r="O56" i="2" l="1"/>
  <c r="M56" i="2"/>
  <c r="N56" i="2"/>
  <c r="P56" i="2"/>
  <c r="Q56" i="2" l="1"/>
  <c r="Y56" i="2" s="1"/>
  <c r="V56" i="2" l="1"/>
  <c r="W56" i="2"/>
  <c r="E57" i="2"/>
  <c r="S56" i="2"/>
  <c r="G57" i="2"/>
  <c r="R56" i="2"/>
  <c r="U56" i="2"/>
  <c r="T56" i="2"/>
  <c r="Z56" i="2"/>
  <c r="H57" i="2" s="1"/>
  <c r="F57" i="2" l="1"/>
  <c r="X56" i="2"/>
  <c r="I57" i="2"/>
  <c r="K57" i="2" s="1"/>
  <c r="N57" i="2" l="1"/>
  <c r="O57" i="2"/>
  <c r="P57" i="2"/>
  <c r="L57" i="2"/>
  <c r="M57" i="2"/>
  <c r="Q57" i="2"/>
  <c r="T57" i="2" s="1"/>
  <c r="Z57" i="2" l="1"/>
  <c r="Y57" i="2"/>
  <c r="R57" i="2"/>
  <c r="S57" i="2"/>
  <c r="U57" i="2"/>
  <c r="V57" i="2"/>
  <c r="W57" i="2"/>
  <c r="I58" i="2"/>
  <c r="H58" i="2"/>
  <c r="E58" i="2" l="1"/>
  <c r="F58" i="2"/>
  <c r="G58" i="2"/>
  <c r="X57" i="2"/>
  <c r="K58" i="2"/>
  <c r="L58" i="2" s="1"/>
  <c r="P58" i="2" l="1"/>
  <c r="M58" i="2"/>
  <c r="N58" i="2"/>
  <c r="O58" i="2"/>
  <c r="Q58" i="2" l="1"/>
  <c r="W58" i="2" s="1"/>
  <c r="Y58" i="2" l="1"/>
  <c r="V58" i="2"/>
  <c r="U58" i="2"/>
  <c r="R58" i="2"/>
  <c r="T58" i="2"/>
  <c r="Z58" i="2"/>
  <c r="I59" i="2" s="1"/>
  <c r="S58" i="2"/>
  <c r="G59" i="2"/>
  <c r="E59" i="2" l="1"/>
  <c r="F59" i="2"/>
  <c r="X58" i="2"/>
  <c r="H59" i="2"/>
  <c r="K59" i="2"/>
  <c r="P59" i="2" s="1"/>
  <c r="O59" i="2" l="1"/>
  <c r="M59" i="2"/>
  <c r="N59" i="2"/>
  <c r="L59" i="2"/>
  <c r="Q59" i="2" l="1"/>
  <c r="U59" i="2" s="1"/>
  <c r="Z59" i="2"/>
  <c r="T59" i="2"/>
  <c r="S59" i="2"/>
  <c r="Y59" i="2" l="1"/>
  <c r="F60" i="2" s="1"/>
  <c r="R59" i="2"/>
  <c r="V59" i="2"/>
  <c r="W59" i="2"/>
  <c r="G60" i="2"/>
  <c r="E60" i="2"/>
  <c r="H60" i="2"/>
  <c r="I60" i="2"/>
  <c r="X59" i="2" l="1"/>
  <c r="K60" i="2"/>
  <c r="N60" i="2" s="1"/>
  <c r="M60" i="2" l="1"/>
  <c r="L60" i="2"/>
  <c r="O60" i="2"/>
  <c r="P60" i="2"/>
  <c r="Q60" i="2" l="1"/>
  <c r="Z60" i="2" s="1"/>
  <c r="I61" i="2" l="1"/>
  <c r="H61" i="2"/>
  <c r="W60" i="2"/>
  <c r="Y60" i="2"/>
  <c r="F61" i="2" s="1"/>
  <c r="V60" i="2"/>
  <c r="T60" i="2"/>
  <c r="U60" i="2"/>
  <c r="R60" i="2"/>
  <c r="S60" i="2"/>
  <c r="X60" i="2" l="1"/>
  <c r="E61" i="2"/>
  <c r="G61" i="2"/>
  <c r="K61" i="2" l="1"/>
  <c r="N61" i="2" l="1"/>
  <c r="O61" i="2"/>
  <c r="P61" i="2"/>
  <c r="M61" i="2"/>
  <c r="L61" i="2"/>
  <c r="Q61" i="2" l="1"/>
  <c r="R61" i="2" s="1"/>
  <c r="Z61" i="2" l="1"/>
  <c r="I62" i="2" s="1"/>
  <c r="Y61" i="2"/>
  <c r="S61" i="2"/>
  <c r="T61" i="2"/>
  <c r="U61" i="2"/>
  <c r="W61" i="2"/>
  <c r="V61" i="2"/>
  <c r="E62" i="2" l="1"/>
  <c r="F62" i="2"/>
  <c r="H62" i="2"/>
  <c r="G62" i="2"/>
  <c r="X61" i="2"/>
  <c r="K62" i="2" l="1"/>
  <c r="M62" i="2" s="1"/>
  <c r="N62" i="2" l="1"/>
  <c r="O62" i="2"/>
  <c r="P62" i="2"/>
  <c r="L62" i="2"/>
  <c r="Q62" i="2" l="1"/>
  <c r="V62" i="2" s="1"/>
  <c r="Y62" i="2" l="1"/>
  <c r="S62" i="2"/>
  <c r="U62" i="2"/>
  <c r="R62" i="2"/>
  <c r="T62" i="2"/>
  <c r="Z62" i="2"/>
  <c r="I63" i="2" s="1"/>
  <c r="W62" i="2"/>
  <c r="G63" i="2"/>
  <c r="E63" i="2" l="1"/>
  <c r="F63" i="2"/>
  <c r="X62" i="2"/>
  <c r="H63" i="2"/>
  <c r="K63" i="2" s="1"/>
  <c r="M63" i="2" s="1"/>
  <c r="L63" i="2" l="1"/>
  <c r="N63" i="2"/>
  <c r="O63" i="2"/>
  <c r="P63" i="2"/>
  <c r="Q63" i="2" l="1"/>
  <c r="T63" i="2" l="1"/>
  <c r="Y63" i="2"/>
  <c r="R63" i="2"/>
  <c r="V63" i="2"/>
  <c r="S63" i="2"/>
  <c r="W63" i="2"/>
  <c r="U63" i="2"/>
  <c r="Z63" i="2"/>
  <c r="F64" i="2" l="1"/>
  <c r="X63" i="2"/>
  <c r="G64" i="2"/>
  <c r="E64" i="2"/>
  <c r="I64" i="2"/>
  <c r="H64" i="2"/>
  <c r="K64" i="2" l="1"/>
  <c r="L64" i="2" s="1"/>
  <c r="N64" i="2" l="1"/>
  <c r="P64" i="2"/>
  <c r="O64" i="2"/>
  <c r="M64" i="2"/>
  <c r="Q64" i="2" l="1"/>
  <c r="Z64" i="2" s="1"/>
  <c r="I65" i="2" l="1"/>
  <c r="H65" i="2"/>
  <c r="T64" i="2"/>
  <c r="U64" i="2"/>
  <c r="V64" i="2"/>
  <c r="W64" i="2"/>
  <c r="S64" i="2"/>
  <c r="R64" i="2"/>
  <c r="Y64" i="2"/>
  <c r="F65" i="2" s="1"/>
  <c r="X64" i="2" l="1"/>
  <c r="E65" i="2"/>
  <c r="G65" i="2"/>
  <c r="K65" i="2" l="1"/>
  <c r="N65" i="2" s="1"/>
  <c r="L65" i="2" l="1"/>
  <c r="O65" i="2"/>
  <c r="P65" i="2"/>
  <c r="M65" i="2"/>
  <c r="Q65" i="2" l="1"/>
  <c r="S65" i="2" s="1"/>
  <c r="Z65" i="2" l="1"/>
  <c r="H66" i="2" s="1"/>
  <c r="V65" i="2"/>
  <c r="W65" i="2"/>
  <c r="T65" i="2"/>
  <c r="U65" i="2"/>
  <c r="Y65" i="2"/>
  <c r="R65" i="2"/>
  <c r="E66" i="2" l="1"/>
  <c r="F66" i="2"/>
  <c r="I66" i="2"/>
  <c r="X65" i="2"/>
  <c r="G66" i="2"/>
  <c r="K66" i="2" l="1"/>
  <c r="N66" i="2" s="1"/>
  <c r="M66" i="2" l="1"/>
  <c r="P66" i="2"/>
  <c r="L66" i="2"/>
  <c r="O66" i="2"/>
  <c r="Q66" i="2" l="1"/>
  <c r="U66" i="2" s="1"/>
  <c r="Z66" i="2"/>
  <c r="T66" i="2" l="1"/>
  <c r="V66" i="2"/>
  <c r="S66" i="2"/>
  <c r="R66" i="2"/>
  <c r="W66" i="2"/>
  <c r="Y66" i="2"/>
  <c r="F67" i="2" s="1"/>
  <c r="H67" i="2"/>
  <c r="I67" i="2"/>
  <c r="X66" i="2" l="1"/>
  <c r="E67" i="2"/>
  <c r="G67" i="2"/>
  <c r="K67" i="2" l="1"/>
  <c r="N67" i="2" s="1"/>
  <c r="M67" i="2"/>
  <c r="O67" i="2" l="1"/>
  <c r="P67" i="2"/>
  <c r="L67" i="2"/>
  <c r="Q67" i="2"/>
  <c r="R67" i="2" s="1"/>
  <c r="W67" i="2" l="1"/>
  <c r="T67" i="2"/>
  <c r="V67" i="2"/>
  <c r="U67" i="2"/>
  <c r="Z67" i="2"/>
  <c r="Y67" i="2"/>
  <c r="F68" i="2" s="1"/>
  <c r="S67" i="2"/>
  <c r="X67" i="2" l="1"/>
  <c r="I68" i="2"/>
  <c r="H68" i="2"/>
  <c r="G68" i="2"/>
  <c r="E68" i="2"/>
  <c r="K68" i="2" l="1"/>
  <c r="N68" i="2" s="1"/>
  <c r="L68" i="2" l="1"/>
  <c r="M68" i="2"/>
  <c r="O68" i="2"/>
  <c r="P68" i="2"/>
  <c r="Q68" i="2" l="1"/>
  <c r="Y68" i="2" s="1"/>
  <c r="G69" i="2" l="1"/>
  <c r="E69" i="2"/>
  <c r="V68" i="2"/>
  <c r="W68" i="2"/>
  <c r="T68" i="2"/>
  <c r="R68" i="2"/>
  <c r="U68" i="2"/>
  <c r="Z68" i="2"/>
  <c r="F69" i="2" s="1"/>
  <c r="S68" i="2"/>
  <c r="X68" i="2" l="1"/>
  <c r="I69" i="2"/>
  <c r="H69" i="2"/>
  <c r="K69" i="2" l="1"/>
  <c r="P69" i="2" s="1"/>
  <c r="N69" i="2" l="1"/>
  <c r="M69" i="2"/>
  <c r="L69" i="2"/>
  <c r="O69" i="2"/>
  <c r="Q69" i="2" l="1"/>
  <c r="Y69" i="2" s="1"/>
  <c r="E70" i="2" l="1"/>
  <c r="G70" i="2"/>
  <c r="U69" i="2"/>
  <c r="W69" i="2"/>
  <c r="Z69" i="2"/>
  <c r="F70" i="2" s="1"/>
  <c r="V69" i="2"/>
  <c r="R69" i="2"/>
  <c r="T69" i="2"/>
  <c r="S69" i="2"/>
  <c r="X69" i="2" l="1"/>
  <c r="H70" i="2"/>
  <c r="I70" i="2"/>
  <c r="K70" i="2" l="1"/>
  <c r="P70" i="2" s="1"/>
  <c r="O70" i="2" l="1"/>
  <c r="N70" i="2"/>
  <c r="M70" i="2"/>
  <c r="L70" i="2"/>
  <c r="Q70" i="2" l="1"/>
  <c r="S70" i="2" s="1"/>
  <c r="Y70" i="2"/>
  <c r="Z70" i="2"/>
  <c r="F71" i="2" l="1"/>
  <c r="T70" i="2"/>
  <c r="U70" i="2"/>
  <c r="W70" i="2"/>
  <c r="V70" i="2"/>
  <c r="R70" i="2"/>
  <c r="H71" i="2"/>
  <c r="I71" i="2"/>
  <c r="E71" i="2"/>
  <c r="G71" i="2"/>
  <c r="X70" i="2" l="1"/>
  <c r="K71" i="2"/>
  <c r="M71" i="2" s="1"/>
  <c r="O71" i="2" l="1"/>
  <c r="P71" i="2"/>
  <c r="L71" i="2"/>
  <c r="N71" i="2"/>
  <c r="Q71" i="2" l="1"/>
  <c r="R71" i="2" s="1"/>
  <c r="S71" i="2" l="1"/>
  <c r="Z71" i="2"/>
  <c r="U71" i="2"/>
  <c r="T71" i="2"/>
  <c r="W71" i="2"/>
  <c r="Y71" i="2"/>
  <c r="F72" i="2" s="1"/>
  <c r="V71" i="2"/>
  <c r="X71" i="2" l="1"/>
  <c r="I72" i="2"/>
  <c r="H72" i="2"/>
  <c r="G72" i="2"/>
  <c r="E72" i="2"/>
  <c r="K72" i="2" l="1"/>
  <c r="L72" i="2" s="1"/>
  <c r="P72" i="2" l="1"/>
  <c r="O72" i="2"/>
  <c r="M72" i="2"/>
  <c r="N72" i="2"/>
  <c r="Q72" i="2" l="1"/>
  <c r="R72" i="2" l="1"/>
  <c r="S72" i="2"/>
  <c r="Y72" i="2"/>
  <c r="W72" i="2"/>
  <c r="V72" i="2"/>
  <c r="Z72" i="2"/>
  <c r="U72" i="2"/>
  <c r="T72" i="2"/>
  <c r="F73" i="2" l="1"/>
  <c r="X72" i="2"/>
  <c r="I73" i="2"/>
  <c r="H73" i="2"/>
  <c r="E73" i="2"/>
  <c r="G73" i="2"/>
  <c r="K73" i="2" l="1"/>
  <c r="M73" i="2" s="1"/>
  <c r="P73" i="2" l="1"/>
  <c r="O73" i="2"/>
  <c r="L73" i="2"/>
  <c r="N73" i="2"/>
  <c r="Q73" i="2" l="1"/>
  <c r="S73" i="2" l="1"/>
  <c r="U73" i="2"/>
  <c r="R73" i="2"/>
  <c r="W73" i="2"/>
  <c r="Z73" i="2"/>
  <c r="T73" i="2"/>
  <c r="V73" i="2"/>
  <c r="Y73" i="2"/>
  <c r="F74" i="2" s="1"/>
  <c r="X73" i="2" l="1"/>
  <c r="H74" i="2"/>
  <c r="I74" i="2"/>
  <c r="G74" i="2"/>
  <c r="E74" i="2"/>
  <c r="K74" i="2" l="1"/>
  <c r="O74" i="2" s="1"/>
  <c r="N74" i="2" l="1"/>
  <c r="P74" i="2"/>
  <c r="M74" i="2"/>
  <c r="L74" i="2"/>
  <c r="Q74" i="2" l="1"/>
  <c r="U74" i="2" s="1"/>
  <c r="Z74" i="2" l="1"/>
  <c r="I75" i="2" s="1"/>
  <c r="T74" i="2"/>
  <c r="W74" i="2"/>
  <c r="R74" i="2"/>
  <c r="Y74" i="2"/>
  <c r="V74" i="2"/>
  <c r="S74" i="2"/>
  <c r="G75" i="2" l="1"/>
  <c r="F75" i="2"/>
  <c r="H75" i="2"/>
  <c r="X74" i="2"/>
  <c r="E75" i="2"/>
  <c r="K75" i="2" l="1"/>
  <c r="L75" i="2" s="1"/>
  <c r="M75" i="2" l="1"/>
  <c r="P75" i="2"/>
  <c r="N75" i="2"/>
  <c r="O75" i="2"/>
  <c r="Q75" i="2"/>
  <c r="T75" i="2" s="1"/>
  <c r="V75" i="2" l="1"/>
  <c r="R75" i="2"/>
  <c r="Y75" i="2"/>
  <c r="S75" i="2"/>
  <c r="W75" i="2"/>
  <c r="U75" i="2"/>
  <c r="Z75" i="2"/>
  <c r="F76" i="2" l="1"/>
  <c r="I76" i="2"/>
  <c r="H76" i="2"/>
  <c r="X75" i="2"/>
  <c r="G76" i="2"/>
  <c r="E76" i="2"/>
  <c r="K76" i="2" l="1"/>
  <c r="L76" i="2" s="1"/>
  <c r="P76" i="2" l="1"/>
  <c r="N76" i="2"/>
  <c r="O76" i="2"/>
  <c r="M76" i="2"/>
  <c r="Q76" i="2" l="1"/>
  <c r="T76" i="2" s="1"/>
  <c r="U76" i="2"/>
  <c r="Z76" i="2"/>
  <c r="W76" i="2"/>
  <c r="Y76" i="2" l="1"/>
  <c r="F77" i="2" s="1"/>
  <c r="S76" i="2"/>
  <c r="V76" i="2"/>
  <c r="R76" i="2"/>
  <c r="E77" i="2"/>
  <c r="G77" i="2"/>
  <c r="H77" i="2"/>
  <c r="I77" i="2"/>
  <c r="X76" i="2" l="1"/>
  <c r="K77" i="2"/>
  <c r="N77" i="2" s="1"/>
  <c r="M77" i="2" l="1"/>
  <c r="P77" i="2"/>
  <c r="L77" i="2"/>
  <c r="O77" i="2"/>
  <c r="Q77" i="2" l="1"/>
  <c r="R77" i="2" s="1"/>
  <c r="U77" i="2" l="1"/>
  <c r="Z77" i="2"/>
  <c r="S77" i="2"/>
  <c r="Y77" i="2"/>
  <c r="F78" i="2" s="1"/>
  <c r="T77" i="2"/>
  <c r="V77" i="2"/>
  <c r="W77" i="2"/>
  <c r="X77" i="2" l="1"/>
  <c r="G78" i="2"/>
  <c r="E78" i="2"/>
  <c r="H78" i="2"/>
  <c r="I78" i="2"/>
  <c r="K78" i="2" l="1"/>
  <c r="P78" i="2" s="1"/>
  <c r="N78" i="2" l="1"/>
  <c r="O78" i="2"/>
  <c r="M78" i="2"/>
  <c r="L78" i="2"/>
  <c r="Q78" i="2" l="1"/>
  <c r="Z78" i="2" s="1"/>
  <c r="I79" i="2" s="1"/>
  <c r="R78" i="2" l="1"/>
  <c r="W78" i="2"/>
  <c r="U78" i="2"/>
  <c r="S78" i="2"/>
  <c r="Y78" i="2"/>
  <c r="V78" i="2"/>
  <c r="T78" i="2"/>
  <c r="H79" i="2"/>
  <c r="E79" i="2" l="1"/>
  <c r="F79" i="2"/>
  <c r="X78" i="2"/>
  <c r="G79" i="2"/>
  <c r="K79" i="2"/>
  <c r="L79" i="2" l="1"/>
  <c r="O79" i="2"/>
  <c r="P79" i="2"/>
  <c r="M79" i="2"/>
  <c r="N79" i="2"/>
  <c r="Q79" i="2" l="1"/>
  <c r="Z79" i="2" s="1"/>
  <c r="I80" i="2" l="1"/>
  <c r="H80" i="2"/>
  <c r="W79" i="2"/>
  <c r="S79" i="2"/>
  <c r="V79" i="2"/>
  <c r="U79" i="2"/>
  <c r="T79" i="2"/>
  <c r="R79" i="2"/>
  <c r="Y79" i="2"/>
  <c r="F80" i="2" s="1"/>
  <c r="X79" i="2" l="1"/>
  <c r="G80" i="2"/>
  <c r="E80" i="2"/>
  <c r="K80" i="2" l="1"/>
  <c r="O80" i="2" l="1"/>
  <c r="P80" i="2"/>
  <c r="N80" i="2"/>
  <c r="L80" i="2"/>
  <c r="M80" i="2"/>
  <c r="Q80" i="2" l="1"/>
  <c r="W80" i="2" s="1"/>
  <c r="Y80" i="2" l="1"/>
  <c r="R80" i="2"/>
  <c r="T80" i="2"/>
  <c r="Z80" i="2"/>
  <c r="U80" i="2"/>
  <c r="S80" i="2"/>
  <c r="V80" i="2"/>
  <c r="F81" i="2" l="1"/>
  <c r="X80" i="2"/>
  <c r="H81" i="2"/>
  <c r="I81" i="2"/>
  <c r="E81" i="2"/>
  <c r="G81" i="2"/>
  <c r="K81" i="2" l="1"/>
  <c r="L81" i="2" s="1"/>
  <c r="O81" i="2" l="1"/>
  <c r="P81" i="2"/>
  <c r="M81" i="2"/>
  <c r="N81" i="2"/>
  <c r="Q81" i="2" l="1"/>
  <c r="T81" i="2" s="1"/>
  <c r="Y81" i="2"/>
  <c r="W81" i="2"/>
  <c r="Z81" i="2"/>
  <c r="U81" i="2"/>
  <c r="F82" i="2" l="1"/>
  <c r="R81" i="2"/>
  <c r="V81" i="2"/>
  <c r="S81" i="2"/>
  <c r="G82" i="2"/>
  <c r="E82" i="2"/>
  <c r="I82" i="2"/>
  <c r="H82" i="2"/>
  <c r="X81" i="2" l="1"/>
  <c r="K82" i="2"/>
  <c r="M82" i="2" s="1"/>
  <c r="O82" i="2" l="1"/>
  <c r="N82" i="2"/>
  <c r="P82" i="2"/>
  <c r="L82" i="2"/>
  <c r="Q82" i="2" s="1"/>
  <c r="R82" i="2" s="1"/>
  <c r="Y82" i="2" l="1"/>
  <c r="Z82" i="2"/>
  <c r="T82" i="2"/>
  <c r="S82" i="2"/>
  <c r="W82" i="2"/>
  <c r="U82" i="2"/>
  <c r="V82" i="2"/>
  <c r="F83" i="2" l="1"/>
  <c r="G83" i="2"/>
  <c r="E83" i="2"/>
  <c r="X82" i="2"/>
  <c r="H83" i="2"/>
  <c r="I83" i="2"/>
  <c r="K83" i="2" l="1"/>
  <c r="O83" i="2" s="1"/>
  <c r="L83" i="2" l="1"/>
  <c r="N83" i="2"/>
  <c r="M83" i="2"/>
  <c r="P83" i="2"/>
  <c r="Q83" i="2" l="1"/>
  <c r="Z83" i="2" s="1"/>
  <c r="H84" i="2" l="1"/>
  <c r="I84" i="2"/>
  <c r="V83" i="2"/>
  <c r="S83" i="2"/>
  <c r="Y83" i="2"/>
  <c r="F84" i="2" s="1"/>
  <c r="T83" i="2"/>
  <c r="U83" i="2"/>
  <c r="R83" i="2"/>
  <c r="W83" i="2"/>
  <c r="X83" i="2" l="1"/>
  <c r="G84" i="2"/>
  <c r="E84" i="2"/>
  <c r="K84" i="2" l="1"/>
  <c r="L84" i="2" s="1"/>
  <c r="M84" i="2" l="1"/>
  <c r="N84" i="2"/>
  <c r="P84" i="2"/>
  <c r="O84" i="2"/>
  <c r="Q84" i="2" l="1"/>
  <c r="Z84" i="2" s="1"/>
  <c r="H85" i="2" l="1"/>
  <c r="I85" i="2"/>
  <c r="W84" i="2"/>
  <c r="R84" i="2"/>
  <c r="T84" i="2"/>
  <c r="Y84" i="2"/>
  <c r="F85" i="2" s="1"/>
  <c r="U84" i="2"/>
  <c r="V84" i="2"/>
  <c r="S84" i="2"/>
  <c r="X84" i="2" l="1"/>
  <c r="E85" i="2"/>
  <c r="G85" i="2"/>
  <c r="K85" i="2" l="1"/>
  <c r="N85" i="2" s="1"/>
  <c r="P85" i="2" l="1"/>
  <c r="O85" i="2"/>
  <c r="L85" i="2"/>
  <c r="M85" i="2"/>
  <c r="Q85" i="2" l="1"/>
  <c r="R85" i="2" s="1"/>
  <c r="Y85" i="2" l="1"/>
  <c r="Z85" i="2"/>
  <c r="I86" i="2" s="1"/>
  <c r="W85" i="2"/>
  <c r="S85" i="2"/>
  <c r="T85" i="2"/>
  <c r="U85" i="2"/>
  <c r="V85" i="2"/>
  <c r="G86" i="2" l="1"/>
  <c r="F86" i="2"/>
  <c r="H86" i="2"/>
  <c r="E86" i="2"/>
  <c r="K86" i="2" s="1"/>
  <c r="M86" i="2" s="1"/>
  <c r="X85" i="2"/>
  <c r="P86" i="2" l="1"/>
  <c r="L86" i="2"/>
  <c r="O86" i="2"/>
  <c r="N86" i="2"/>
  <c r="Q86" i="2" l="1"/>
  <c r="S86" i="2" s="1"/>
  <c r="R86" i="2" l="1"/>
  <c r="V86" i="2"/>
  <c r="Y86" i="2"/>
  <c r="W86" i="2"/>
  <c r="U86" i="2"/>
  <c r="T86" i="2"/>
  <c r="Z86" i="2"/>
  <c r="F87" i="2" l="1"/>
  <c r="X86" i="2"/>
  <c r="I87" i="2"/>
  <c r="H87" i="2"/>
  <c r="E87" i="2"/>
  <c r="G87" i="2"/>
  <c r="K87" i="2" l="1"/>
  <c r="P87" i="2" s="1"/>
  <c r="O87" i="2" l="1"/>
  <c r="M87" i="2"/>
  <c r="N87" i="2"/>
  <c r="L87" i="2"/>
  <c r="Q87" i="2" s="1"/>
  <c r="T87" i="2" l="1"/>
  <c r="Z87" i="2"/>
  <c r="R87" i="2"/>
  <c r="S87" i="2"/>
  <c r="V87" i="2"/>
  <c r="U87" i="2"/>
  <c r="W87" i="2"/>
  <c r="Y87" i="2"/>
  <c r="F88" i="2" l="1"/>
  <c r="X87" i="2"/>
  <c r="H88" i="2"/>
  <c r="I88" i="2"/>
  <c r="E88" i="2"/>
  <c r="G88" i="2"/>
  <c r="K88" i="2" l="1"/>
  <c r="L88" i="2" s="1"/>
  <c r="M88" i="2" l="1"/>
  <c r="N88" i="2"/>
  <c r="O88" i="2"/>
  <c r="P88" i="2"/>
  <c r="Q88" i="2" l="1"/>
  <c r="U88" i="2" s="1"/>
  <c r="Z88" i="2" l="1"/>
  <c r="I89" i="2" s="1"/>
  <c r="W88" i="2"/>
  <c r="Y88" i="2"/>
  <c r="V88" i="2"/>
  <c r="S88" i="2"/>
  <c r="T88" i="2"/>
  <c r="R88" i="2"/>
  <c r="E89" i="2" l="1"/>
  <c r="F89" i="2"/>
  <c r="H89" i="2"/>
  <c r="G89" i="2"/>
  <c r="X88" i="2"/>
  <c r="K89" i="2" l="1"/>
  <c r="M89" i="2" s="1"/>
  <c r="L89" i="2" l="1"/>
  <c r="P89" i="2"/>
  <c r="N89" i="2"/>
  <c r="O89" i="2"/>
  <c r="Q89" i="2" l="1"/>
  <c r="R89" i="2" s="1"/>
  <c r="Y89" i="2"/>
  <c r="U89" i="2"/>
  <c r="T89" i="2"/>
  <c r="Z89" i="2" l="1"/>
  <c r="F90" i="2" s="1"/>
  <c r="V89" i="2"/>
  <c r="W89" i="2"/>
  <c r="S89" i="2"/>
  <c r="X89" i="2" s="1"/>
  <c r="E90" i="2"/>
  <c r="G90" i="2"/>
  <c r="I90" i="2" l="1"/>
  <c r="H90" i="2"/>
  <c r="K90" i="2" s="1"/>
  <c r="O90" i="2" s="1"/>
  <c r="M90" i="2" l="1"/>
  <c r="L90" i="2"/>
  <c r="P90" i="2"/>
  <c r="N90" i="2"/>
  <c r="Q90" i="2" l="1"/>
  <c r="S90" i="2" s="1"/>
  <c r="Y90" i="2" l="1"/>
  <c r="W90" i="2"/>
  <c r="R90" i="2"/>
  <c r="Z90" i="2"/>
  <c r="H91" i="2" s="1"/>
  <c r="U90" i="2"/>
  <c r="V90" i="2"/>
  <c r="T90" i="2"/>
  <c r="G91" i="2" l="1"/>
  <c r="F91" i="2"/>
  <c r="I91" i="2"/>
  <c r="X90" i="2"/>
  <c r="E91" i="2"/>
  <c r="K91" i="2" l="1"/>
  <c r="L91" i="2" s="1"/>
  <c r="N91" i="2" l="1"/>
  <c r="O91" i="2"/>
  <c r="P91" i="2"/>
  <c r="M91" i="2"/>
  <c r="Q91" i="2" l="1"/>
  <c r="Z91" i="2" s="1"/>
  <c r="H92" i="2" s="1"/>
  <c r="W91" i="2"/>
  <c r="I92" i="2" l="1"/>
  <c r="R91" i="2"/>
  <c r="V91" i="2"/>
  <c r="U91" i="2"/>
  <c r="Y91" i="2"/>
  <c r="T91" i="2"/>
  <c r="S91" i="2"/>
  <c r="E92" i="2" l="1"/>
  <c r="F92" i="2"/>
  <c r="G92" i="2"/>
  <c r="X91" i="2"/>
  <c r="K92" i="2" l="1"/>
  <c r="L92" i="2"/>
  <c r="M92" i="2" l="1"/>
  <c r="N92" i="2"/>
  <c r="P92" i="2"/>
  <c r="O92" i="2"/>
  <c r="Q92" i="2" l="1"/>
  <c r="U92" i="2" s="1"/>
  <c r="Y92" i="2"/>
  <c r="S92" i="2"/>
  <c r="E93" i="2" l="1"/>
  <c r="G93" i="2"/>
  <c r="W92" i="2"/>
  <c r="R92" i="2"/>
  <c r="Z92" i="2"/>
  <c r="T92" i="2"/>
  <c r="V92" i="2"/>
  <c r="X92" i="2" l="1"/>
  <c r="I93" i="2"/>
  <c r="H93" i="2"/>
  <c r="F93" i="2"/>
  <c r="K93" i="2" l="1"/>
  <c r="O93" i="2"/>
  <c r="P93" i="2"/>
  <c r="L93" i="2" l="1"/>
  <c r="N93" i="2"/>
  <c r="M93" i="2"/>
  <c r="Q93" i="2" l="1"/>
  <c r="R93" i="2"/>
  <c r="T93" i="2"/>
  <c r="Y93" i="2"/>
  <c r="Z93" i="2"/>
  <c r="U93" i="2"/>
  <c r="H94" i="2" l="1"/>
  <c r="I94" i="2"/>
  <c r="F94" i="2"/>
  <c r="G94" i="2"/>
  <c r="E94" i="2"/>
  <c r="S93" i="2"/>
  <c r="W93" i="2"/>
  <c r="V93" i="2"/>
  <c r="X93" i="2" s="1"/>
  <c r="K94" i="2" l="1"/>
  <c r="O94" i="2" l="1"/>
  <c r="N94" i="2"/>
  <c r="L94" i="2"/>
  <c r="P94" i="2"/>
  <c r="M94" i="2"/>
  <c r="Q94" i="2" l="1"/>
  <c r="V94" i="2"/>
  <c r="S94" i="2"/>
  <c r="T94" i="2"/>
  <c r="Z94" i="2"/>
  <c r="H95" i="2" s="1"/>
  <c r="W94" i="2"/>
  <c r="Y94" i="2"/>
  <c r="E95" i="2" s="1"/>
  <c r="G95" i="2" l="1"/>
  <c r="R94" i="2"/>
  <c r="X94" i="2" s="1"/>
  <c r="U94" i="2"/>
  <c r="I95" i="2"/>
  <c r="F95" i="2"/>
  <c r="K95" i="2"/>
  <c r="O95" i="2" s="1"/>
  <c r="P95" i="2" l="1"/>
  <c r="M95" i="2"/>
  <c r="L95" i="2"/>
  <c r="N95" i="2"/>
  <c r="Q95" i="2" l="1"/>
  <c r="U95" i="2" s="1"/>
  <c r="T95" i="2" l="1"/>
  <c r="R95" i="2"/>
  <c r="Y95" i="2"/>
  <c r="S95" i="2"/>
  <c r="W95" i="2"/>
  <c r="Z95" i="2"/>
  <c r="V95" i="2"/>
  <c r="F96" i="2" l="1"/>
  <c r="X95" i="2"/>
  <c r="H96" i="2"/>
  <c r="I96" i="2"/>
  <c r="E96" i="2"/>
  <c r="G96" i="2"/>
  <c r="K96" i="2" l="1"/>
  <c r="O96" i="2" s="1"/>
  <c r="L96" i="2" l="1"/>
  <c r="N96" i="2"/>
  <c r="P96" i="2"/>
  <c r="M96" i="2"/>
  <c r="Q96" i="2" l="1"/>
  <c r="S96" i="2" l="1"/>
  <c r="U96" i="2"/>
  <c r="R96" i="2"/>
  <c r="T96" i="2"/>
  <c r="Y96" i="2"/>
  <c r="V96" i="2"/>
  <c r="Z96" i="2"/>
  <c r="W96" i="2"/>
  <c r="F97" i="2" l="1"/>
  <c r="X96" i="2"/>
  <c r="H97" i="2"/>
  <c r="I97" i="2"/>
  <c r="E97" i="2"/>
  <c r="G97" i="2"/>
  <c r="K97" i="2" l="1"/>
  <c r="L97" i="2" s="1"/>
  <c r="P97" i="2" l="1"/>
  <c r="M97" i="2"/>
  <c r="O97" i="2"/>
  <c r="N97" i="2"/>
  <c r="Q97" i="2" l="1"/>
  <c r="U97" i="2" s="1"/>
  <c r="W97" i="2" l="1"/>
  <c r="V97" i="2"/>
  <c r="R97" i="2"/>
  <c r="S97" i="2"/>
  <c r="Z97" i="2"/>
  <c r="H98" i="2" s="1"/>
  <c r="T97" i="2"/>
  <c r="Y97" i="2"/>
  <c r="G98" i="2" l="1"/>
  <c r="F98" i="2"/>
  <c r="E98" i="2"/>
  <c r="X97" i="2"/>
  <c r="I98" i="2"/>
  <c r="K98" i="2" l="1"/>
  <c r="N98" i="2" s="1"/>
  <c r="P98" i="2" l="1"/>
  <c r="L98" i="2"/>
  <c r="M98" i="2"/>
  <c r="O98" i="2"/>
  <c r="Q98" i="2" l="1"/>
  <c r="R98" i="2" s="1"/>
  <c r="S98" i="2"/>
  <c r="Y98" i="2"/>
  <c r="U98" i="2"/>
  <c r="V98" i="2"/>
  <c r="Z98" i="2"/>
  <c r="T98" i="2"/>
  <c r="W98" i="2"/>
  <c r="F99" i="2" l="1"/>
  <c r="X98" i="2"/>
  <c r="I99" i="2"/>
  <c r="H99" i="2"/>
  <c r="G99" i="2"/>
  <c r="E99" i="2"/>
  <c r="K99" i="2" l="1"/>
  <c r="N99" i="2" s="1"/>
  <c r="L99" i="2" l="1"/>
  <c r="M99" i="2"/>
  <c r="O99" i="2"/>
  <c r="P99" i="2"/>
  <c r="Q99" i="2" l="1"/>
  <c r="Y99" i="2" s="1"/>
  <c r="F100" i="2" l="1"/>
  <c r="G100" i="2"/>
  <c r="E100" i="2"/>
  <c r="R99" i="2"/>
  <c r="V99" i="2"/>
  <c r="U99" i="2"/>
  <c r="Z99" i="2"/>
  <c r="T99" i="2"/>
  <c r="S99" i="2"/>
  <c r="W99" i="2"/>
  <c r="X99" i="2" l="1"/>
  <c r="I100" i="2"/>
  <c r="H100" i="2"/>
  <c r="K100" i="2" l="1"/>
  <c r="L100" i="2" l="1"/>
  <c r="N100" i="2"/>
  <c r="M100" i="2"/>
  <c r="P100" i="2"/>
  <c r="O100" i="2"/>
  <c r="Q100" i="2" l="1"/>
  <c r="Z100" i="2" l="1"/>
  <c r="S100" i="2"/>
  <c r="V100" i="2"/>
  <c r="T100" i="2"/>
  <c r="U100" i="2"/>
  <c r="Y100" i="2"/>
  <c r="R100" i="2"/>
  <c r="W100" i="2"/>
  <c r="F101" i="2" l="1"/>
  <c r="X100" i="2"/>
  <c r="E101" i="2"/>
  <c r="G101" i="2"/>
  <c r="H101" i="2"/>
  <c r="I101" i="2"/>
  <c r="K101" i="2" l="1"/>
  <c r="N101" i="2" s="1"/>
  <c r="O101" i="2" l="1"/>
  <c r="M101" i="2"/>
  <c r="L101" i="2"/>
  <c r="P101" i="2"/>
  <c r="Q101" i="2" l="1"/>
  <c r="R101" i="2" s="1"/>
  <c r="U101" i="2" l="1"/>
  <c r="Z101" i="2"/>
  <c r="W101" i="2"/>
  <c r="S101" i="2"/>
  <c r="Y101" i="2"/>
  <c r="T101" i="2"/>
  <c r="V101" i="2"/>
  <c r="F102" i="2" l="1"/>
  <c r="X101" i="2"/>
  <c r="I102" i="2"/>
  <c r="H102" i="2"/>
  <c r="E102" i="2"/>
  <c r="G102" i="2"/>
  <c r="K102" i="2" l="1"/>
  <c r="M102" i="2" s="1"/>
  <c r="L102" i="2" l="1"/>
  <c r="O102" i="2"/>
  <c r="P102" i="2"/>
  <c r="N102" i="2"/>
  <c r="Q102" i="2" l="1"/>
  <c r="T102" i="2" l="1"/>
  <c r="U102" i="2"/>
  <c r="Y102" i="2"/>
  <c r="R102" i="2"/>
  <c r="V102" i="2"/>
  <c r="Z102" i="2"/>
  <c r="S102" i="2"/>
  <c r="W102" i="2"/>
  <c r="F103" i="2" l="1"/>
  <c r="X102" i="2"/>
  <c r="E103" i="2"/>
  <c r="G103" i="2"/>
  <c r="I103" i="2"/>
  <c r="H103" i="2"/>
  <c r="K103" i="2" l="1"/>
  <c r="O103" i="2" s="1"/>
  <c r="N103" i="2" l="1"/>
  <c r="L103" i="2"/>
  <c r="P103" i="2"/>
  <c r="M103" i="2"/>
  <c r="Q103" i="2" l="1"/>
  <c r="Z103" i="2" s="1"/>
  <c r="I104" i="2" l="1"/>
  <c r="H104" i="2"/>
  <c r="Y103" i="2"/>
  <c r="F104" i="2" s="1"/>
  <c r="U103" i="2"/>
  <c r="V103" i="2"/>
  <c r="R103" i="2"/>
  <c r="W103" i="2"/>
  <c r="S103" i="2"/>
  <c r="T103" i="2"/>
  <c r="X103" i="2" l="1"/>
  <c r="E104" i="2"/>
  <c r="G104" i="2"/>
  <c r="K104" i="2" l="1"/>
  <c r="N104" i="2" l="1"/>
  <c r="P104" i="2"/>
  <c r="O104" i="2"/>
  <c r="L104" i="2"/>
  <c r="M104" i="2"/>
  <c r="Q104" i="2" l="1"/>
  <c r="R104" i="2" s="1"/>
  <c r="V104" i="2" l="1"/>
  <c r="U104" i="2"/>
  <c r="W104" i="2"/>
  <c r="Y104" i="2"/>
  <c r="S104" i="2"/>
  <c r="Z104" i="2"/>
  <c r="T104" i="2"/>
  <c r="F105" i="2" l="1"/>
  <c r="X104" i="2"/>
  <c r="G105" i="2"/>
  <c r="E105" i="2"/>
  <c r="H105" i="2"/>
  <c r="I105" i="2"/>
  <c r="K105" i="2" l="1"/>
  <c r="L105" i="2" s="1"/>
  <c r="N105" i="2" l="1"/>
  <c r="M105" i="2"/>
  <c r="P105" i="2"/>
  <c r="O105" i="2"/>
  <c r="Q105" i="2" l="1"/>
  <c r="Z105" i="2" s="1"/>
  <c r="Y105" i="2" l="1"/>
  <c r="V105" i="2"/>
  <c r="U105" i="2"/>
  <c r="I106" i="2"/>
  <c r="H106" i="2"/>
  <c r="R105" i="2"/>
  <c r="T105" i="2"/>
  <c r="S105" i="2"/>
  <c r="W105" i="2"/>
  <c r="G106" i="2" l="1"/>
  <c r="F106" i="2"/>
  <c r="E106" i="2"/>
  <c r="X105" i="2"/>
  <c r="K106" i="2" l="1"/>
  <c r="M106" i="2" s="1"/>
  <c r="O106" i="2" l="1"/>
  <c r="P106" i="2"/>
  <c r="L106" i="2"/>
  <c r="N106" i="2"/>
  <c r="Q106" i="2" l="1"/>
  <c r="T106" i="2" s="1"/>
  <c r="U106" i="2"/>
  <c r="Y106" i="2"/>
  <c r="G107" i="2" l="1"/>
  <c r="S106" i="2"/>
  <c r="W106" i="2"/>
  <c r="Z106" i="2"/>
  <c r="H107" i="2" s="1"/>
  <c r="R106" i="2"/>
  <c r="V106" i="2"/>
  <c r="E107" i="2"/>
  <c r="F107" i="2" l="1"/>
  <c r="I107" i="2"/>
  <c r="K107" i="2" s="1"/>
  <c r="L107" i="2" s="1"/>
  <c r="X106" i="2"/>
  <c r="O107" i="2" l="1"/>
  <c r="M107" i="2"/>
  <c r="P107" i="2"/>
  <c r="N107" i="2"/>
  <c r="Q107" i="2" l="1"/>
  <c r="T107" i="2" s="1"/>
  <c r="Y107" i="2"/>
  <c r="V107" i="2" l="1"/>
  <c r="S107" i="2"/>
  <c r="W107" i="2"/>
  <c r="Z107" i="2"/>
  <c r="I108" i="2" s="1"/>
  <c r="R107" i="2"/>
  <c r="U107" i="2"/>
  <c r="E108" i="2"/>
  <c r="G108" i="2"/>
  <c r="F108" i="2" l="1"/>
  <c r="X107" i="2"/>
  <c r="H108" i="2"/>
  <c r="K108" i="2"/>
  <c r="P108" i="2" s="1"/>
  <c r="O108" i="2" l="1"/>
  <c r="N108" i="2"/>
  <c r="L108" i="2"/>
  <c r="M108" i="2"/>
  <c r="Q108" i="2" l="1"/>
  <c r="R108" i="2" s="1"/>
  <c r="V108" i="2" l="1"/>
  <c r="Y108" i="2"/>
  <c r="T108" i="2"/>
  <c r="S108" i="2"/>
  <c r="Z108" i="2"/>
  <c r="U108" i="2"/>
  <c r="W108" i="2"/>
  <c r="F109" i="2" l="1"/>
  <c r="X108" i="2"/>
  <c r="I109" i="2"/>
  <c r="H109" i="2"/>
  <c r="G109" i="2"/>
  <c r="E109" i="2"/>
  <c r="K109" i="2" l="1"/>
  <c r="M109" i="2" s="1"/>
  <c r="P109" i="2" l="1"/>
  <c r="O109" i="2"/>
  <c r="L109" i="2"/>
  <c r="N109" i="2"/>
  <c r="Q109" i="2" l="1"/>
  <c r="Y109" i="2" s="1"/>
  <c r="E110" i="2" l="1"/>
  <c r="G110" i="2"/>
  <c r="Z109" i="2"/>
  <c r="F110" i="2" s="1"/>
  <c r="S109" i="2"/>
  <c r="T109" i="2"/>
  <c r="U109" i="2"/>
  <c r="W109" i="2"/>
  <c r="R109" i="2"/>
  <c r="V109" i="2"/>
  <c r="X109" i="2" l="1"/>
  <c r="I110" i="2"/>
  <c r="H110" i="2"/>
  <c r="K110" i="2" s="1"/>
  <c r="N110" i="2" l="1"/>
  <c r="M110" i="2"/>
  <c r="L110" i="2"/>
  <c r="O110" i="2"/>
  <c r="P110" i="2"/>
  <c r="Q110" i="2" l="1"/>
  <c r="R110" i="2" s="1"/>
  <c r="Z110" i="2" l="1"/>
  <c r="W110" i="2"/>
  <c r="Y110" i="2"/>
  <c r="F111" i="2" s="1"/>
  <c r="U110" i="2"/>
  <c r="T110" i="2"/>
  <c r="V110" i="2"/>
  <c r="S110" i="2"/>
  <c r="X110" i="2" l="1"/>
  <c r="G111" i="2"/>
  <c r="E111" i="2"/>
  <c r="H111" i="2"/>
  <c r="I111" i="2"/>
  <c r="K111" i="2" l="1"/>
  <c r="M111" i="2" s="1"/>
  <c r="O111" i="2" l="1"/>
  <c r="L111" i="2"/>
  <c r="P111" i="2"/>
  <c r="N111" i="2"/>
  <c r="Q111" i="2" l="1"/>
  <c r="Z111" i="2" l="1"/>
  <c r="T111" i="2"/>
  <c r="U111" i="2"/>
  <c r="Y111" i="2"/>
  <c r="F112" i="2" s="1"/>
  <c r="S111" i="2"/>
  <c r="V111" i="2"/>
  <c r="R111" i="2"/>
  <c r="W111" i="2"/>
  <c r="X111" i="2" l="1"/>
  <c r="G112" i="2"/>
  <c r="E112" i="2"/>
  <c r="I112" i="2"/>
  <c r="H112" i="2"/>
  <c r="K112" i="2" l="1"/>
  <c r="P112" i="2" s="1"/>
  <c r="L112" i="2" l="1"/>
  <c r="O112" i="2"/>
  <c r="N112" i="2"/>
  <c r="M112" i="2"/>
  <c r="Q112" i="2" l="1"/>
  <c r="U112" i="2" s="1"/>
  <c r="R112" i="2" l="1"/>
  <c r="T112" i="2"/>
  <c r="W112" i="2"/>
  <c r="Y112" i="2"/>
  <c r="V112" i="2"/>
  <c r="Z112" i="2"/>
  <c r="S112" i="2"/>
  <c r="F113" i="2" l="1"/>
  <c r="X112" i="2"/>
  <c r="I113" i="2"/>
  <c r="H113" i="2"/>
  <c r="E113" i="2"/>
  <c r="G113" i="2"/>
  <c r="K113" i="2" l="1"/>
  <c r="O113" i="2" s="1"/>
  <c r="N113" i="2" l="1"/>
  <c r="L113" i="2"/>
  <c r="P113" i="2"/>
  <c r="M113" i="2"/>
  <c r="Q113" i="2" l="1"/>
  <c r="Y113" i="2" s="1"/>
  <c r="G114" i="2" l="1"/>
  <c r="E114" i="2"/>
  <c r="S113" i="2"/>
  <c r="V113" i="2"/>
  <c r="T113" i="2"/>
  <c r="U113" i="2"/>
  <c r="R113" i="2"/>
  <c r="Z113" i="2"/>
  <c r="F114" i="2" s="1"/>
  <c r="W113" i="2"/>
  <c r="X113" i="2" l="1"/>
  <c r="I114" i="2"/>
  <c r="H114" i="2"/>
  <c r="K114" i="2" l="1"/>
  <c r="O114" i="2" s="1"/>
  <c r="M114" i="2" l="1"/>
  <c r="L114" i="2"/>
  <c r="N114" i="2"/>
  <c r="P114" i="2"/>
  <c r="Q114" i="2" l="1"/>
  <c r="R114" i="2" s="1"/>
  <c r="W114" i="2" l="1"/>
  <c r="Z114" i="2"/>
  <c r="T114" i="2"/>
  <c r="U114" i="2"/>
  <c r="S114" i="2"/>
  <c r="Y114" i="2"/>
  <c r="F115" i="2" s="1"/>
  <c r="V114" i="2"/>
  <c r="X114" i="2" l="1"/>
  <c r="G115" i="2"/>
  <c r="E115" i="2"/>
  <c r="H115" i="2"/>
  <c r="I115" i="2"/>
  <c r="K115" i="2" l="1"/>
  <c r="L115" i="2" s="1"/>
  <c r="M115" i="2" l="1"/>
  <c r="P115" i="2"/>
  <c r="N115" i="2"/>
  <c r="O115" i="2"/>
  <c r="Q115" i="2" l="1"/>
  <c r="R115" i="2" s="1"/>
  <c r="Y115" i="2" l="1"/>
  <c r="U115" i="2"/>
  <c r="Z115" i="2"/>
  <c r="I116" i="2" s="1"/>
  <c r="T115" i="2"/>
  <c r="S115" i="2"/>
  <c r="W115" i="2"/>
  <c r="V115" i="2"/>
  <c r="F116" i="2" l="1"/>
  <c r="E116" i="2"/>
  <c r="G116" i="2"/>
  <c r="H116" i="2"/>
  <c r="X115" i="2"/>
  <c r="K116" i="2" l="1"/>
  <c r="N116" i="2" s="1"/>
  <c r="O116" i="2"/>
  <c r="P116" i="2"/>
  <c r="M116" i="2"/>
  <c r="L116" i="2"/>
  <c r="Q116" i="2" l="1"/>
  <c r="R116" i="2" s="1"/>
  <c r="Y116" i="2" l="1"/>
  <c r="T116" i="2"/>
  <c r="S116" i="2"/>
  <c r="U116" i="2"/>
  <c r="W116" i="2"/>
  <c r="Z116" i="2"/>
  <c r="V116" i="2"/>
  <c r="F117" i="2" l="1"/>
  <c r="X116" i="2"/>
  <c r="I117" i="2"/>
  <c r="H117" i="2"/>
  <c r="G117" i="2"/>
  <c r="E117" i="2"/>
  <c r="K117" i="2" l="1"/>
  <c r="O117" i="2" s="1"/>
  <c r="L117" i="2" l="1"/>
  <c r="N117" i="2"/>
  <c r="P117" i="2"/>
  <c r="M117" i="2"/>
  <c r="Q117" i="2" l="1"/>
  <c r="Z117" i="2" s="1"/>
  <c r="I118" i="2" l="1"/>
  <c r="H118" i="2"/>
  <c r="W117" i="2"/>
  <c r="U117" i="2"/>
  <c r="R117" i="2"/>
  <c r="S117" i="2"/>
  <c r="T117" i="2"/>
  <c r="Y117" i="2"/>
  <c r="F118" i="2" s="1"/>
  <c r="V117" i="2"/>
  <c r="X117" i="2" l="1"/>
  <c r="G118" i="2"/>
  <c r="E118" i="2"/>
  <c r="K118" i="2" l="1"/>
  <c r="L118" i="2" s="1"/>
  <c r="N118" i="2" l="1"/>
  <c r="M118" i="2"/>
  <c r="O118" i="2"/>
  <c r="P118" i="2"/>
  <c r="Q118" i="2" l="1"/>
  <c r="V118" i="2" s="1"/>
  <c r="Z118" i="2" l="1"/>
  <c r="H119" i="2" s="1"/>
  <c r="Y118" i="2"/>
  <c r="T118" i="2"/>
  <c r="U118" i="2"/>
  <c r="W118" i="2"/>
  <c r="S118" i="2"/>
  <c r="R118" i="2"/>
  <c r="G119" i="2" l="1"/>
  <c r="F119" i="2"/>
  <c r="I119" i="2"/>
  <c r="X118" i="2"/>
  <c r="E119" i="2"/>
  <c r="K119" i="2" l="1"/>
  <c r="O119" i="2" s="1"/>
  <c r="P119" i="2"/>
  <c r="L119" i="2"/>
  <c r="N119" i="2"/>
  <c r="M119" i="2"/>
  <c r="Q119" i="2" l="1"/>
  <c r="U119" i="2" s="1"/>
  <c r="W119" i="2" l="1"/>
  <c r="Y119" i="2"/>
  <c r="S119" i="2"/>
  <c r="Z119" i="2"/>
  <c r="V119" i="2"/>
  <c r="R119" i="2"/>
  <c r="T119" i="2"/>
  <c r="F120" i="2" l="1"/>
  <c r="X119" i="2"/>
  <c r="I120" i="2"/>
  <c r="H120" i="2"/>
  <c r="G120" i="2"/>
  <c r="E120" i="2"/>
  <c r="K120" i="2" l="1"/>
  <c r="L120" i="2" s="1"/>
  <c r="N120" i="2" l="1"/>
  <c r="O120" i="2"/>
  <c r="P120" i="2"/>
  <c r="M120" i="2"/>
  <c r="Q120" i="2" l="1"/>
  <c r="R120" i="2" s="1"/>
  <c r="V120" i="2" l="1"/>
  <c r="U120" i="2"/>
  <c r="T120" i="2"/>
  <c r="Z120" i="2"/>
  <c r="H121" i="2" s="1"/>
  <c r="W120" i="2"/>
  <c r="S120" i="2"/>
  <c r="Y120" i="2"/>
  <c r="F121" i="2" s="1"/>
  <c r="X120" i="2" l="1"/>
  <c r="I121" i="2"/>
  <c r="G121" i="2"/>
  <c r="E121" i="2"/>
  <c r="K121" i="2" l="1"/>
  <c r="L121" i="2" s="1"/>
  <c r="N121" i="2" l="1"/>
  <c r="M121" i="2"/>
  <c r="O121" i="2"/>
  <c r="P121" i="2"/>
  <c r="Q121" i="2"/>
  <c r="Z121" i="2" s="1"/>
  <c r="H122" i="2" s="1"/>
  <c r="Y121" i="2" l="1"/>
  <c r="V121" i="2"/>
  <c r="R121" i="2"/>
  <c r="T121" i="2"/>
  <c r="U121" i="2"/>
  <c r="W121" i="2"/>
  <c r="S121" i="2"/>
  <c r="I122" i="2"/>
  <c r="G122" i="2" l="1"/>
  <c r="F122" i="2"/>
  <c r="E122" i="2"/>
  <c r="X121" i="2"/>
  <c r="K122" i="2"/>
  <c r="L122" i="2" s="1"/>
  <c r="M122" i="2" l="1"/>
  <c r="N122" i="2"/>
  <c r="P122" i="2"/>
  <c r="O122" i="2"/>
  <c r="Q122" i="2" l="1"/>
  <c r="R122" i="2" l="1"/>
  <c r="V122" i="2"/>
  <c r="U122" i="2"/>
  <c r="T122" i="2"/>
  <c r="Y122" i="2"/>
  <c r="S122" i="2"/>
  <c r="W122" i="2"/>
  <c r="Z122" i="2"/>
  <c r="F123" i="2" l="1"/>
  <c r="X122" i="2"/>
  <c r="G123" i="2"/>
  <c r="E123" i="2"/>
  <c r="I123" i="2"/>
  <c r="H123" i="2"/>
  <c r="K123" i="2" l="1"/>
  <c r="O123" i="2" s="1"/>
  <c r="M123" i="2" l="1"/>
  <c r="L123" i="2"/>
  <c r="N123" i="2"/>
  <c r="P123" i="2"/>
  <c r="Q123" i="2" l="1"/>
  <c r="R123" i="2" s="1"/>
  <c r="Z123" i="2" l="1"/>
  <c r="W123" i="2"/>
  <c r="V123" i="2"/>
  <c r="Y123" i="2"/>
  <c r="F124" i="2" s="1"/>
  <c r="S123" i="2"/>
  <c r="T123" i="2"/>
  <c r="U123" i="2"/>
  <c r="X123" i="2" l="1"/>
  <c r="G124" i="2"/>
  <c r="E124" i="2"/>
  <c r="I124" i="2"/>
  <c r="H124" i="2"/>
  <c r="K124" i="2" l="1"/>
  <c r="L124" i="2" s="1"/>
  <c r="P124" i="2" l="1"/>
  <c r="O124" i="2"/>
  <c r="N124" i="2"/>
  <c r="M124" i="2"/>
  <c r="Q124" i="2" l="1"/>
  <c r="V124" i="2" s="1"/>
  <c r="Z124" i="2" l="1"/>
  <c r="Y124" i="2"/>
  <c r="F125" i="2" s="1"/>
  <c r="U124" i="2"/>
  <c r="T124" i="2"/>
  <c r="W124" i="2"/>
  <c r="S124" i="2"/>
  <c r="R124" i="2"/>
  <c r="X124" i="2" l="1"/>
  <c r="G125" i="2"/>
  <c r="E125" i="2"/>
  <c r="I125" i="2"/>
  <c r="H125" i="2"/>
  <c r="K125" i="2" l="1"/>
  <c r="M125" i="2" s="1"/>
  <c r="L125" i="2" l="1"/>
  <c r="O125" i="2"/>
  <c r="N125" i="2"/>
  <c r="P125" i="2"/>
  <c r="Q125" i="2" l="1"/>
  <c r="V125" i="2" s="1"/>
  <c r="W125" i="2" l="1"/>
  <c r="Z125" i="2"/>
  <c r="R125" i="2"/>
  <c r="Y125" i="2"/>
  <c r="F126" i="2" s="1"/>
  <c r="U125" i="2"/>
  <c r="T125" i="2"/>
  <c r="S125" i="2"/>
  <c r="X125" i="2" l="1"/>
  <c r="G126" i="2"/>
  <c r="E126" i="2"/>
  <c r="I126" i="2"/>
  <c r="H126" i="2"/>
  <c r="K126" i="2" l="1"/>
  <c r="L126" i="2" s="1"/>
  <c r="M126" i="2" l="1"/>
  <c r="P126" i="2"/>
  <c r="N126" i="2"/>
  <c r="O126" i="2"/>
  <c r="Q126" i="2" l="1"/>
  <c r="W126" i="2" s="1"/>
  <c r="Y126" i="2" l="1"/>
  <c r="U126" i="2"/>
  <c r="R126" i="2"/>
  <c r="T126" i="2"/>
  <c r="Z126" i="2"/>
  <c r="S126" i="2"/>
  <c r="V126" i="2"/>
  <c r="F127" i="2" l="1"/>
  <c r="X126" i="2"/>
  <c r="H127" i="2"/>
  <c r="I127" i="2"/>
  <c r="G127" i="2"/>
  <c r="E127" i="2"/>
  <c r="K127" i="2" l="1"/>
  <c r="L127" i="2" s="1"/>
  <c r="O127" i="2" l="1"/>
  <c r="M127" i="2"/>
  <c r="P127" i="2"/>
  <c r="N127" i="2"/>
  <c r="Q127" i="2" l="1"/>
  <c r="V127" i="2" s="1"/>
  <c r="Z127" i="2"/>
  <c r="U127" i="2"/>
  <c r="Y127" i="2"/>
  <c r="F128" i="2" s="1"/>
  <c r="S127" i="2"/>
  <c r="R127" i="2"/>
  <c r="T127" i="2" l="1"/>
  <c r="W127" i="2"/>
  <c r="X127" i="2" s="1"/>
  <c r="E128" i="2"/>
  <c r="G128" i="2"/>
  <c r="H128" i="2"/>
  <c r="I128" i="2"/>
  <c r="K128" i="2" l="1"/>
  <c r="N128" i="2" s="1"/>
  <c r="O128" i="2" l="1"/>
  <c r="L128" i="2"/>
  <c r="M128" i="2"/>
  <c r="P128" i="2"/>
  <c r="Q128" i="2" l="1"/>
  <c r="Z128" i="2" s="1"/>
  <c r="I129" i="2" l="1"/>
  <c r="H129" i="2"/>
  <c r="Y128" i="2"/>
  <c r="F129" i="2" s="1"/>
  <c r="R128" i="2"/>
  <c r="U128" i="2"/>
  <c r="W128" i="2"/>
  <c r="S128" i="2"/>
  <c r="V128" i="2"/>
  <c r="T128" i="2"/>
  <c r="X128" i="2" l="1"/>
  <c r="G129" i="2"/>
  <c r="E129" i="2"/>
  <c r="K129" i="2" l="1"/>
  <c r="M129" i="2" s="1"/>
  <c r="N129" i="2" l="1"/>
  <c r="L129" i="2"/>
  <c r="O129" i="2"/>
  <c r="P129" i="2"/>
  <c r="Q129" i="2" l="1"/>
  <c r="R129" i="2" s="1"/>
  <c r="Z129" i="2" l="1"/>
  <c r="S129" i="2"/>
  <c r="Y129" i="2"/>
  <c r="F130" i="2" s="1"/>
  <c r="W129" i="2"/>
  <c r="V129" i="2"/>
  <c r="U129" i="2"/>
  <c r="T129" i="2"/>
  <c r="X129" i="2" l="1"/>
  <c r="E130" i="2"/>
  <c r="G130" i="2"/>
  <c r="H130" i="2"/>
  <c r="I130" i="2"/>
  <c r="K130" i="2" l="1"/>
  <c r="L130" i="2" s="1"/>
  <c r="N130" i="2" l="1"/>
  <c r="P130" i="2"/>
  <c r="M130" i="2"/>
  <c r="O130" i="2"/>
  <c r="Q130" i="2" l="1"/>
  <c r="U130" i="2" s="1"/>
  <c r="T130" i="2" l="1"/>
  <c r="V130" i="2"/>
  <c r="Y130" i="2"/>
  <c r="W130" i="2"/>
  <c r="R130" i="2"/>
  <c r="S130" i="2"/>
  <c r="Z130" i="2"/>
  <c r="F131" i="2" l="1"/>
  <c r="E131" i="2"/>
  <c r="G131" i="2"/>
  <c r="X130" i="2"/>
  <c r="H131" i="2"/>
  <c r="I131" i="2"/>
  <c r="K131" i="2" l="1"/>
  <c r="L131" i="2" s="1"/>
  <c r="M131" i="2" l="1"/>
  <c r="P131" i="2"/>
  <c r="O131" i="2"/>
  <c r="N131" i="2"/>
  <c r="Q131" i="2" l="1"/>
  <c r="Z131" i="2" s="1"/>
  <c r="Y131" i="2" l="1"/>
  <c r="E132" i="2" s="1"/>
  <c r="U131" i="2"/>
  <c r="W131" i="2"/>
  <c r="V131" i="2"/>
  <c r="R131" i="2"/>
  <c r="S131" i="2"/>
  <c r="T131" i="2"/>
  <c r="I132" i="2"/>
  <c r="H132" i="2"/>
  <c r="G132" i="2" l="1"/>
  <c r="F132" i="2"/>
  <c r="X131" i="2"/>
  <c r="K132" i="2"/>
  <c r="L132" i="2" s="1"/>
  <c r="M132" i="2" l="1"/>
  <c r="P132" i="2"/>
  <c r="N132" i="2"/>
  <c r="O132" i="2"/>
  <c r="Q132" i="2" l="1"/>
  <c r="Y132" i="2" s="1"/>
  <c r="G133" i="2" l="1"/>
  <c r="E133" i="2"/>
  <c r="Z132" i="2"/>
  <c r="F133" i="2" s="1"/>
  <c r="R132" i="2"/>
  <c r="T132" i="2"/>
  <c r="U132" i="2"/>
  <c r="S132" i="2"/>
  <c r="V132" i="2"/>
  <c r="W132" i="2"/>
  <c r="X132" i="2" l="1"/>
  <c r="H133" i="2"/>
  <c r="I133" i="2"/>
  <c r="K133" i="2" l="1"/>
  <c r="P133" i="2" s="1"/>
  <c r="O133" i="2" l="1"/>
  <c r="N133" i="2"/>
  <c r="M133" i="2"/>
  <c r="L133" i="2"/>
  <c r="Q133" i="2" l="1"/>
  <c r="W133" i="2" s="1"/>
  <c r="U133" i="2"/>
  <c r="R133" i="2"/>
  <c r="Y133" i="2"/>
  <c r="Z133" i="2"/>
  <c r="F134" i="2" l="1"/>
  <c r="S133" i="2"/>
  <c r="T133" i="2"/>
  <c r="V133" i="2"/>
  <c r="X133" i="2"/>
  <c r="I134" i="2"/>
  <c r="H134" i="2"/>
  <c r="G134" i="2"/>
  <c r="E134" i="2"/>
  <c r="K134" i="2" l="1"/>
  <c r="M134" i="2" s="1"/>
  <c r="O134" i="2" l="1"/>
  <c r="L134" i="2"/>
  <c r="N134" i="2"/>
  <c r="P134" i="2"/>
  <c r="Q134" i="2" l="1"/>
  <c r="S134" i="2" l="1"/>
  <c r="T134" i="2"/>
  <c r="U134" i="2"/>
  <c r="Y134" i="2"/>
  <c r="W134" i="2"/>
  <c r="R134" i="2"/>
  <c r="V134" i="2"/>
  <c r="Z134" i="2"/>
  <c r="F135" i="2" l="1"/>
  <c r="X134" i="2"/>
  <c r="E135" i="2"/>
  <c r="G135" i="2"/>
  <c r="I135" i="2"/>
  <c r="H135" i="2"/>
  <c r="K135" i="2" l="1"/>
  <c r="M135" i="2" s="1"/>
  <c r="N135" i="2" l="1"/>
  <c r="L135" i="2"/>
  <c r="O135" i="2"/>
  <c r="P135" i="2"/>
  <c r="Q135" i="2" l="1"/>
  <c r="S135" i="2" s="1"/>
  <c r="Z135" i="2" l="1"/>
  <c r="Y135" i="2"/>
  <c r="V135" i="2"/>
  <c r="R135" i="2"/>
  <c r="W135" i="2"/>
  <c r="T135" i="2"/>
  <c r="U135" i="2"/>
  <c r="F136" i="2" l="1"/>
  <c r="X135" i="2"/>
  <c r="E136" i="2"/>
  <c r="G136" i="2"/>
  <c r="I136" i="2"/>
  <c r="H136" i="2"/>
  <c r="K136" i="2" l="1"/>
  <c r="M136" i="2" s="1"/>
  <c r="N136" i="2" l="1"/>
  <c r="O136" i="2"/>
  <c r="L136" i="2"/>
  <c r="P136" i="2"/>
  <c r="Q136" i="2" l="1"/>
  <c r="S136" i="2" s="1"/>
  <c r="Z136" i="2" l="1"/>
  <c r="R136" i="2"/>
  <c r="W136" i="2"/>
  <c r="U136" i="2"/>
  <c r="T136" i="2"/>
  <c r="V136" i="2"/>
  <c r="Y136" i="2"/>
  <c r="F137" i="2" s="1"/>
  <c r="X136" i="2" l="1"/>
  <c r="G137" i="2"/>
  <c r="E137" i="2"/>
  <c r="H137" i="2"/>
  <c r="I137" i="2"/>
  <c r="K137" i="2" l="1"/>
  <c r="P137" i="2" s="1"/>
  <c r="L137" i="2" l="1"/>
  <c r="M137" i="2"/>
  <c r="N137" i="2"/>
  <c r="O137" i="2"/>
  <c r="Q137" i="2" l="1"/>
  <c r="T137" i="2" s="1"/>
  <c r="R137" i="2" l="1"/>
  <c r="W137" i="2"/>
  <c r="S137" i="2"/>
  <c r="Z137" i="2"/>
  <c r="Y137" i="2"/>
  <c r="U137" i="2"/>
  <c r="V137" i="2"/>
  <c r="F138" i="2" l="1"/>
  <c r="X137" i="2"/>
  <c r="H138" i="2"/>
  <c r="I138" i="2"/>
  <c r="G138" i="2"/>
  <c r="E138" i="2"/>
  <c r="K138" i="2" l="1"/>
  <c r="P138" i="2" s="1"/>
  <c r="O138" i="2" l="1"/>
  <c r="N138" i="2"/>
  <c r="M138" i="2"/>
  <c r="L138" i="2"/>
  <c r="Q138" i="2" l="1"/>
  <c r="Y138" i="2" s="1"/>
  <c r="E139" i="2" l="1"/>
  <c r="W138" i="2"/>
  <c r="T138" i="2"/>
  <c r="U138" i="2"/>
  <c r="Z138" i="2"/>
  <c r="H139" i="2" s="1"/>
  <c r="V138" i="2"/>
  <c r="G139" i="2"/>
  <c r="R138" i="2"/>
  <c r="S138" i="2"/>
  <c r="F139" i="2" l="1"/>
  <c r="I139" i="2"/>
  <c r="K139" i="2" s="1"/>
  <c r="L139" i="2" s="1"/>
  <c r="X138" i="2"/>
  <c r="N139" i="2" l="1"/>
  <c r="P139" i="2"/>
  <c r="M139" i="2"/>
  <c r="O139" i="2"/>
  <c r="Q139" i="2" l="1"/>
  <c r="T139" i="2" s="1"/>
  <c r="Z139" i="2"/>
  <c r="V139" i="2" l="1"/>
  <c r="R139" i="2"/>
  <c r="U139" i="2"/>
  <c r="Y139" i="2"/>
  <c r="F140" i="2" s="1"/>
  <c r="S139" i="2"/>
  <c r="W139" i="2"/>
  <c r="I140" i="2"/>
  <c r="H140" i="2"/>
  <c r="X139" i="2" l="1"/>
  <c r="E140" i="2"/>
  <c r="G140" i="2"/>
  <c r="K140" i="2" l="1"/>
  <c r="M140" i="2" s="1"/>
  <c r="N140" i="2" l="1"/>
  <c r="L140" i="2"/>
  <c r="O140" i="2"/>
  <c r="P140" i="2"/>
  <c r="Q140" i="2"/>
  <c r="S140" i="2" l="1"/>
  <c r="T140" i="2"/>
  <c r="W140" i="2"/>
  <c r="U140" i="2"/>
  <c r="Z140" i="2"/>
  <c r="Y140" i="2"/>
  <c r="F141" i="2" s="1"/>
  <c r="V140" i="2"/>
  <c r="R140" i="2"/>
  <c r="X140" i="2" l="1"/>
  <c r="H141" i="2"/>
  <c r="I141" i="2"/>
  <c r="E141" i="2"/>
  <c r="G141" i="2"/>
  <c r="K141" i="2" l="1"/>
  <c r="L141" i="2" s="1"/>
  <c r="O141" i="2" l="1"/>
  <c r="N141" i="2"/>
  <c r="P141" i="2"/>
  <c r="M141" i="2"/>
  <c r="Q141" i="2" l="1"/>
  <c r="Z141" i="2" s="1"/>
  <c r="I142" i="2" s="1"/>
  <c r="Y141" i="2" l="1"/>
  <c r="F142" i="2" s="1"/>
  <c r="V141" i="2"/>
  <c r="H142" i="2"/>
  <c r="U141" i="2"/>
  <c r="T141" i="2"/>
  <c r="S141" i="2"/>
  <c r="R141" i="2"/>
  <c r="W141" i="2"/>
  <c r="E142" i="2" l="1"/>
  <c r="G142" i="2"/>
  <c r="X141" i="2"/>
  <c r="K142" i="2" l="1"/>
  <c r="M142" i="2" s="1"/>
  <c r="L142" i="2"/>
  <c r="P142" i="2"/>
  <c r="O142" i="2"/>
  <c r="N142" i="2" l="1"/>
  <c r="Q142" i="2"/>
  <c r="U142" i="2" l="1"/>
  <c r="T142" i="2"/>
  <c r="V142" i="2"/>
  <c r="Z142" i="2"/>
  <c r="S142" i="2"/>
  <c r="Y142" i="2"/>
  <c r="F143" i="2" s="1"/>
  <c r="R142" i="2"/>
  <c r="W142" i="2"/>
  <c r="X142" i="2" l="1"/>
  <c r="G143" i="2"/>
  <c r="E143" i="2"/>
  <c r="H143" i="2"/>
  <c r="I143" i="2"/>
  <c r="K143" i="2" l="1"/>
  <c r="M143" i="2" s="1"/>
  <c r="N143" i="2" l="1"/>
  <c r="P143" i="2"/>
  <c r="L143" i="2"/>
  <c r="O143" i="2"/>
  <c r="Q143" i="2" l="1"/>
  <c r="S143" i="2" s="1"/>
  <c r="R143" i="2" l="1"/>
  <c r="Z143" i="2"/>
  <c r="W143" i="2"/>
  <c r="V143" i="2"/>
  <c r="U143" i="2"/>
  <c r="T143" i="2"/>
  <c r="Y143" i="2"/>
  <c r="F144" i="2" l="1"/>
  <c r="X143" i="2"/>
  <c r="G144" i="2"/>
  <c r="E144" i="2"/>
  <c r="H144" i="2"/>
  <c r="I144" i="2"/>
  <c r="K144" i="2" l="1"/>
  <c r="L144" i="2" s="1"/>
  <c r="N144" i="2" l="1"/>
  <c r="M144" i="2"/>
  <c r="P144" i="2"/>
  <c r="O144" i="2"/>
  <c r="Q144" i="2" l="1"/>
  <c r="Z144" i="2" l="1"/>
  <c r="V144" i="2"/>
  <c r="T144" i="2"/>
  <c r="U144" i="2"/>
  <c r="R144" i="2"/>
  <c r="W144" i="2"/>
  <c r="Y144" i="2"/>
  <c r="F145" i="2" s="1"/>
  <c r="S144" i="2"/>
  <c r="X144" i="2" l="1"/>
  <c r="G145" i="2"/>
  <c r="E145" i="2"/>
  <c r="I145" i="2"/>
  <c r="H145" i="2"/>
  <c r="K145" i="2" l="1"/>
  <c r="P145" i="2" s="1"/>
  <c r="M145" i="2" l="1"/>
  <c r="O145" i="2"/>
  <c r="N145" i="2"/>
  <c r="L145" i="2"/>
  <c r="Q145" i="2" l="1"/>
  <c r="Z145" i="2" s="1"/>
  <c r="I146" i="2" s="1"/>
  <c r="U145" i="2" l="1"/>
  <c r="W145" i="2"/>
  <c r="T145" i="2"/>
  <c r="H146" i="2"/>
  <c r="V145" i="2"/>
  <c r="S145" i="2"/>
  <c r="R145" i="2"/>
  <c r="Y145" i="2"/>
  <c r="G146" i="2" l="1"/>
  <c r="F146" i="2"/>
  <c r="X145" i="2"/>
  <c r="E146" i="2"/>
  <c r="K146" i="2" l="1"/>
  <c r="L146" i="2" s="1"/>
  <c r="P146" i="2" l="1"/>
  <c r="O146" i="2"/>
  <c r="N146" i="2"/>
  <c r="M146" i="2"/>
  <c r="Q146" i="2" l="1"/>
  <c r="S146" i="2" s="1"/>
  <c r="Y146" i="2"/>
  <c r="Z146" i="2"/>
  <c r="W146" i="2"/>
  <c r="V146" i="2"/>
  <c r="F147" i="2" l="1"/>
  <c r="U146" i="2"/>
  <c r="T146" i="2"/>
  <c r="R146" i="2"/>
  <c r="X146" i="2" s="1"/>
  <c r="H147" i="2"/>
  <c r="I147" i="2"/>
  <c r="E147" i="2"/>
  <c r="G147" i="2"/>
  <c r="K147" i="2" l="1"/>
  <c r="M147" i="2" s="1"/>
  <c r="L147" i="2" l="1"/>
  <c r="P147" i="2"/>
  <c r="O147" i="2"/>
  <c r="N147" i="2"/>
  <c r="Q147" i="2" l="1"/>
  <c r="W147" i="2" s="1"/>
  <c r="Y147" i="2" l="1"/>
  <c r="U147" i="2"/>
  <c r="T147" i="2"/>
  <c r="V147" i="2"/>
  <c r="R147" i="2"/>
  <c r="S147" i="2"/>
  <c r="Z147" i="2"/>
  <c r="F148" i="2" l="1"/>
  <c r="X147" i="2"/>
  <c r="H148" i="2"/>
  <c r="I148" i="2"/>
  <c r="E148" i="2"/>
  <c r="G148" i="2"/>
  <c r="K148" i="2" l="1"/>
  <c r="O148" i="2" s="1"/>
  <c r="M148" i="2" l="1"/>
  <c r="P148" i="2"/>
  <c r="L148" i="2"/>
  <c r="N148" i="2"/>
  <c r="Q148" i="2" l="1"/>
  <c r="U148" i="2" l="1"/>
  <c r="T148" i="2"/>
  <c r="R148" i="2"/>
  <c r="Z148" i="2"/>
  <c r="S148" i="2"/>
  <c r="Y148" i="2"/>
  <c r="F149" i="2" s="1"/>
  <c r="W148" i="2"/>
  <c r="V148" i="2"/>
  <c r="X148" i="2" l="1"/>
  <c r="G149" i="2"/>
  <c r="E149" i="2"/>
  <c r="H149" i="2"/>
  <c r="I149" i="2"/>
  <c r="K149" i="2" l="1"/>
  <c r="N149" i="2" s="1"/>
  <c r="P149" i="2" l="1"/>
  <c r="L149" i="2"/>
  <c r="M149" i="2"/>
  <c r="O149" i="2"/>
  <c r="Q149" i="2" l="1"/>
  <c r="V149" i="2" l="1"/>
  <c r="W149" i="2"/>
  <c r="Z149" i="2"/>
  <c r="Y149" i="2"/>
  <c r="F150" i="2" s="1"/>
  <c r="R149" i="2"/>
  <c r="U149" i="2"/>
  <c r="T149" i="2"/>
  <c r="S149" i="2"/>
  <c r="X149" i="2" l="1"/>
  <c r="H150" i="2"/>
  <c r="I150" i="2"/>
  <c r="E150" i="2"/>
  <c r="G150" i="2"/>
  <c r="K150" i="2" l="1"/>
  <c r="N150" i="2" s="1"/>
  <c r="M150" i="2" l="1"/>
  <c r="L150" i="2"/>
  <c r="O150" i="2"/>
  <c r="P150" i="2"/>
  <c r="Q150" i="2" l="1"/>
  <c r="R150" i="2" s="1"/>
  <c r="T150" i="2" l="1"/>
  <c r="Y150" i="2"/>
  <c r="Z150" i="2"/>
  <c r="V150" i="2"/>
  <c r="S150" i="2"/>
  <c r="U150" i="2"/>
  <c r="W150" i="2"/>
  <c r="F151" i="2" l="1"/>
  <c r="X150" i="2"/>
  <c r="I151" i="2"/>
  <c r="H151" i="2"/>
  <c r="E151" i="2"/>
  <c r="G151" i="2"/>
  <c r="K151" i="2" l="1"/>
  <c r="N151" i="2" s="1"/>
  <c r="L151" i="2" l="1"/>
  <c r="O151" i="2"/>
  <c r="P151" i="2"/>
  <c r="M151" i="2"/>
  <c r="Q151" i="2" l="1"/>
  <c r="R151" i="2" s="1"/>
  <c r="W151" i="2" l="1"/>
  <c r="V151" i="2"/>
  <c r="S151" i="2"/>
  <c r="U151" i="2"/>
  <c r="T151" i="2"/>
  <c r="Y151" i="2"/>
  <c r="Z151" i="2"/>
  <c r="F152" i="2" l="1"/>
  <c r="X151" i="2"/>
  <c r="H152" i="2"/>
  <c r="I152" i="2"/>
  <c r="G152" i="2"/>
  <c r="E152" i="2"/>
  <c r="K152" i="2" l="1"/>
  <c r="O152" i="2" s="1"/>
  <c r="M152" i="2" l="1"/>
  <c r="P152" i="2"/>
  <c r="L152" i="2"/>
  <c r="N152" i="2"/>
  <c r="Q152" i="2" l="1"/>
  <c r="W152" i="2" s="1"/>
  <c r="R152" i="2" l="1"/>
  <c r="Y152" i="2"/>
  <c r="Z152" i="2"/>
  <c r="U152" i="2"/>
  <c r="S152" i="2"/>
  <c r="T152" i="2"/>
  <c r="V152" i="2"/>
  <c r="F153" i="2" l="1"/>
  <c r="X152" i="2"/>
  <c r="I153" i="2"/>
  <c r="H153" i="2"/>
  <c r="G153" i="2"/>
  <c r="E153" i="2"/>
  <c r="K153" i="2" l="1"/>
  <c r="M153" i="2" s="1"/>
  <c r="O153" i="2" l="1"/>
  <c r="N153" i="2"/>
  <c r="L153" i="2"/>
  <c r="P153" i="2"/>
  <c r="Q153" i="2" l="1"/>
  <c r="S153" i="2" s="1"/>
  <c r="V153" i="2" l="1"/>
  <c r="W153" i="2"/>
  <c r="T153" i="2"/>
  <c r="Z153" i="2"/>
  <c r="H154" i="2" s="1"/>
  <c r="R153" i="2"/>
  <c r="Y153" i="2"/>
  <c r="U153" i="2"/>
  <c r="E154" i="2" l="1"/>
  <c r="F154" i="2"/>
  <c r="X153" i="2"/>
  <c r="I154" i="2"/>
  <c r="G154" i="2"/>
  <c r="K154" i="2" l="1"/>
  <c r="M154" i="2" s="1"/>
  <c r="N154" i="2" l="1"/>
  <c r="L154" i="2"/>
  <c r="P154" i="2"/>
  <c r="O154" i="2"/>
  <c r="Q154" i="2" l="1"/>
  <c r="R154" i="2" s="1"/>
  <c r="T154" i="2"/>
  <c r="V154" i="2"/>
  <c r="S154" i="2" l="1"/>
  <c r="Y154" i="2"/>
  <c r="W154" i="2"/>
  <c r="Z154" i="2"/>
  <c r="H155" i="2" s="1"/>
  <c r="U154" i="2"/>
  <c r="E155" i="2"/>
  <c r="G155" i="2"/>
  <c r="F155" i="2" l="1"/>
  <c r="X154" i="2"/>
  <c r="I155" i="2"/>
  <c r="K155" i="2" s="1"/>
  <c r="M155" i="2" s="1"/>
  <c r="L155" i="2" l="1"/>
  <c r="O155" i="2"/>
  <c r="P155" i="2"/>
  <c r="N155" i="2"/>
  <c r="Q155" i="2" l="1"/>
  <c r="R155" i="2" l="1"/>
  <c r="T155" i="2"/>
  <c r="U155" i="2"/>
  <c r="W155" i="2"/>
  <c r="Y155" i="2"/>
  <c r="Z155" i="2"/>
  <c r="S155" i="2"/>
  <c r="V155" i="2"/>
  <c r="F156" i="2" l="1"/>
  <c r="X155" i="2"/>
  <c r="G156" i="2"/>
  <c r="E156" i="2"/>
  <c r="H156" i="2"/>
  <c r="I156" i="2"/>
  <c r="K156" i="2" l="1"/>
  <c r="N156" i="2" s="1"/>
  <c r="L156" i="2" l="1"/>
  <c r="O156" i="2"/>
  <c r="M156" i="2"/>
  <c r="P156" i="2"/>
  <c r="Q156" i="2" l="1"/>
  <c r="T156" i="2" s="1"/>
  <c r="Z156" i="2" l="1"/>
  <c r="I157" i="2" s="1"/>
  <c r="Y156" i="2"/>
  <c r="F157" i="2" s="1"/>
  <c r="V156" i="2"/>
  <c r="U156" i="2"/>
  <c r="R156" i="2"/>
  <c r="S156" i="2"/>
  <c r="W156" i="2"/>
  <c r="E157" i="2" l="1"/>
  <c r="G157" i="2"/>
  <c r="H157" i="2"/>
  <c r="X156" i="2"/>
  <c r="K157" i="2"/>
  <c r="O157" i="2" s="1"/>
  <c r="N157" i="2" l="1"/>
  <c r="M157" i="2"/>
  <c r="L157" i="2"/>
  <c r="P157" i="2"/>
  <c r="Q157" i="2" l="1"/>
  <c r="T157" i="2" s="1"/>
  <c r="U157" i="2" l="1"/>
  <c r="Z157" i="2"/>
  <c r="H158" i="2" s="1"/>
  <c r="V157" i="2"/>
  <c r="R157" i="2"/>
  <c r="S157" i="2"/>
  <c r="W157" i="2"/>
  <c r="Y157" i="2"/>
  <c r="F158" i="2" s="1"/>
  <c r="I158" i="2" l="1"/>
  <c r="X157" i="2"/>
  <c r="G158" i="2"/>
  <c r="E158" i="2"/>
  <c r="K158" i="2" l="1"/>
  <c r="L158" i="2" s="1"/>
  <c r="P158" i="2" l="1"/>
  <c r="O158" i="2"/>
  <c r="N158" i="2"/>
  <c r="M158" i="2"/>
  <c r="Q158" i="2"/>
  <c r="Z158" i="2" s="1"/>
  <c r="I159" i="2" l="1"/>
  <c r="H159" i="2"/>
  <c r="R158" i="2"/>
  <c r="S158" i="2"/>
  <c r="V158" i="2"/>
  <c r="Y158" i="2"/>
  <c r="F159" i="2" s="1"/>
  <c r="T158" i="2"/>
  <c r="U158" i="2"/>
  <c r="W158" i="2"/>
  <c r="X158" i="2" l="1"/>
  <c r="E159" i="2"/>
  <c r="G159" i="2"/>
  <c r="K159" i="2" l="1"/>
  <c r="L159" i="2" s="1"/>
  <c r="M159" i="2" l="1"/>
  <c r="P159" i="2"/>
  <c r="O159" i="2"/>
  <c r="N159" i="2"/>
  <c r="Q159" i="2" l="1"/>
  <c r="U159" i="2" s="1"/>
  <c r="Z159" i="2" l="1"/>
  <c r="S159" i="2"/>
  <c r="Y159" i="2"/>
  <c r="T159" i="2"/>
  <c r="R159" i="2"/>
  <c r="W159" i="2"/>
  <c r="V159" i="2"/>
  <c r="I160" i="2"/>
  <c r="H160" i="2"/>
  <c r="G160" i="2" l="1"/>
  <c r="F160" i="2"/>
  <c r="E160" i="2"/>
  <c r="X159" i="2"/>
  <c r="K160" i="2" l="1"/>
  <c r="L160" i="2"/>
  <c r="O160" i="2"/>
  <c r="P160" i="2"/>
  <c r="M160" i="2"/>
  <c r="N160" i="2"/>
  <c r="Q160" i="2" l="1"/>
  <c r="T160" i="2" s="1"/>
  <c r="Y160" i="2"/>
  <c r="R160" i="2"/>
  <c r="V160" i="2"/>
  <c r="U160" i="2"/>
  <c r="S160" i="2"/>
  <c r="Z160" i="2" l="1"/>
  <c r="I161" i="2" s="1"/>
  <c r="W160" i="2"/>
  <c r="X160" i="2" s="1"/>
  <c r="E161" i="2"/>
  <c r="G161" i="2"/>
  <c r="F161" i="2" l="1"/>
  <c r="H161" i="2"/>
  <c r="K161" i="2"/>
  <c r="N161" i="2" s="1"/>
  <c r="M161" i="2" l="1"/>
  <c r="O161" i="2"/>
  <c r="L161" i="2"/>
  <c r="P161" i="2"/>
  <c r="Q161" i="2" l="1"/>
  <c r="S161" i="2" l="1"/>
  <c r="R161" i="2"/>
  <c r="T161" i="2"/>
  <c r="Y161" i="2"/>
  <c r="V161" i="2"/>
  <c r="U161" i="2"/>
  <c r="Z161" i="2"/>
  <c r="W161" i="2"/>
  <c r="F162" i="2" l="1"/>
  <c r="X161" i="2"/>
  <c r="G162" i="2"/>
  <c r="E162" i="2"/>
  <c r="I162" i="2"/>
  <c r="H162" i="2"/>
  <c r="K162" i="2" l="1"/>
  <c r="O162" i="2" s="1"/>
  <c r="M162" i="2" l="1"/>
  <c r="L162" i="2"/>
  <c r="P162" i="2"/>
  <c r="N162" i="2"/>
  <c r="Q162" i="2" l="1"/>
  <c r="R162" i="2" s="1"/>
  <c r="Y162" i="2" l="1"/>
  <c r="W162" i="2"/>
  <c r="Z162" i="2"/>
  <c r="S162" i="2"/>
  <c r="U162" i="2"/>
  <c r="T162" i="2"/>
  <c r="V162" i="2"/>
  <c r="F163" i="2" l="1"/>
  <c r="X162" i="2"/>
  <c r="H163" i="2"/>
  <c r="I163" i="2"/>
  <c r="G163" i="2"/>
  <c r="E163" i="2"/>
  <c r="K163" i="2" l="1"/>
  <c r="P163" i="2" s="1"/>
  <c r="O163" i="2" l="1"/>
  <c r="N163" i="2"/>
  <c r="M163" i="2"/>
  <c r="L163" i="2"/>
  <c r="Q163" i="2" l="1"/>
  <c r="R163" i="2" s="1"/>
  <c r="Y163" i="2" l="1"/>
  <c r="U163" i="2"/>
  <c r="Z163" i="2"/>
  <c r="V163" i="2"/>
  <c r="T163" i="2"/>
  <c r="S163" i="2"/>
  <c r="W163" i="2"/>
  <c r="F164" i="2" l="1"/>
  <c r="X163" i="2"/>
  <c r="I164" i="2"/>
  <c r="H164" i="2"/>
  <c r="G164" i="2"/>
  <c r="E164" i="2"/>
  <c r="K164" i="2" l="1"/>
  <c r="L164" i="2" s="1"/>
  <c r="P164" i="2" l="1"/>
  <c r="O164" i="2"/>
  <c r="N164" i="2"/>
  <c r="M164" i="2"/>
  <c r="Q164" i="2" s="1"/>
  <c r="R164" i="2" s="1"/>
  <c r="Z164" i="2" l="1"/>
  <c r="H165" i="2" s="1"/>
  <c r="Y164" i="2"/>
  <c r="V164" i="2"/>
  <c r="S164" i="2"/>
  <c r="T164" i="2"/>
  <c r="W164" i="2"/>
  <c r="U164" i="2"/>
  <c r="E165" i="2" l="1"/>
  <c r="F165" i="2"/>
  <c r="G165" i="2"/>
  <c r="I165" i="2"/>
  <c r="X164" i="2"/>
  <c r="K165" i="2" l="1"/>
  <c r="M165" i="2" s="1"/>
  <c r="O165" i="2" l="1"/>
  <c r="L165" i="2"/>
  <c r="N165" i="2"/>
  <c r="P165" i="2"/>
  <c r="Q165" i="2"/>
  <c r="V165" i="2" l="1"/>
  <c r="W165" i="2"/>
  <c r="T165" i="2"/>
  <c r="U165" i="2"/>
  <c r="S165" i="2"/>
  <c r="R165" i="2"/>
  <c r="Y165" i="2"/>
  <c r="Z165" i="2"/>
  <c r="F166" i="2" l="1"/>
  <c r="X165" i="2"/>
  <c r="E166" i="2"/>
  <c r="G166" i="2"/>
  <c r="H166" i="2"/>
  <c r="I166" i="2"/>
  <c r="K166" i="2" l="1"/>
  <c r="O166" i="2" s="1"/>
  <c r="P166" i="2" l="1"/>
  <c r="N166" i="2"/>
  <c r="M166" i="2"/>
  <c r="L166" i="2"/>
  <c r="Q166" i="2" l="1"/>
  <c r="Y166" i="2" s="1"/>
  <c r="G167" i="2" l="1"/>
  <c r="E167" i="2"/>
  <c r="S166" i="2"/>
  <c r="Z166" i="2"/>
  <c r="F167" i="2" s="1"/>
  <c r="W166" i="2"/>
  <c r="V166" i="2"/>
  <c r="U166" i="2"/>
  <c r="R166" i="2"/>
  <c r="T166" i="2"/>
  <c r="X166" i="2" l="1"/>
  <c r="H167" i="2"/>
  <c r="I167" i="2"/>
  <c r="K167" i="2" l="1"/>
  <c r="L167" i="2" s="1"/>
  <c r="O167" i="2" l="1"/>
  <c r="P167" i="2"/>
  <c r="N167" i="2"/>
  <c r="M167" i="2"/>
  <c r="Q167" i="2"/>
  <c r="Y167" i="2" s="1"/>
  <c r="E168" i="2" l="1"/>
  <c r="G168" i="2"/>
  <c r="S167" i="2"/>
  <c r="U167" i="2"/>
  <c r="T167" i="2"/>
  <c r="V167" i="2"/>
  <c r="Z167" i="2"/>
  <c r="F168" i="2" s="1"/>
  <c r="R167" i="2"/>
  <c r="W167" i="2"/>
  <c r="X167" i="2" l="1"/>
  <c r="I168" i="2"/>
  <c r="H168" i="2"/>
  <c r="K168" i="2" l="1"/>
  <c r="P168" i="2" s="1"/>
  <c r="O168" i="2" l="1"/>
  <c r="M168" i="2"/>
  <c r="L168" i="2"/>
  <c r="N168" i="2"/>
  <c r="Q168" i="2" l="1"/>
  <c r="R168" i="2" s="1"/>
  <c r="Y168" i="2"/>
  <c r="V168" i="2"/>
  <c r="U168" i="2" l="1"/>
  <c r="S168" i="2"/>
  <c r="Z168" i="2"/>
  <c r="I169" i="2" s="1"/>
  <c r="T168" i="2"/>
  <c r="W168" i="2"/>
  <c r="X168" i="2" s="1"/>
  <c r="E169" i="2"/>
  <c r="G169" i="2"/>
  <c r="F169" i="2" l="1"/>
  <c r="H169" i="2"/>
  <c r="K169" i="2"/>
  <c r="M169" i="2" s="1"/>
  <c r="N169" i="2" l="1"/>
  <c r="P169" i="2"/>
  <c r="L169" i="2"/>
  <c r="O169" i="2"/>
  <c r="Q169" i="2" l="1"/>
  <c r="W169" i="2" s="1"/>
  <c r="V169" i="2" l="1"/>
  <c r="T169" i="2"/>
  <c r="U169" i="2"/>
  <c r="Y169" i="2"/>
  <c r="R169" i="2"/>
  <c r="Z169" i="2"/>
  <c r="S169" i="2"/>
  <c r="F170" i="2" l="1"/>
  <c r="X169" i="2"/>
  <c r="H170" i="2"/>
  <c r="I170" i="2"/>
  <c r="E170" i="2"/>
  <c r="G170" i="2"/>
  <c r="K170" i="2" l="1"/>
  <c r="M170" i="2" s="1"/>
  <c r="P170" i="2" l="1"/>
  <c r="L170" i="2"/>
  <c r="O170" i="2"/>
  <c r="N170" i="2"/>
  <c r="Q170" i="2" l="1"/>
  <c r="R170" i="2" s="1"/>
  <c r="Y170" i="2" l="1"/>
  <c r="U170" i="2"/>
  <c r="T170" i="2"/>
  <c r="W170" i="2"/>
  <c r="S170" i="2"/>
  <c r="V170" i="2"/>
  <c r="Z170" i="2"/>
  <c r="F171" i="2" l="1"/>
  <c r="X170" i="2"/>
  <c r="H171" i="2"/>
  <c r="I171" i="2"/>
  <c r="G171" i="2"/>
  <c r="E171" i="2"/>
  <c r="K171" i="2" l="1"/>
  <c r="M171" i="2" s="1"/>
  <c r="P171" i="2" l="1"/>
  <c r="L171" i="2"/>
  <c r="O171" i="2"/>
  <c r="N171" i="2"/>
  <c r="Q171" i="2" l="1"/>
  <c r="R171" i="2" s="1"/>
  <c r="U171" i="2" l="1"/>
  <c r="S171" i="2"/>
  <c r="Y171" i="2"/>
  <c r="W171" i="2"/>
  <c r="T171" i="2"/>
  <c r="Z171" i="2"/>
  <c r="H172" i="2" s="1"/>
  <c r="V171" i="2"/>
  <c r="G172" i="2" l="1"/>
  <c r="F172" i="2"/>
  <c r="X171" i="2"/>
  <c r="E172" i="2"/>
  <c r="I172" i="2"/>
  <c r="K172" i="2" l="1"/>
  <c r="O172" i="2" s="1"/>
  <c r="L172" i="2" l="1"/>
  <c r="N172" i="2"/>
  <c r="P172" i="2"/>
  <c r="M172" i="2"/>
  <c r="Q172" i="2" l="1"/>
  <c r="V172" i="2" s="1"/>
  <c r="R172" i="2" l="1"/>
  <c r="Y172" i="2"/>
  <c r="U172" i="2"/>
  <c r="Z172" i="2"/>
  <c r="H173" i="2" s="1"/>
  <c r="S172" i="2"/>
  <c r="W172" i="2"/>
  <c r="T172" i="2"/>
  <c r="E173" i="2" l="1"/>
  <c r="F173" i="2"/>
  <c r="I173" i="2"/>
  <c r="G173" i="2"/>
  <c r="X172" i="2"/>
  <c r="K173" i="2" l="1"/>
  <c r="N173" i="2" l="1"/>
  <c r="L173" i="2"/>
  <c r="P173" i="2"/>
  <c r="M173" i="2"/>
  <c r="O173" i="2"/>
  <c r="Q173" i="2" l="1"/>
  <c r="Z173" i="2" l="1"/>
  <c r="W173" i="2"/>
  <c r="U173" i="2"/>
  <c r="R173" i="2"/>
  <c r="V173" i="2"/>
  <c r="Y173" i="2"/>
  <c r="F174" i="2" s="1"/>
  <c r="S173" i="2"/>
  <c r="T173" i="2"/>
  <c r="E174" i="2" l="1"/>
  <c r="G174" i="2"/>
  <c r="X173" i="2"/>
  <c r="H174" i="2"/>
  <c r="I174" i="2"/>
  <c r="K174" i="2" l="1"/>
  <c r="L174" i="2" l="1"/>
  <c r="M174" i="2"/>
  <c r="N174" i="2"/>
  <c r="O174" i="2"/>
  <c r="P174" i="2"/>
  <c r="Q174" i="2" l="1"/>
  <c r="S174" i="2" l="1"/>
  <c r="T174" i="2"/>
  <c r="R174" i="2"/>
  <c r="Y174" i="2"/>
  <c r="F175" i="2" s="1"/>
  <c r="U174" i="2"/>
  <c r="W174" i="2"/>
  <c r="Z174" i="2"/>
  <c r="V174" i="2"/>
  <c r="I175" i="2" l="1"/>
  <c r="H175" i="2"/>
  <c r="E175" i="2"/>
  <c r="G175" i="2"/>
  <c r="X174" i="2"/>
  <c r="K175" i="2" l="1"/>
  <c r="L175" i="2" s="1"/>
  <c r="P175" i="2"/>
  <c r="O175" i="2" l="1"/>
  <c r="M175" i="2"/>
  <c r="N175" i="2"/>
  <c r="Q175" i="2" l="1"/>
  <c r="Z175" i="2" s="1"/>
  <c r="T175" i="2"/>
  <c r="W175" i="2"/>
  <c r="S175" i="2" l="1"/>
  <c r="U175" i="2"/>
  <c r="V175" i="2"/>
  <c r="R175" i="2"/>
  <c r="Y175" i="2"/>
  <c r="F176" i="2" s="1"/>
  <c r="I176" i="2"/>
  <c r="H176" i="2"/>
  <c r="X175" i="2" l="1"/>
  <c r="G176" i="2"/>
  <c r="E176" i="2"/>
  <c r="K176" i="2" l="1"/>
  <c r="M176" i="2" l="1"/>
  <c r="P176" i="2"/>
  <c r="O176" i="2"/>
  <c r="N176" i="2"/>
  <c r="L176" i="2"/>
  <c r="Q176" i="2" s="1"/>
  <c r="R176" i="2" s="1"/>
  <c r="V176" i="2" l="1"/>
  <c r="S176" i="2"/>
  <c r="W176" i="2"/>
  <c r="Z176" i="2"/>
  <c r="Y176" i="2"/>
  <c r="F177" i="2" s="1"/>
  <c r="T176" i="2"/>
  <c r="U176" i="2"/>
  <c r="E177" i="2" l="1"/>
  <c r="G177" i="2"/>
  <c r="I177" i="2"/>
  <c r="H177" i="2"/>
  <c r="X176" i="2"/>
  <c r="K177" i="2" l="1"/>
  <c r="P177" i="2" l="1"/>
  <c r="L177" i="2"/>
  <c r="M177" i="2"/>
  <c r="N177" i="2"/>
  <c r="O177" i="2"/>
  <c r="Q177" i="2" l="1"/>
  <c r="T177" i="2" l="1"/>
  <c r="Z177" i="2"/>
  <c r="R177" i="2"/>
  <c r="W177" i="2"/>
  <c r="U177" i="2"/>
  <c r="Y177" i="2"/>
  <c r="F178" i="2" s="1"/>
  <c r="V177" i="2"/>
  <c r="S177" i="2"/>
  <c r="X177" i="2" l="1"/>
  <c r="G178" i="2"/>
  <c r="E178" i="2"/>
  <c r="I178" i="2"/>
  <c r="H178" i="2"/>
  <c r="K178" i="2" l="1"/>
  <c r="L178" i="2" s="1"/>
  <c r="N178" i="2" l="1"/>
  <c r="M178" i="2"/>
  <c r="P178" i="2"/>
  <c r="O178" i="2"/>
  <c r="Q178" i="2" l="1"/>
  <c r="Y178" i="2" l="1"/>
  <c r="V178" i="2"/>
  <c r="R178" i="2"/>
  <c r="T178" i="2"/>
  <c r="Z178" i="2"/>
  <c r="U178" i="2"/>
  <c r="W178" i="2"/>
  <c r="S178" i="2"/>
  <c r="F179" i="2" l="1"/>
  <c r="X178" i="2"/>
  <c r="H179" i="2"/>
  <c r="I179" i="2"/>
  <c r="E179" i="2"/>
  <c r="G179" i="2"/>
  <c r="K179" i="2" l="1"/>
  <c r="N179" i="2" s="1"/>
  <c r="L179" i="2"/>
  <c r="P179" i="2"/>
  <c r="M179" i="2"/>
  <c r="O179" i="2"/>
  <c r="Q179" i="2" l="1"/>
  <c r="R179" i="2"/>
  <c r="T179" i="2" l="1"/>
  <c r="Z179" i="2"/>
  <c r="U179" i="2"/>
  <c r="Y179" i="2"/>
  <c r="F180" i="2" s="1"/>
  <c r="V179" i="2"/>
  <c r="W179" i="2"/>
  <c r="S179" i="2"/>
  <c r="X179" i="2" l="1"/>
  <c r="G180" i="2"/>
  <c r="E180" i="2"/>
  <c r="H180" i="2"/>
  <c r="I180" i="2"/>
  <c r="K180" i="2" l="1"/>
  <c r="O180" i="2" l="1"/>
  <c r="M180" i="2"/>
  <c r="L180" i="2"/>
  <c r="P180" i="2"/>
  <c r="N180" i="2"/>
  <c r="Q180" i="2" l="1"/>
  <c r="Z180" i="2" l="1"/>
  <c r="S180" i="2"/>
  <c r="R180" i="2"/>
  <c r="T180" i="2"/>
  <c r="Y180" i="2"/>
  <c r="F181" i="2" s="1"/>
  <c r="U180" i="2"/>
  <c r="W180" i="2"/>
  <c r="V180" i="2"/>
  <c r="E181" i="2" l="1"/>
  <c r="G181" i="2"/>
  <c r="X180" i="2"/>
  <c r="H181" i="2"/>
  <c r="I181" i="2"/>
  <c r="K181" i="2" l="1"/>
  <c r="M181" i="2" l="1"/>
  <c r="L181" i="2"/>
  <c r="N181" i="2"/>
  <c r="O181" i="2"/>
  <c r="P181" i="2"/>
  <c r="Q181" i="2" l="1"/>
  <c r="Y181" i="2" l="1"/>
  <c r="F182" i="2" s="1"/>
  <c r="T181" i="2"/>
  <c r="U181" i="2"/>
  <c r="R181" i="2"/>
  <c r="S181" i="2"/>
  <c r="W181" i="2"/>
  <c r="V181" i="2"/>
  <c r="Z181" i="2"/>
  <c r="X181" i="2" l="1"/>
  <c r="E182" i="2"/>
  <c r="G182" i="2"/>
  <c r="I182" i="2"/>
  <c r="H182" i="2"/>
  <c r="K182" i="2" l="1"/>
  <c r="O182" i="2" s="1"/>
  <c r="L182" i="2" l="1"/>
  <c r="M182" i="2"/>
  <c r="N182" i="2"/>
  <c r="P182" i="2"/>
  <c r="Q182" i="2" l="1"/>
  <c r="R182" i="2" l="1"/>
  <c r="S182" i="2"/>
  <c r="Y182" i="2"/>
  <c r="U182" i="2"/>
  <c r="Z182" i="2"/>
  <c r="T182" i="2"/>
  <c r="V182" i="2"/>
  <c r="W182" i="2"/>
  <c r="F183" i="2" l="1"/>
  <c r="X182" i="2"/>
  <c r="G183" i="2"/>
  <c r="E183" i="2"/>
  <c r="I183" i="2"/>
  <c r="H183" i="2"/>
  <c r="K183" i="2" l="1"/>
  <c r="P183" i="2" s="1"/>
  <c r="N183" i="2" l="1"/>
  <c r="M183" i="2"/>
  <c r="L183" i="2"/>
  <c r="O183" i="2"/>
  <c r="Q183" i="2"/>
  <c r="U183" i="2" s="1"/>
  <c r="Z183" i="2" l="1"/>
  <c r="Y183" i="2"/>
  <c r="F184" i="2" s="1"/>
  <c r="W183" i="2"/>
  <c r="S183" i="2"/>
  <c r="V183" i="2"/>
  <c r="R183" i="2"/>
  <c r="T183" i="2"/>
  <c r="X183" i="2" l="1"/>
  <c r="G184" i="2"/>
  <c r="E184" i="2"/>
  <c r="I184" i="2"/>
  <c r="H184" i="2"/>
  <c r="K184" i="2" l="1"/>
  <c r="L184" i="2" l="1"/>
  <c r="N184" i="2"/>
  <c r="M184" i="2"/>
  <c r="P184" i="2"/>
  <c r="O184" i="2"/>
  <c r="Q184" i="2" l="1"/>
  <c r="T184" i="2" l="1"/>
  <c r="Z184" i="2"/>
  <c r="Y184" i="2"/>
  <c r="F185" i="2" s="1"/>
  <c r="R184" i="2"/>
  <c r="W184" i="2"/>
  <c r="V184" i="2"/>
  <c r="U184" i="2"/>
  <c r="S184" i="2"/>
  <c r="X184" i="2" l="1"/>
  <c r="E185" i="2"/>
  <c r="G185" i="2"/>
  <c r="I185" i="2"/>
  <c r="H185" i="2"/>
  <c r="K185" i="2" l="1"/>
  <c r="L185" i="2" s="1"/>
  <c r="N185" i="2" l="1"/>
  <c r="O185" i="2"/>
  <c r="M185" i="2"/>
  <c r="P185" i="2"/>
  <c r="Q185" i="2" l="1"/>
  <c r="S185" i="2" s="1"/>
  <c r="U185" i="2"/>
  <c r="Z185" i="2"/>
  <c r="T185" i="2"/>
  <c r="V185" i="2"/>
  <c r="W185" i="2" l="1"/>
  <c r="H186" i="2"/>
  <c r="I186" i="2"/>
  <c r="Y185" i="2"/>
  <c r="F186" i="2" s="1"/>
  <c r="R185" i="2"/>
  <c r="X185" i="2" s="1"/>
  <c r="G186" i="2" l="1"/>
  <c r="E186" i="2"/>
  <c r="K186" i="2" l="1"/>
  <c r="L186" i="2" s="1"/>
  <c r="N186" i="2" l="1"/>
  <c r="M186" i="2"/>
  <c r="O186" i="2"/>
  <c r="P186" i="2"/>
  <c r="Q186" i="2" l="1"/>
  <c r="Z186" i="2" s="1"/>
  <c r="I187" i="2" l="1"/>
  <c r="H187" i="2"/>
  <c r="W186" i="2"/>
  <c r="T186" i="2"/>
  <c r="Y186" i="2"/>
  <c r="F187" i="2" s="1"/>
  <c r="R186" i="2"/>
  <c r="U186" i="2"/>
  <c r="V186" i="2"/>
  <c r="S186" i="2"/>
  <c r="X186" i="2" l="1"/>
  <c r="E187" i="2"/>
  <c r="G187" i="2"/>
  <c r="K187" i="2" l="1"/>
  <c r="L187" i="2"/>
  <c r="N187" i="2" l="1"/>
  <c r="O187" i="2"/>
  <c r="P187" i="2"/>
  <c r="M187" i="2"/>
  <c r="Q187" i="2" l="1"/>
  <c r="T187" i="2" l="1"/>
  <c r="R187" i="2"/>
  <c r="Z187" i="2"/>
  <c r="V187" i="2"/>
  <c r="W187" i="2"/>
  <c r="S187" i="2"/>
  <c r="Y187" i="2"/>
  <c r="U187" i="2"/>
  <c r="F188" i="2" l="1"/>
  <c r="X187" i="2"/>
  <c r="G188" i="2"/>
  <c r="E188" i="2"/>
  <c r="I188" i="2"/>
  <c r="H188" i="2"/>
  <c r="K188" i="2" l="1"/>
  <c r="M188" i="2" s="1"/>
  <c r="P188" i="2"/>
  <c r="L188" i="2"/>
  <c r="N188" i="2"/>
  <c r="O188" i="2" l="1"/>
  <c r="Q188" i="2" s="1"/>
  <c r="R188" i="2" l="1"/>
  <c r="Y188" i="2"/>
  <c r="E189" i="2" s="1"/>
  <c r="Z188" i="2"/>
  <c r="H189" i="2" s="1"/>
  <c r="U188" i="2"/>
  <c r="T188" i="2"/>
  <c r="S188" i="2"/>
  <c r="W188" i="2"/>
  <c r="V188" i="2"/>
  <c r="G189" i="2" l="1"/>
  <c r="F189" i="2"/>
  <c r="I189" i="2"/>
  <c r="X188" i="2"/>
  <c r="K189" i="2"/>
  <c r="L189" i="2" l="1"/>
  <c r="P189" i="2"/>
  <c r="O189" i="2"/>
  <c r="N189" i="2"/>
  <c r="M189" i="2"/>
  <c r="Q189" i="2" l="1"/>
  <c r="S189" i="2" l="1"/>
  <c r="T189" i="2"/>
  <c r="R189" i="2"/>
  <c r="Z189" i="2"/>
  <c r="U189" i="2"/>
  <c r="W189" i="2"/>
  <c r="V189" i="2"/>
  <c r="Y189" i="2"/>
  <c r="F190" i="2" s="1"/>
  <c r="G190" i="2" l="1"/>
  <c r="E190" i="2"/>
  <c r="H190" i="2"/>
  <c r="I190" i="2"/>
  <c r="X189" i="2"/>
  <c r="K190" i="2" l="1"/>
  <c r="M190" i="2" l="1"/>
  <c r="N190" i="2"/>
  <c r="L190" i="2"/>
  <c r="O190" i="2"/>
  <c r="P190" i="2"/>
  <c r="Q190" i="2" l="1"/>
  <c r="T190" i="2" s="1"/>
  <c r="U190" i="2" l="1"/>
  <c r="V190" i="2"/>
  <c r="R190" i="2"/>
  <c r="Z190" i="2"/>
  <c r="Y190" i="2"/>
  <c r="F191" i="2" s="1"/>
  <c r="S190" i="2"/>
  <c r="W190" i="2"/>
  <c r="G191" i="2" l="1"/>
  <c r="E191" i="2"/>
  <c r="I191" i="2"/>
  <c r="H191" i="2"/>
  <c r="X190" i="2"/>
  <c r="K191" i="2" l="1"/>
  <c r="L191" i="2"/>
  <c r="P191" i="2" l="1"/>
  <c r="N191" i="2"/>
  <c r="M191" i="2"/>
  <c r="O191" i="2"/>
  <c r="Q191" i="2" l="1"/>
  <c r="U191" i="2" s="1"/>
  <c r="Z191" i="2"/>
  <c r="I192" i="2" s="1"/>
  <c r="H192" i="2" l="1"/>
  <c r="R191" i="2"/>
  <c r="V191" i="2"/>
  <c r="Y191" i="2"/>
  <c r="F192" i="2" s="1"/>
  <c r="S191" i="2"/>
  <c r="W191" i="2"/>
  <c r="T191" i="2"/>
  <c r="E192" i="2" l="1"/>
  <c r="G192" i="2"/>
  <c r="X191" i="2"/>
  <c r="K192" i="2" l="1"/>
  <c r="N192" i="2" l="1"/>
  <c r="O192" i="2"/>
  <c r="L192" i="2"/>
  <c r="M192" i="2"/>
  <c r="P192" i="2"/>
  <c r="Q192" i="2" l="1"/>
  <c r="T192" i="2"/>
  <c r="R192" i="2" l="1"/>
  <c r="U192" i="2"/>
  <c r="Z192" i="2"/>
  <c r="S192" i="2"/>
  <c r="V192" i="2"/>
  <c r="Y192" i="2"/>
  <c r="F193" i="2" s="1"/>
  <c r="W192" i="2"/>
  <c r="G193" i="2" l="1"/>
  <c r="E193" i="2"/>
  <c r="I193" i="2"/>
  <c r="H193" i="2"/>
  <c r="X192" i="2"/>
  <c r="K193" i="2" l="1"/>
  <c r="O193" i="2" l="1"/>
  <c r="N193" i="2"/>
  <c r="L193" i="2"/>
  <c r="M193" i="2"/>
  <c r="P193" i="2"/>
  <c r="Q193" i="2" l="1"/>
  <c r="Y193" i="2" l="1"/>
  <c r="S193" i="2"/>
  <c r="U193" i="2"/>
  <c r="Z193" i="2"/>
  <c r="R193" i="2"/>
  <c r="V193" i="2"/>
  <c r="T193" i="2"/>
  <c r="W193" i="2"/>
  <c r="F194" i="2" l="1"/>
  <c r="X193" i="2"/>
  <c r="I194" i="2"/>
  <c r="H194" i="2"/>
  <c r="G194" i="2"/>
  <c r="E194" i="2"/>
  <c r="K194" i="2" l="1"/>
  <c r="N194" i="2" s="1"/>
  <c r="L194" i="2"/>
  <c r="M194" i="2"/>
  <c r="O194" i="2"/>
  <c r="P194" i="2"/>
  <c r="Q194" i="2" l="1"/>
  <c r="R194" i="2" l="1"/>
  <c r="U194" i="2"/>
  <c r="Z194" i="2"/>
  <c r="S194" i="2"/>
  <c r="V194" i="2"/>
  <c r="Y194" i="2"/>
  <c r="F195" i="2" s="1"/>
  <c r="T194" i="2"/>
  <c r="W194" i="2"/>
  <c r="G195" i="2" l="1"/>
  <c r="E195" i="2"/>
  <c r="H195" i="2"/>
  <c r="I195" i="2"/>
  <c r="X194" i="2"/>
  <c r="K195" i="2" l="1"/>
  <c r="L195" i="2"/>
  <c r="N195" i="2" l="1"/>
  <c r="P195" i="2"/>
  <c r="M195" i="2"/>
  <c r="O195" i="2"/>
  <c r="Q195" i="2" l="1"/>
  <c r="Y195" i="2"/>
  <c r="E196" i="2" l="1"/>
  <c r="G196" i="2"/>
  <c r="R195" i="2"/>
  <c r="Z195" i="2"/>
  <c r="F196" i="2" s="1"/>
  <c r="W195" i="2"/>
  <c r="V195" i="2"/>
  <c r="U195" i="2"/>
  <c r="T195" i="2"/>
  <c r="S195" i="2"/>
  <c r="H196" i="2" l="1"/>
  <c r="I196" i="2"/>
  <c r="X195" i="2"/>
  <c r="K196" i="2" l="1"/>
  <c r="O196" i="2" s="1"/>
  <c r="N196" i="2" l="1"/>
  <c r="L196" i="2"/>
  <c r="P196" i="2"/>
  <c r="M196" i="2"/>
  <c r="Q196" i="2" l="1"/>
  <c r="R196" i="2"/>
  <c r="T196" i="2"/>
  <c r="S196" i="2" l="1"/>
  <c r="U196" i="2"/>
  <c r="V196" i="2"/>
  <c r="W196" i="2"/>
  <c r="Z196" i="2"/>
  <c r="Y196" i="2"/>
  <c r="F197" i="2" l="1"/>
  <c r="E197" i="2"/>
  <c r="G197" i="2"/>
  <c r="H197" i="2"/>
  <c r="I197" i="2"/>
  <c r="X196" i="2"/>
  <c r="K197" i="2" l="1"/>
  <c r="N197" i="2" l="1"/>
  <c r="M197" i="2"/>
  <c r="L197" i="2"/>
  <c r="O197" i="2"/>
  <c r="P197" i="2"/>
  <c r="Q197" i="2" l="1"/>
  <c r="Y197" i="2" s="1"/>
  <c r="E198" i="2" l="1"/>
  <c r="G198" i="2"/>
  <c r="R197" i="2"/>
  <c r="S197" i="2"/>
  <c r="Z197" i="2"/>
  <c r="F198" i="2" s="1"/>
  <c r="V197" i="2"/>
  <c r="U197" i="2"/>
  <c r="T197" i="2"/>
  <c r="W197" i="2"/>
  <c r="I198" i="2" l="1"/>
  <c r="H198" i="2"/>
  <c r="K198" i="2" s="1"/>
  <c r="P198" i="2" s="1"/>
  <c r="X197" i="2"/>
  <c r="N198" i="2"/>
  <c r="O198" i="2"/>
  <c r="L198" i="2"/>
  <c r="M198" i="2" l="1"/>
  <c r="Q198" i="2" s="1"/>
  <c r="Y198" i="2" s="1"/>
  <c r="V198" i="2" l="1"/>
  <c r="W198" i="2"/>
  <c r="R198" i="2"/>
  <c r="Z198" i="2"/>
  <c r="I199" i="2" s="1"/>
  <c r="S198" i="2"/>
  <c r="U198" i="2"/>
  <c r="T198" i="2"/>
  <c r="E199" i="2"/>
  <c r="G199" i="2"/>
  <c r="F199" i="2" l="1"/>
  <c r="X198" i="2"/>
  <c r="H199" i="2"/>
  <c r="H2" i="2" s="1"/>
  <c r="I2" i="2"/>
  <c r="AC9" i="1" s="1"/>
  <c r="F2" i="2"/>
  <c r="G2" i="2"/>
  <c r="AC7" i="1" s="1"/>
  <c r="E2" i="2"/>
  <c r="AC5" i="1" s="1"/>
  <c r="K199" i="2" l="1"/>
  <c r="P199" i="2" s="1"/>
  <c r="AD5" i="1"/>
  <c r="AF5" i="1"/>
  <c r="AC6" i="1"/>
  <c r="F3" i="2"/>
  <c r="K2" i="2"/>
  <c r="AC8" i="1"/>
  <c r="H3" i="2"/>
  <c r="M199" i="2" l="1"/>
  <c r="L199" i="2"/>
  <c r="O199" i="2"/>
  <c r="N199" i="2"/>
  <c r="AE81" i="1"/>
  <c r="AF8" i="1"/>
  <c r="AF81" i="1" s="1"/>
  <c r="AD8" i="1"/>
  <c r="AD6" i="1"/>
  <c r="AC11" i="1"/>
  <c r="AE6" i="1" s="1"/>
  <c r="AC13" i="1"/>
  <c r="Q199" i="2" l="1"/>
  <c r="R199" i="2" s="1"/>
  <c r="Z199" i="2"/>
  <c r="AG81" i="1"/>
  <c r="AF11" i="1"/>
  <c r="AE4" i="1"/>
  <c r="AE10" i="1"/>
  <c r="AE3" i="1"/>
  <c r="AE5" i="1"/>
  <c r="AE7" i="1"/>
  <c r="V199" i="2" l="1"/>
  <c r="S199" i="2"/>
  <c r="W199" i="2"/>
  <c r="T199" i="2"/>
  <c r="Y199" i="2"/>
  <c r="U199" i="2"/>
  <c r="X199" i="2" s="1"/>
  <c r="AE11" i="1"/>
</calcChain>
</file>

<file path=xl/sharedStrings.xml><?xml version="1.0" encoding="utf-8"?>
<sst xmlns="http://schemas.openxmlformats.org/spreadsheetml/2006/main" count="491" uniqueCount="216">
  <si>
    <t>propane</t>
  </si>
  <si>
    <t>C3H8</t>
  </si>
  <si>
    <t>n-butane</t>
  </si>
  <si>
    <t>C4H10</t>
  </si>
  <si>
    <t>Component Name</t>
  </si>
  <si>
    <t>Formula</t>
  </si>
  <si>
    <t xml:space="preserve">      bp (C)</t>
  </si>
  <si>
    <t>MW (g/mol)</t>
  </si>
  <si>
    <t>Total</t>
  </si>
  <si>
    <t>AMW</t>
  </si>
  <si>
    <t>hydrogen</t>
  </si>
  <si>
    <t>Inlet</t>
  </si>
  <si>
    <t>feed</t>
  </si>
  <si>
    <t>mol%</t>
  </si>
  <si>
    <t>R1</t>
  </si>
  <si>
    <t>R2</t>
  </si>
  <si>
    <t>R3</t>
  </si>
  <si>
    <t>R4</t>
  </si>
  <si>
    <t>total Vol</t>
  </si>
  <si>
    <t>incr. Vol</t>
  </si>
  <si>
    <t>outlet</t>
  </si>
  <si>
    <t>Outlet</t>
  </si>
  <si>
    <t xml:space="preserve"> mol/hr</t>
  </si>
  <si>
    <t>mol/hr</t>
  </si>
  <si>
    <t>Product</t>
  </si>
  <si>
    <t>Scale</t>
  </si>
  <si>
    <t>mol/hr per L</t>
  </si>
  <si>
    <t>CO</t>
  </si>
  <si>
    <t>%</t>
  </si>
  <si>
    <t>nitrogen</t>
  </si>
  <si>
    <t>carbon monoxide</t>
  </si>
  <si>
    <t>N2</t>
  </si>
  <si>
    <t>H2</t>
  </si>
  <si>
    <t>carbon dioxide</t>
  </si>
  <si>
    <t>CO2</t>
  </si>
  <si>
    <t>O2</t>
  </si>
  <si>
    <t>oxygen</t>
  </si>
  <si>
    <t>−191.5</t>
  </si>
  <si>
    <t>methane</t>
  </si>
  <si>
    <t>ethane</t>
  </si>
  <si>
    <t>water</t>
  </si>
  <si>
    <t>CH4</t>
  </si>
  <si>
    <t>C2H6</t>
  </si>
  <si>
    <t>H2O</t>
  </si>
  <si>
    <t>Cp</t>
  </si>
  <si>
    <t>A</t>
  </si>
  <si>
    <t>B</t>
  </si>
  <si>
    <t>C</t>
  </si>
  <si>
    <t>D</t>
  </si>
  <si>
    <t>E</t>
  </si>
  <si>
    <t>F</t>
  </si>
  <si>
    <t>G</t>
  </si>
  <si>
    <t>Gas Phase Heat Capacity (Shomate Equation)</t>
  </si>
  <si>
    <t>    H° = standard enthalpy (kJ/mol)</t>
  </si>
  <si>
    <t>    S° = standard entropy (J/mol*K)</t>
  </si>
  <si>
    <t>    t = temperature (K) / 1000.</t>
  </si>
  <si>
    <t>Cp° = A + B*t + C*t2 + D*t3 + E/t2</t>
  </si>
  <si>
    <t>H° − H°298.15= A*t + B*t2/2 + C*t3/3 + D*t4/4 − E/t + F − H</t>
  </si>
  <si>
    <t>S° = A*ln(t) + B*t + C*t2/2 + D*t3/3 − E/(2*t2) + G</t>
  </si>
  <si>
    <t>    Cp = heat capacity (J/mol*K)</t>
  </si>
  <si>
    <t>from webbook.nist.gov (Dec 2016) unless otherwiase stated</t>
  </si>
  <si>
    <t>H = ΔHf, 298</t>
  </si>
  <si>
    <t>X</t>
  </si>
  <si>
    <t>a</t>
  </si>
  <si>
    <t>J</t>
  </si>
  <si>
    <t>cal</t>
  </si>
  <si>
    <t>Temparature (degC)</t>
  </si>
  <si>
    <t>Cp (J/mol/K)</t>
  </si>
  <si>
    <t>J/mol/K</t>
  </si>
  <si>
    <t>from Reid et al</t>
  </si>
  <si>
    <t>butane</t>
  </si>
  <si>
    <t>CpA</t>
  </si>
  <si>
    <t>CpB</t>
  </si>
  <si>
    <t>CpC</t>
  </si>
  <si>
    <t>CpD</t>
  </si>
  <si>
    <t>delHG</t>
  </si>
  <si>
    <t>delFG</t>
  </si>
  <si>
    <t>H abs</t>
  </si>
  <si>
    <t>kJ/mol</t>
  </si>
  <si>
    <t>Bed 1 - Model (same input)</t>
  </si>
  <si>
    <t xml:space="preserve">Bed 1 - Manual </t>
  </si>
  <si>
    <t>methanol</t>
  </si>
  <si>
    <t>CH4O</t>
  </si>
  <si>
    <t>MW</t>
  </si>
  <si>
    <t>water (g)</t>
  </si>
  <si>
    <t>nitric oxide</t>
  </si>
  <si>
    <t>NO</t>
  </si>
  <si>
    <t>nitrogen dioxide</t>
  </si>
  <si>
    <t>NO2</t>
  </si>
  <si>
    <t>from CATOX e</t>
  </si>
  <si>
    <t>delete beds 2 &amp; 3</t>
  </si>
  <si>
    <t>Feed Rate (NL/hr)</t>
  </si>
  <si>
    <t>Catalyst volume (L)</t>
  </si>
  <si>
    <t>Enthalpy (J/hr)</t>
  </si>
  <si>
    <t>Mass rate (g/hr)</t>
  </si>
  <si>
    <t>NO + 0.5 O2 -&gt; NO2</t>
  </si>
  <si>
    <t>CO + H2O - CO2 + H2</t>
  </si>
  <si>
    <t>H2 + 0.5 O2 -&gt; H2O</t>
  </si>
  <si>
    <t>R5</t>
  </si>
  <si>
    <t>CO + NO2 -&gt; CO2 + NO</t>
  </si>
  <si>
    <t>ToL</t>
  </si>
  <si>
    <t>Cat Temp</t>
  </si>
  <si>
    <t>Oxygen</t>
  </si>
  <si>
    <t>Water</t>
  </si>
  <si>
    <t>Carbon monoxide</t>
  </si>
  <si>
    <t>Nitric oxide</t>
  </si>
  <si>
    <t>R1: X_CO</t>
  </si>
  <si>
    <t>R2:X_NO</t>
  </si>
  <si>
    <t>Run</t>
  </si>
  <si>
    <t>Catalyst</t>
  </si>
  <si>
    <t>PtCu</t>
  </si>
  <si>
    <t>Index</t>
  </si>
  <si>
    <t>error</t>
  </si>
  <si>
    <t>remove HC's</t>
  </si>
  <si>
    <t xml:space="preserve">CO + 0.5 O2 -&gt; CO2 </t>
  </si>
  <si>
    <t>error^2</t>
  </si>
  <si>
    <t>b</t>
  </si>
  <si>
    <t>going to elementry reactions and surface species</t>
  </si>
  <si>
    <t>P_T =</t>
  </si>
  <si>
    <t>ATM</t>
  </si>
  <si>
    <t>P_CO</t>
  </si>
  <si>
    <t>P_O2</t>
  </si>
  <si>
    <t>P_CO2</t>
  </si>
  <si>
    <t>partial pressures</t>
  </si>
  <si>
    <t>CO*</t>
  </si>
  <si>
    <t>O*</t>
  </si>
  <si>
    <t>CO2*</t>
  </si>
  <si>
    <t>*</t>
  </si>
  <si>
    <t>surface coverage</t>
  </si>
  <si>
    <t>O2*</t>
  </si>
  <si>
    <t>r1</t>
  </si>
  <si>
    <t>r2</t>
  </si>
  <si>
    <t>r3</t>
  </si>
  <si>
    <t>r4</t>
  </si>
  <si>
    <t>r5</t>
  </si>
  <si>
    <t>r6</t>
  </si>
  <si>
    <t>K1 =</t>
  </si>
  <si>
    <t>K2 =</t>
  </si>
  <si>
    <t>K3 =</t>
  </si>
  <si>
    <t>K4 =</t>
  </si>
  <si>
    <t>K5 =</t>
  </si>
  <si>
    <t>K6 =</t>
  </si>
  <si>
    <t>k1f =</t>
  </si>
  <si>
    <t>k2f =</t>
  </si>
  <si>
    <t>k3f =</t>
  </si>
  <si>
    <t>k4f =</t>
  </si>
  <si>
    <t>k5f =</t>
  </si>
  <si>
    <t>k6f =</t>
  </si>
  <si>
    <t>k1r =</t>
  </si>
  <si>
    <t>k2r =</t>
  </si>
  <si>
    <t>k3r =</t>
  </si>
  <si>
    <t>k4r =</t>
  </si>
  <si>
    <t>k5r =</t>
  </si>
  <si>
    <t>k6r =</t>
  </si>
  <si>
    <t>Rx1</t>
  </si>
  <si>
    <t>GHSV</t>
  </si>
  <si>
    <t>b2</t>
  </si>
  <si>
    <t>changed rate to GHSV in database</t>
  </si>
  <si>
    <t>k7f =</t>
  </si>
  <si>
    <t>k8f=</t>
  </si>
  <si>
    <t>k9f=</t>
  </si>
  <si>
    <t>k10f=</t>
  </si>
  <si>
    <t>K7 =</t>
  </si>
  <si>
    <t>K8 =</t>
  </si>
  <si>
    <t>K9 =</t>
  </si>
  <si>
    <t>K10 =</t>
  </si>
  <si>
    <t>k7r =</t>
  </si>
  <si>
    <t>k8r=</t>
  </si>
  <si>
    <t>k9r=</t>
  </si>
  <si>
    <t>k10r=</t>
  </si>
  <si>
    <t>c</t>
  </si>
  <si>
    <t>added Rx2</t>
  </si>
  <si>
    <t>P_NO</t>
  </si>
  <si>
    <t>P_NO2</t>
  </si>
  <si>
    <t>sum</t>
  </si>
  <si>
    <t>NO*</t>
  </si>
  <si>
    <t>NO2*</t>
  </si>
  <si>
    <t>Rx2</t>
  </si>
  <si>
    <t>corrected Rx1</t>
  </si>
  <si>
    <t>both</t>
  </si>
  <si>
    <t>d</t>
  </si>
  <si>
    <t>adding full results from MONO</t>
  </si>
  <si>
    <t>Carbon Dioxide</t>
  </si>
  <si>
    <t>Nitrogen Dioxide</t>
  </si>
  <si>
    <t>PtPd</t>
  </si>
  <si>
    <t>PdCu</t>
  </si>
  <si>
    <t>Cu</t>
  </si>
  <si>
    <t>Ea_4f/R =</t>
  </si>
  <si>
    <t>Ea_5f/R =</t>
  </si>
  <si>
    <t>Ea_1e/R =</t>
  </si>
  <si>
    <t>Ea_2e/R =</t>
  </si>
  <si>
    <t>Ea_3e/R =</t>
  </si>
  <si>
    <t>Ea_6e/R =</t>
  </si>
  <si>
    <t>Ea_7e/R =</t>
  </si>
  <si>
    <t>Ea_10e/R =</t>
  </si>
  <si>
    <t>k1f_o =</t>
  </si>
  <si>
    <t>k2f_o =</t>
  </si>
  <si>
    <t>k3f_o =</t>
  </si>
  <si>
    <t>k4f_o =</t>
  </si>
  <si>
    <t>k5f_o =</t>
  </si>
  <si>
    <t>k6f_o =</t>
  </si>
  <si>
    <t>k7f_o =</t>
  </si>
  <si>
    <t>k8f_o =</t>
  </si>
  <si>
    <t>k9f_o =</t>
  </si>
  <si>
    <t>k10f_o =</t>
  </si>
  <si>
    <t>add temperature dependance</t>
  </si>
  <si>
    <t>K1 _o =</t>
  </si>
  <si>
    <t>K2 _o =</t>
  </si>
  <si>
    <t>K3 _o =</t>
  </si>
  <si>
    <t>K4 _o =</t>
  </si>
  <si>
    <t>K5 _o =</t>
  </si>
  <si>
    <t>K6 _o =</t>
  </si>
  <si>
    <t>K7 _o =</t>
  </si>
  <si>
    <t>K8 _o =</t>
  </si>
  <si>
    <t>K9 _o =</t>
  </si>
  <si>
    <t>K10 _o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</si>
</sst>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"/>
    <numFmt numFmtId="165" formatCode="0.0000"/>
    <numFmt numFmtId="166" formatCode="0.000"/>
    <numFmt numFmtId="167" formatCode="0.0%"/>
    <numFmt numFmtId="168" formatCode="#,##0.0"/>
    <numFmt numFmtId="169" formatCode="#,##0.0000"/>
    <numFmt numFmtId="170" formatCode="0.0000%"/>
    <numFmt numFmtId="171" formatCode="0.0E+00"/>
    <numFmt numFmtId="172" formatCode="0.000%"/>
    <numFmt numFmtId="173" formatCode="#,##0.000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 Narrow"/>
      <family val="2"/>
    </font>
    <font>
      <sz val="10"/>
      <name val="Arial Narrow"/>
      <family val="2"/>
    </font>
    <font>
      <b/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0"/>
      <color rgb="FFFF0000"/>
      <name val="Arial"/>
      <family val="2"/>
    </font>
    <font>
      <b/>
      <sz val="16"/>
      <color indexed="8"/>
      <name val="Calibri"/>
      <family val="2"/>
    </font>
    <font>
      <i/>
      <sz val="9"/>
      <color theme="1"/>
      <name val="Calibri"/>
      <family val="2"/>
      <scheme val="minor"/>
    </font>
    <font>
      <i/>
      <sz val="11"/>
      <color theme="4"/>
      <name val="Calibri"/>
      <family val="2"/>
      <scheme val="minor"/>
    </font>
    <font>
      <sz val="10"/>
      <color rgb="FF00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ck">
        <color theme="9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12" fillId="0" borderId="0"/>
  </cellStyleXfs>
  <cellXfs count="165">
    <xf numFmtId="0" fontId="0" fillId="0" borderId="0" xfId="0"/>
    <xf numFmtId="0" fontId="1" fillId="0" borderId="0" xfId="0" applyFont="1"/>
    <xf numFmtId="164" fontId="1" fillId="0" borderId="0" xfId="0" applyNumberFormat="1" applyFont="1"/>
    <xf numFmtId="164" fontId="0" fillId="0" borderId="0" xfId="0" applyNumberFormat="1"/>
    <xf numFmtId="164" fontId="1" fillId="0" borderId="0" xfId="0" applyNumberFormat="1" applyFont="1" applyAlignment="1">
      <alignment wrapText="1"/>
    </xf>
    <xf numFmtId="0" fontId="3" fillId="0" borderId="0" xfId="0" applyFont="1"/>
    <xf numFmtId="0" fontId="4" fillId="0" borderId="0" xfId="0" applyFont="1"/>
    <xf numFmtId="10" fontId="0" fillId="0" borderId="0" xfId="1" applyNumberFormat="1" applyFont="1"/>
    <xf numFmtId="2" fontId="0" fillId="0" borderId="0" xfId="0" applyNumberFormat="1"/>
    <xf numFmtId="166" fontId="0" fillId="0" borderId="0" xfId="0" applyNumberFormat="1"/>
    <xf numFmtId="165" fontId="3" fillId="0" borderId="0" xfId="0" applyNumberFormat="1" applyFont="1"/>
    <xf numFmtId="0" fontId="4" fillId="0" borderId="0" xfId="0" applyFont="1" applyAlignment="1">
      <alignment horizontal="center"/>
    </xf>
    <xf numFmtId="168" fontId="3" fillId="0" borderId="0" xfId="0" applyNumberFormat="1" applyFont="1"/>
    <xf numFmtId="164" fontId="3" fillId="0" borderId="0" xfId="0" applyNumberFormat="1" applyFont="1"/>
    <xf numFmtId="3" fontId="0" fillId="0" borderId="0" xfId="0" applyNumberFormat="1"/>
    <xf numFmtId="3" fontId="1" fillId="0" borderId="0" xfId="0" applyNumberFormat="1" applyFont="1"/>
    <xf numFmtId="3" fontId="7" fillId="0" borderId="0" xfId="0" applyNumberFormat="1" applyFont="1"/>
    <xf numFmtId="10" fontId="7" fillId="0" borderId="0" xfId="1" applyNumberFormat="1" applyFont="1"/>
    <xf numFmtId="10" fontId="0" fillId="0" borderId="0" xfId="0" applyNumberFormat="1"/>
    <xf numFmtId="2" fontId="6" fillId="0" borderId="0" xfId="0" applyNumberFormat="1" applyFont="1"/>
    <xf numFmtId="2" fontId="3" fillId="0" borderId="0" xfId="0" applyNumberFormat="1" applyFont="1"/>
    <xf numFmtId="2" fontId="3" fillId="2" borderId="0" xfId="0" applyNumberFormat="1" applyFont="1" applyFill="1"/>
    <xf numFmtId="0" fontId="6" fillId="0" borderId="0" xfId="0" applyFont="1"/>
    <xf numFmtId="166" fontId="3" fillId="0" borderId="0" xfId="0" applyNumberFormat="1" applyFont="1"/>
    <xf numFmtId="166" fontId="4" fillId="0" borderId="0" xfId="0" applyNumberFormat="1" applyFont="1"/>
    <xf numFmtId="166" fontId="6" fillId="0" borderId="0" xfId="0" applyNumberFormat="1" applyFont="1"/>
    <xf numFmtId="10" fontId="1" fillId="0" borderId="0" xfId="0" applyNumberFormat="1" applyFont="1"/>
    <xf numFmtId="0" fontId="10" fillId="0" borderId="1" xfId="0" applyFont="1" applyBorder="1"/>
    <xf numFmtId="0" fontId="9" fillId="0" borderId="1" xfId="0" applyFont="1" applyBorder="1"/>
    <xf numFmtId="164" fontId="9" fillId="0" borderId="1" xfId="0" applyNumberFormat="1" applyFont="1" applyBorder="1"/>
    <xf numFmtId="169" fontId="0" fillId="0" borderId="0" xfId="0" applyNumberFormat="1"/>
    <xf numFmtId="0" fontId="0" fillId="0" borderId="0" xfId="0" applyAlignment="1">
      <alignment horizontal="right"/>
    </xf>
    <xf numFmtId="164" fontId="14" fillId="0" borderId="0" xfId="0" applyNumberFormat="1" applyFont="1"/>
    <xf numFmtId="0" fontId="0" fillId="0" borderId="0" xfId="0" applyAlignment="1">
      <alignment wrapText="1"/>
    </xf>
    <xf numFmtId="164" fontId="0" fillId="0" borderId="0" xfId="0" applyNumberFormat="1" applyAlignment="1">
      <alignment horizontal="right"/>
    </xf>
    <xf numFmtId="0" fontId="16" fillId="0" borderId="0" xfId="0" applyFont="1"/>
    <xf numFmtId="10" fontId="1" fillId="2" borderId="0" xfId="1" applyNumberFormat="1" applyFont="1" applyFill="1"/>
    <xf numFmtId="0" fontId="1" fillId="0" borderId="0" xfId="0" applyFont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wrapText="1"/>
    </xf>
    <xf numFmtId="3" fontId="0" fillId="0" borderId="0" xfId="0" applyNumberFormat="1" applyAlignment="1">
      <alignment horizontal="center"/>
    </xf>
    <xf numFmtId="3" fontId="1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9" fontId="0" fillId="0" borderId="0" xfId="1" applyFont="1" applyAlignment="1">
      <alignment horizontal="center"/>
    </xf>
    <xf numFmtId="167" fontId="3" fillId="0" borderId="0" xfId="1" applyNumberFormat="1" applyFont="1" applyAlignment="1">
      <alignment horizontal="center"/>
    </xf>
    <xf numFmtId="3" fontId="1" fillId="2" borderId="0" xfId="0" applyNumberFormat="1" applyFont="1" applyFill="1"/>
    <xf numFmtId="164" fontId="7" fillId="0" borderId="0" xfId="1" applyNumberFormat="1" applyFont="1"/>
    <xf numFmtId="171" fontId="0" fillId="0" borderId="0" xfId="0" applyNumberFormat="1"/>
    <xf numFmtId="0" fontId="18" fillId="0" borderId="0" xfId="0" applyFont="1"/>
    <xf numFmtId="170" fontId="0" fillId="0" borderId="0" xfId="1" applyNumberFormat="1" applyFont="1"/>
    <xf numFmtId="0" fontId="0" fillId="0" borderId="3" xfId="0" applyBorder="1"/>
    <xf numFmtId="0" fontId="3" fillId="0" borderId="3" xfId="0" applyFont="1" applyBorder="1"/>
    <xf numFmtId="165" fontId="3" fillId="0" borderId="3" xfId="0" applyNumberFormat="1" applyFont="1" applyBorder="1"/>
    <xf numFmtId="0" fontId="0" fillId="4" borderId="0" xfId="0" applyFill="1" applyAlignment="1">
      <alignment horizontal="right"/>
    </xf>
    <xf numFmtId="0" fontId="0" fillId="4" borderId="0" xfId="0" applyFill="1"/>
    <xf numFmtId="164" fontId="0" fillId="4" borderId="0" xfId="0" applyNumberFormat="1" applyFill="1"/>
    <xf numFmtId="0" fontId="0" fillId="4" borderId="0" xfId="0" applyFill="1" applyAlignment="1">
      <alignment horizontal="center"/>
    </xf>
    <xf numFmtId="0" fontId="1" fillId="0" borderId="1" xfId="0" applyFont="1" applyBorder="1"/>
    <xf numFmtId="0" fontId="0" fillId="0" borderId="1" xfId="0" applyBorder="1"/>
    <xf numFmtId="164" fontId="0" fillId="0" borderId="1" xfId="0" applyNumberFormat="1" applyBorder="1"/>
    <xf numFmtId="10" fontId="7" fillId="0" borderId="1" xfId="1" applyNumberFormat="1" applyFont="1" applyBorder="1"/>
    <xf numFmtId="169" fontId="0" fillId="0" borderId="1" xfId="0" applyNumberFormat="1" applyBorder="1"/>
    <xf numFmtId="169" fontId="0" fillId="0" borderId="1" xfId="0" applyNumberFormat="1" applyBorder="1" applyAlignment="1">
      <alignment horizontal="center"/>
    </xf>
    <xf numFmtId="10" fontId="0" fillId="0" borderId="1" xfId="1" applyNumberFormat="1" applyFont="1" applyBorder="1"/>
    <xf numFmtId="3" fontId="0" fillId="0" borderId="1" xfId="0" applyNumberFormat="1" applyBorder="1"/>
    <xf numFmtId="172" fontId="0" fillId="0" borderId="0" xfId="1" applyNumberFormat="1" applyFont="1"/>
    <xf numFmtId="4" fontId="0" fillId="0" borderId="1" xfId="0" applyNumberFormat="1" applyBorder="1"/>
    <xf numFmtId="2" fontId="6" fillId="2" borderId="0" xfId="0" applyNumberFormat="1" applyFont="1" applyFill="1"/>
    <xf numFmtId="164" fontId="17" fillId="0" borderId="4" xfId="0" applyNumberFormat="1" applyFont="1" applyBorder="1" applyAlignment="1">
      <alignment horizontal="center"/>
    </xf>
    <xf numFmtId="3" fontId="17" fillId="0" borderId="5" xfId="0" applyNumberFormat="1" applyFont="1" applyBorder="1" applyAlignment="1">
      <alignment horizontal="center"/>
    </xf>
    <xf numFmtId="170" fontId="1" fillId="2" borderId="0" xfId="1" applyNumberFormat="1" applyFont="1" applyFill="1"/>
    <xf numFmtId="4" fontId="0" fillId="0" borderId="0" xfId="0" applyNumberFormat="1"/>
    <xf numFmtId="0" fontId="9" fillId="0" borderId="0" xfId="0" applyFont="1"/>
    <xf numFmtId="3" fontId="1" fillId="0" borderId="0" xfId="0" applyNumberFormat="1" applyFont="1" applyAlignment="1">
      <alignment horizontal="right"/>
    </xf>
    <xf numFmtId="0" fontId="20" fillId="0" borderId="2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" fillId="0" borderId="0" xfId="1" applyNumberFormat="1" applyFont="1" applyFill="1"/>
    <xf numFmtId="2" fontId="13" fillId="2" borderId="0" xfId="0" applyNumberFormat="1" applyFont="1" applyFill="1"/>
    <xf numFmtId="164" fontId="8" fillId="2" borderId="0" xfId="0" applyNumberFormat="1" applyFont="1" applyFill="1"/>
    <xf numFmtId="167" fontId="8" fillId="2" borderId="0" xfId="1" applyNumberFormat="1" applyFont="1" applyFill="1" applyAlignment="1">
      <alignment horizontal="center" vertical="center"/>
    </xf>
    <xf numFmtId="2" fontId="1" fillId="0" borderId="0" xfId="0" applyNumberFormat="1" applyFont="1" applyAlignment="1">
      <alignment horizontal="right"/>
    </xf>
    <xf numFmtId="2" fontId="0" fillId="4" borderId="0" xfId="0" applyNumberFormat="1" applyFill="1"/>
    <xf numFmtId="2" fontId="0" fillId="0" borderId="0" xfId="0" applyNumberFormat="1" applyAlignment="1">
      <alignment wrapText="1"/>
    </xf>
    <xf numFmtId="4" fontId="6" fillId="0" borderId="0" xfId="0" applyNumberFormat="1" applyFont="1"/>
    <xf numFmtId="0" fontId="5" fillId="0" borderId="0" xfId="0" applyFont="1" applyAlignment="1">
      <alignment horizontal="center"/>
    </xf>
    <xf numFmtId="164" fontId="0" fillId="0" borderId="9" xfId="0" applyNumberFormat="1" applyBorder="1"/>
    <xf numFmtId="164" fontId="0" fillId="0" borderId="10" xfId="0" applyNumberFormat="1" applyBorder="1"/>
    <xf numFmtId="164" fontId="0" fillId="0" borderId="11" xfId="0" applyNumberFormat="1" applyBorder="1"/>
    <xf numFmtId="166" fontId="4" fillId="0" borderId="0" xfId="0" applyNumberFormat="1" applyFont="1" applyAlignment="1">
      <alignment horizontal="center"/>
    </xf>
    <xf numFmtId="9" fontId="3" fillId="0" borderId="0" xfId="1" applyFont="1" applyAlignment="1">
      <alignment horizontal="center"/>
    </xf>
    <xf numFmtId="173" fontId="6" fillId="0" borderId="0" xfId="0" applyNumberFormat="1" applyFont="1"/>
    <xf numFmtId="173" fontId="3" fillId="0" borderId="0" xfId="1" applyNumberFormat="1" applyFont="1" applyAlignment="1">
      <alignment horizontal="center"/>
    </xf>
    <xf numFmtId="173" fontId="4" fillId="0" borderId="0" xfId="0" applyNumberFormat="1" applyFont="1" applyAlignment="1">
      <alignment horizontal="center"/>
    </xf>
    <xf numFmtId="173" fontId="3" fillId="0" borderId="0" xfId="0" applyNumberFormat="1" applyFont="1"/>
    <xf numFmtId="10" fontId="1" fillId="0" borderId="0" xfId="0" applyNumberFormat="1" applyFont="1" applyAlignment="1">
      <alignment horizontal="center"/>
    </xf>
    <xf numFmtId="0" fontId="0" fillId="0" borderId="0" xfId="1" applyNumberFormat="1" applyFont="1"/>
    <xf numFmtId="0" fontId="0" fillId="0" borderId="0" xfId="1" applyNumberFormat="1" applyFont="1" applyBorder="1"/>
    <xf numFmtId="0" fontId="0" fillId="0" borderId="0" xfId="0" applyAlignment="1">
      <alignment horizontal="center" vertical="center"/>
    </xf>
    <xf numFmtId="0" fontId="9" fillId="0" borderId="7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13" fillId="2" borderId="0" xfId="0" applyFont="1" applyFill="1"/>
    <xf numFmtId="0" fontId="4" fillId="0" borderId="0" xfId="0" quotePrefix="1" applyFont="1" applyAlignment="1">
      <alignment horizontal="center"/>
    </xf>
    <xf numFmtId="2" fontId="14" fillId="0" borderId="0" xfId="0" applyNumberFormat="1" applyFont="1"/>
    <xf numFmtId="0" fontId="0" fillId="0" borderId="3" xfId="0" applyBorder="1" applyAlignment="1">
      <alignment horizontal="center"/>
    </xf>
    <xf numFmtId="2" fontId="14" fillId="0" borderId="3" xfId="0" applyNumberFormat="1" applyFont="1" applyBorder="1"/>
    <xf numFmtId="0" fontId="4" fillId="0" borderId="3" xfId="0" quotePrefix="1" applyFont="1" applyBorder="1" applyAlignment="1">
      <alignment horizontal="center"/>
    </xf>
    <xf numFmtId="2" fontId="14" fillId="4" borderId="0" xfId="0" applyNumberFormat="1" applyFont="1" applyFill="1"/>
    <xf numFmtId="0" fontId="3" fillId="4" borderId="0" xfId="0" applyFont="1" applyFill="1"/>
    <xf numFmtId="0" fontId="4" fillId="4" borderId="0" xfId="0" quotePrefix="1" applyFont="1" applyFill="1" applyAlignment="1">
      <alignment horizontal="center"/>
    </xf>
    <xf numFmtId="165" fontId="3" fillId="4" borderId="3" xfId="0" applyNumberFormat="1" applyFont="1" applyFill="1" applyBorder="1"/>
    <xf numFmtId="165" fontId="3" fillId="4" borderId="0" xfId="0" applyNumberFormat="1" applyFont="1" applyFill="1"/>
    <xf numFmtId="2" fontId="19" fillId="0" borderId="0" xfId="0" applyNumberFormat="1" applyFont="1"/>
    <xf numFmtId="9" fontId="0" fillId="0" borderId="0" xfId="0" applyNumberFormat="1"/>
    <xf numFmtId="0" fontId="13" fillId="0" borderId="0" xfId="0" applyFont="1"/>
    <xf numFmtId="3" fontId="22" fillId="0" borderId="0" xfId="0" applyNumberFormat="1" applyFont="1"/>
    <xf numFmtId="0" fontId="0" fillId="0" borderId="0" xfId="0" applyAlignment="1">
      <alignment horizontal="center" wrapText="1"/>
    </xf>
    <xf numFmtId="3" fontId="0" fillId="0" borderId="0" xfId="0" applyNumberFormat="1" applyAlignment="1">
      <alignment horizontal="center" wrapText="1"/>
    </xf>
    <xf numFmtId="164" fontId="0" fillId="0" borderId="7" xfId="0" applyNumberFormat="1" applyBorder="1" applyAlignment="1">
      <alignment horizontal="center" wrapText="1"/>
    </xf>
    <xf numFmtId="9" fontId="0" fillId="0" borderId="0" xfId="1" applyFont="1" applyAlignment="1">
      <alignment horizontal="center" wrapText="1"/>
    </xf>
    <xf numFmtId="167" fontId="0" fillId="0" borderId="0" xfId="1" applyNumberFormat="1" applyFont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1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67" fontId="0" fillId="0" borderId="0" xfId="1" applyNumberFormat="1" applyFont="1" applyBorder="1" applyAlignment="1">
      <alignment horizontal="center"/>
    </xf>
    <xf numFmtId="9" fontId="0" fillId="0" borderId="0" xfId="1" applyFont="1" applyBorder="1" applyAlignment="1">
      <alignment horizontal="center"/>
    </xf>
    <xf numFmtId="167" fontId="0" fillId="0" borderId="0" xfId="1" applyNumberFormat="1" applyFont="1" applyAlignment="1">
      <alignment horizontal="center"/>
    </xf>
    <xf numFmtId="3" fontId="0" fillId="0" borderId="0" xfId="1" applyNumberFormat="1" applyFont="1" applyAlignment="1">
      <alignment horizontal="center"/>
    </xf>
    <xf numFmtId="0" fontId="23" fillId="0" borderId="7" xfId="0" applyFont="1" applyBorder="1" applyAlignment="1">
      <alignment horizontal="center" vertical="center" wrapText="1"/>
    </xf>
    <xf numFmtId="0" fontId="24" fillId="0" borderId="12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3" xfId="0" applyBorder="1"/>
    <xf numFmtId="3" fontId="13" fillId="2" borderId="0" xfId="0" applyNumberFormat="1" applyFont="1" applyFill="1"/>
    <xf numFmtId="3" fontId="0" fillId="0" borderId="13" xfId="0" applyNumberFormat="1" applyBorder="1"/>
    <xf numFmtId="3" fontId="15" fillId="2" borderId="0" xfId="0" applyNumberFormat="1" applyFont="1" applyFill="1"/>
    <xf numFmtId="168" fontId="13" fillId="2" borderId="0" xfId="0" applyNumberFormat="1" applyFont="1" applyFill="1"/>
    <xf numFmtId="0" fontId="0" fillId="0" borderId="14" xfId="0" applyBorder="1"/>
    <xf numFmtId="0" fontId="0" fillId="0" borderId="15" xfId="0" applyBorder="1"/>
    <xf numFmtId="0" fontId="0" fillId="0" borderId="16" xfId="0" applyBorder="1"/>
    <xf numFmtId="164" fontId="13" fillId="2" borderId="7" xfId="0" applyNumberFormat="1" applyFont="1" applyFill="1" applyBorder="1"/>
    <xf numFmtId="3" fontId="13" fillId="2" borderId="7" xfId="0" applyNumberFormat="1" applyFont="1" applyFill="1" applyBorder="1"/>
    <xf numFmtId="3" fontId="0" fillId="0" borderId="8" xfId="0" applyNumberFormat="1" applyBorder="1"/>
    <xf numFmtId="164" fontId="13" fillId="2" borderId="0" xfId="0" applyNumberFormat="1" applyFont="1" applyFill="1"/>
    <xf numFmtId="0" fontId="15" fillId="2" borderId="0" xfId="0" applyFont="1" applyFill="1"/>
    <xf numFmtId="0" fontId="13" fillId="2" borderId="15" xfId="0" applyFont="1" applyFill="1" applyBorder="1"/>
    <xf numFmtId="3" fontId="13" fillId="2" borderId="15" xfId="0" applyNumberFormat="1" applyFont="1" applyFill="1" applyBorder="1"/>
    <xf numFmtId="3" fontId="0" fillId="0" borderId="16" xfId="0" applyNumberFormat="1" applyBorder="1"/>
    <xf numFmtId="166" fontId="0" fillId="0" borderId="12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166" fontId="0" fillId="0" borderId="13" xfId="0" applyNumberFormat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3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67" fontId="0" fillId="2" borderId="0" xfId="0" applyNumberFormat="1" applyFill="1" applyAlignment="1">
      <alignment horizontal="center"/>
    </xf>
    <xf numFmtId="167" fontId="0" fillId="2" borderId="0" xfId="1" applyNumberFormat="1" applyFont="1" applyFill="1" applyBorder="1" applyAlignment="1">
      <alignment horizontal="center"/>
    </xf>
    <xf numFmtId="9" fontId="0" fillId="2" borderId="0" xfId="1" applyFont="1" applyFill="1" applyBorder="1" applyAlignment="1">
      <alignment horizontal="center"/>
    </xf>
    <xf numFmtId="165" fontId="3" fillId="0" borderId="3" xfId="0" applyNumberFormat="1" applyFont="1" applyBorder="1" applyAlignment="1">
      <alignment horizontal="center" vertical="center"/>
    </xf>
    <xf numFmtId="0" fontId="0" fillId="3" borderId="0" xfId="0" applyFill="1" applyAlignment="1">
      <alignment textRotation="90"/>
    </xf>
  </cellXfs>
  <cellStyles count="3">
    <cellStyle name="Normal" xfId="0" builtinId="0"/>
    <cellStyle name="Normal 2" xfId="2" xr:uid="{00000000-0005-0000-0000-000001000000}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4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styles" Target="styles.xml"/><Relationship Id="rId5" Type="http://schemas.openxmlformats.org/officeDocument/2006/relationships/chartsheet" Target="chartsheets/sheet2.xml"/><Relationship Id="rId10" Type="http://schemas.openxmlformats.org/officeDocument/2006/relationships/theme" Target="theme/theme1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5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Model!$R$4</c:f>
              <c:strCache>
                <c:ptCount val="1"/>
                <c:pt idx="0">
                  <c:v>CO*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Model!$A$5:$A$199</c:f>
              <c:numCache>
                <c:formatCode>0.00</c:formatCode>
                <c:ptCount val="19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</c:numCache>
            </c:numRef>
          </c:xVal>
          <c:yVal>
            <c:numRef>
              <c:f>Model!$R$5:$R$199</c:f>
              <c:numCache>
                <c:formatCode>0.0000</c:formatCode>
                <c:ptCount val="195"/>
                <c:pt idx="0">
                  <c:v>1.1925185501505738E-3</c:v>
                </c:pt>
                <c:pt idx="1">
                  <c:v>1.1671182520984079E-3</c:v>
                </c:pt>
                <c:pt idx="2">
                  <c:v>1.1422552948826519E-3</c:v>
                </c:pt>
                <c:pt idx="3">
                  <c:v>1.1179184653113588E-3</c:v>
                </c:pt>
                <c:pt idx="4">
                  <c:v>1.0940967777195597E-3</c:v>
                </c:pt>
                <c:pt idx="5">
                  <c:v>1.070779469624785E-3</c:v>
                </c:pt>
                <c:pt idx="6">
                  <c:v>1.0479559974539325E-3</c:v>
                </c:pt>
                <c:pt idx="7">
                  <c:v>1.0256160323408427E-3</c:v>
                </c:pt>
                <c:pt idx="8">
                  <c:v>1.0037494559938867E-3</c:v>
                </c:pt>
                <c:pt idx="9">
                  <c:v>9.8234635663288603E-4</c:v>
                </c:pt>
                <c:pt idx="10">
                  <c:v>9.6139702499463647E-4</c:v>
                </c:pt>
                <c:pt idx="11">
                  <c:v>9.4089195040632072E-4</c:v>
                </c:pt>
                <c:pt idx="12">
                  <c:v>9.2082181692606266E-4</c:v>
                </c:pt>
                <c:pt idx="13">
                  <c:v>9.0117749954986813E-4</c:v>
                </c:pt>
                <c:pt idx="14">
                  <c:v>8.8195006048419724E-4</c:v>
                </c:pt>
                <c:pt idx="15">
                  <c:v>8.6313074548338155E-4</c:v>
                </c:pt>
                <c:pt idx="16">
                  <c:v>8.4471098025112185E-4</c:v>
                </c:pt>
                <c:pt idx="17">
                  <c:v>8.2668236690525837E-4</c:v>
                </c:pt>
                <c:pt idx="18">
                  <c:v>8.0903668050503639E-4</c:v>
                </c:pt>
                <c:pt idx="19">
                  <c:v>7.9176586564005383E-4</c:v>
                </c:pt>
                <c:pt idx="20">
                  <c:v>7.748620330800943E-4</c:v>
                </c:pt>
                <c:pt idx="21">
                  <c:v>7.5831745648503445E-4</c:v>
                </c:pt>
                <c:pt idx="22">
                  <c:v>7.4212456917401807E-4</c:v>
                </c:pt>
                <c:pt idx="23">
                  <c:v>7.2627596095308096E-4</c:v>
                </c:pt>
                <c:pt idx="24">
                  <c:v>7.107643750004206E-4</c:v>
                </c:pt>
                <c:pt idx="25">
                  <c:v>6.9558270480849242E-4</c:v>
                </c:pt>
                <c:pt idx="26">
                  <c:v>6.80723991182122E-4</c:v>
                </c:pt>
                <c:pt idx="27">
                  <c:v>6.6618141929182279E-4</c:v>
                </c:pt>
                <c:pt idx="28">
                  <c:v>6.5194831578151244E-4</c:v>
                </c:pt>
                <c:pt idx="29">
                  <c:v>6.3801814592981431E-4</c:v>
                </c:pt>
                <c:pt idx="30">
                  <c:v>6.2438451086414771E-4</c:v>
                </c:pt>
                <c:pt idx="31">
                  <c:v>6.1104114482680213E-4</c:v>
                </c:pt>
                <c:pt idx="32">
                  <c:v>5.9798191249219772E-4</c:v>
                </c:pt>
                <c:pt idx="33">
                  <c:v>5.8520080633454364E-4</c:v>
                </c:pt>
                <c:pt idx="34">
                  <c:v>5.726919440451017E-4</c:v>
                </c:pt>
                <c:pt idx="35">
                  <c:v>5.6044956599827784E-4</c:v>
                </c:pt>
                <c:pt idx="36">
                  <c:v>5.4846803276575797E-4</c:v>
                </c:pt>
                <c:pt idx="37">
                  <c:v>5.3674182267792283E-4</c:v>
                </c:pt>
                <c:pt idx="38">
                  <c:v>5.2526552943177112E-4</c:v>
                </c:pt>
                <c:pt idx="39">
                  <c:v>5.1403385974459561E-4</c:v>
                </c:pt>
                <c:pt idx="40">
                  <c:v>5.0304163105265758E-4</c:v>
                </c:pt>
                <c:pt idx="41">
                  <c:v>4.9228376925411444E-4</c:v>
                </c:pt>
                <c:pt idx="42">
                  <c:v>4.8175530649546307E-4</c:v>
                </c:pt>
                <c:pt idx="43">
                  <c:v>4.7145137900076465E-4</c:v>
                </c:pt>
                <c:pt idx="44">
                  <c:v>4.6136722494293062E-4</c:v>
                </c:pt>
                <c:pt idx="45">
                  <c:v>4.5149818235635131E-4</c:v>
                </c:pt>
                <c:pt idx="46">
                  <c:v>4.4183968709015975E-4</c:v>
                </c:pt>
                <c:pt idx="47">
                  <c:v>4.3238727080142843E-4</c:v>
                </c:pt>
                <c:pt idx="48">
                  <c:v>4.2313655898761017E-4</c:v>
                </c:pt>
                <c:pt idx="49">
                  <c:v>4.1408326905753492E-4</c:v>
                </c:pt>
                <c:pt idx="50">
                  <c:v>4.0522320844028724E-4</c:v>
                </c:pt>
                <c:pt idx="51">
                  <c:v>3.9655227273129967E-4</c:v>
                </c:pt>
                <c:pt idx="52">
                  <c:v>3.8806644387499807E-4</c:v>
                </c:pt>
                <c:pt idx="53">
                  <c:v>3.7976178838335133E-4</c:v>
                </c:pt>
                <c:pt idx="54">
                  <c:v>3.7163445558968135E-4</c:v>
                </c:pt>
                <c:pt idx="55">
                  <c:v>3.6368067593710117E-4</c:v>
                </c:pt>
                <c:pt idx="56">
                  <c:v>3.5589675930095183E-4</c:v>
                </c:pt>
                <c:pt idx="57">
                  <c:v>3.4827909334462717E-4</c:v>
                </c:pt>
                <c:pt idx="58">
                  <c:v>3.4082414190817422E-4</c:v>
                </c:pt>
                <c:pt idx="59">
                  <c:v>3.3352844342906943E-4</c:v>
                </c:pt>
                <c:pt idx="60">
                  <c:v>3.2638860939458313E-4</c:v>
                </c:pt>
                <c:pt idx="61">
                  <c:v>3.1940132282514539E-4</c:v>
                </c:pt>
                <c:pt idx="62">
                  <c:v>3.1256333678814454E-4</c:v>
                </c:pt>
                <c:pt idx="63">
                  <c:v>3.0587147294158838E-4</c:v>
                </c:pt>
                <c:pt idx="64">
                  <c:v>2.9932262010707358E-4</c:v>
                </c:pt>
                <c:pt idx="65">
                  <c:v>2.9291373287151614E-4</c:v>
                </c:pt>
                <c:pt idx="66">
                  <c:v>2.8664183021710006E-4</c:v>
                </c:pt>
                <c:pt idx="67">
                  <c:v>2.8050399417891544E-4</c:v>
                </c:pt>
                <c:pt idx="68">
                  <c:v>2.7449736852976162E-4</c:v>
                </c:pt>
                <c:pt idx="69">
                  <c:v>2.6861915749160087E-4</c:v>
                </c:pt>
                <c:pt idx="70">
                  <c:v>2.6286662447315559E-4</c:v>
                </c:pt>
                <c:pt idx="71">
                  <c:v>2.5723709083315242E-4</c:v>
                </c:pt>
                <c:pt idx="72">
                  <c:v>2.5172793466871974E-4</c:v>
                </c:pt>
                <c:pt idx="73">
                  <c:v>2.4633658962845922E-4</c:v>
                </c:pt>
                <c:pt idx="74">
                  <c:v>2.4106054374971653E-4</c:v>
                </c:pt>
                <c:pt idx="75">
                  <c:v>2.3589733831958293E-4</c:v>
                </c:pt>
                <c:pt idx="76">
                  <c:v>2.3084456675917165E-4</c:v>
                </c:pt>
                <c:pt idx="77">
                  <c:v>2.2589987353071659E-4</c:v>
                </c:pt>
                <c:pt idx="78">
                  <c:v>2.2106095306705125E-4</c:v>
                </c:pt>
                <c:pt idx="79">
                  <c:v>2.1632554872303041E-4</c:v>
                </c:pt>
                <c:pt idx="80">
                  <c:v>2.1169145174846949E-4</c:v>
                </c:pt>
                <c:pt idx="81">
                  <c:v>2.0715650028217808E-4</c:v>
                </c:pt>
                <c:pt idx="82">
                  <c:v>2.0271857836667506E-4</c:v>
                </c:pt>
                <c:pt idx="83">
                  <c:v>1.9837561498318036E-4</c:v>
                </c:pt>
                <c:pt idx="84">
                  <c:v>1.9412558310648266E-4</c:v>
                </c:pt>
                <c:pt idx="85">
                  <c:v>1.8996649877929244E-4</c:v>
                </c:pt>
                <c:pt idx="86">
                  <c:v>1.8589642020569431E-4</c:v>
                </c:pt>
                <c:pt idx="87">
                  <c:v>1.8191344686332173E-4</c:v>
                </c:pt>
                <c:pt idx="88">
                  <c:v>1.7801571863388158E-4</c:v>
                </c:pt>
                <c:pt idx="89">
                  <c:v>1.7420141495166544E-4</c:v>
                </c:pt>
                <c:pt idx="90">
                  <c:v>1.7046875396968774E-4</c:v>
                </c:pt>
                <c:pt idx="91">
                  <c:v>1.6681599174310147E-4</c:v>
                </c:pt>
                <c:pt idx="92">
                  <c:v>1.6324142142954453E-4</c:v>
                </c:pt>
                <c:pt idx="93">
                  <c:v>1.5974337250607937E-4</c:v>
                </c:pt>
                <c:pt idx="94">
                  <c:v>1.563202100023925E-4</c:v>
                </c:pt>
                <c:pt idx="95">
                  <c:v>1.5297033374992821E-4</c:v>
                </c:pt>
                <c:pt idx="96">
                  <c:v>1.4969217764663605E-4</c:v>
                </c:pt>
                <c:pt idx="97">
                  <c:v>1.4648420893701789E-4</c:v>
                </c:pt>
                <c:pt idx="98">
                  <c:v>1.4334492750716572E-4</c:v>
                </c:pt>
                <c:pt idx="99">
                  <c:v>1.4027286519448793E-4</c:v>
                </c:pt>
                <c:pt idx="100">
                  <c:v>1.3726658511182792E-4</c:v>
                </c:pt>
                <c:pt idx="101">
                  <c:v>1.3432468098568184E-4</c:v>
                </c:pt>
                <c:pt idx="102">
                  <c:v>1.3432468098568184E-4</c:v>
                </c:pt>
                <c:pt idx="103">
                  <c:v>1.3432468098568184E-4</c:v>
                </c:pt>
                <c:pt idx="104">
                  <c:v>1.3432468098568184E-4</c:v>
                </c:pt>
                <c:pt idx="105">
                  <c:v>1.3432468098568184E-4</c:v>
                </c:pt>
                <c:pt idx="106">
                  <c:v>1.3432468098568184E-4</c:v>
                </c:pt>
                <c:pt idx="107">
                  <c:v>1.3432468098568184E-4</c:v>
                </c:pt>
                <c:pt idx="108">
                  <c:v>1.3432468098568184E-4</c:v>
                </c:pt>
                <c:pt idx="109">
                  <c:v>1.3432468098568184E-4</c:v>
                </c:pt>
                <c:pt idx="110">
                  <c:v>1.3432468098568184E-4</c:v>
                </c:pt>
                <c:pt idx="111">
                  <c:v>1.3432468098568184E-4</c:v>
                </c:pt>
                <c:pt idx="112">
                  <c:v>1.3432468098568184E-4</c:v>
                </c:pt>
                <c:pt idx="113">
                  <c:v>1.3432468098568184E-4</c:v>
                </c:pt>
                <c:pt idx="114">
                  <c:v>1.3432468098568184E-4</c:v>
                </c:pt>
                <c:pt idx="115">
                  <c:v>1.3432468098568184E-4</c:v>
                </c:pt>
                <c:pt idx="116">
                  <c:v>1.3432468098568184E-4</c:v>
                </c:pt>
                <c:pt idx="117">
                  <c:v>1.3432468098568184E-4</c:v>
                </c:pt>
                <c:pt idx="118">
                  <c:v>1.3432468098568184E-4</c:v>
                </c:pt>
                <c:pt idx="119">
                  <c:v>1.3432468098568184E-4</c:v>
                </c:pt>
                <c:pt idx="120">
                  <c:v>1.3432468098568184E-4</c:v>
                </c:pt>
                <c:pt idx="121">
                  <c:v>1.3432468098568184E-4</c:v>
                </c:pt>
                <c:pt idx="122">
                  <c:v>1.3432468098568184E-4</c:v>
                </c:pt>
                <c:pt idx="123">
                  <c:v>1.3432468098568184E-4</c:v>
                </c:pt>
                <c:pt idx="124">
                  <c:v>1.3432468098568184E-4</c:v>
                </c:pt>
                <c:pt idx="125">
                  <c:v>1.3432468098568184E-4</c:v>
                </c:pt>
                <c:pt idx="126">
                  <c:v>1.3432468098568184E-4</c:v>
                </c:pt>
                <c:pt idx="127">
                  <c:v>1.3432468098568184E-4</c:v>
                </c:pt>
                <c:pt idx="128">
                  <c:v>1.3432468098568184E-4</c:v>
                </c:pt>
                <c:pt idx="129">
                  <c:v>1.3432468098568184E-4</c:v>
                </c:pt>
                <c:pt idx="130">
                  <c:v>1.3432468098568184E-4</c:v>
                </c:pt>
                <c:pt idx="131">
                  <c:v>1.3432468098568184E-4</c:v>
                </c:pt>
                <c:pt idx="132">
                  <c:v>1.3432468098568184E-4</c:v>
                </c:pt>
                <c:pt idx="133">
                  <c:v>1.3432468098568184E-4</c:v>
                </c:pt>
                <c:pt idx="134">
                  <c:v>1.3432468098568184E-4</c:v>
                </c:pt>
                <c:pt idx="135">
                  <c:v>1.3432468098568184E-4</c:v>
                </c:pt>
                <c:pt idx="136">
                  <c:v>1.3432468098568184E-4</c:v>
                </c:pt>
                <c:pt idx="137">
                  <c:v>1.3432468098568184E-4</c:v>
                </c:pt>
                <c:pt idx="138">
                  <c:v>1.3432468098568184E-4</c:v>
                </c:pt>
                <c:pt idx="139">
                  <c:v>1.3432468098568184E-4</c:v>
                </c:pt>
                <c:pt idx="140">
                  <c:v>1.3432468098568184E-4</c:v>
                </c:pt>
                <c:pt idx="141">
                  <c:v>1.3432468098568184E-4</c:v>
                </c:pt>
                <c:pt idx="142">
                  <c:v>1.3432468098568184E-4</c:v>
                </c:pt>
                <c:pt idx="143">
                  <c:v>1.3432468098568184E-4</c:v>
                </c:pt>
                <c:pt idx="144">
                  <c:v>1.3432468098568184E-4</c:v>
                </c:pt>
                <c:pt idx="145">
                  <c:v>1.3432468098568184E-4</c:v>
                </c:pt>
                <c:pt idx="146">
                  <c:v>1.3432468098568184E-4</c:v>
                </c:pt>
                <c:pt idx="147">
                  <c:v>1.3432468098568184E-4</c:v>
                </c:pt>
                <c:pt idx="148">
                  <c:v>1.3432468098568184E-4</c:v>
                </c:pt>
                <c:pt idx="149">
                  <c:v>1.3432468098568184E-4</c:v>
                </c:pt>
                <c:pt idx="150">
                  <c:v>1.3432468098568184E-4</c:v>
                </c:pt>
                <c:pt idx="151">
                  <c:v>1.3432468098568184E-4</c:v>
                </c:pt>
                <c:pt idx="152">
                  <c:v>1.3432468098568184E-4</c:v>
                </c:pt>
                <c:pt idx="153">
                  <c:v>1.3432468098568184E-4</c:v>
                </c:pt>
                <c:pt idx="154">
                  <c:v>1.3432468098568184E-4</c:v>
                </c:pt>
                <c:pt idx="155">
                  <c:v>1.3432468098568184E-4</c:v>
                </c:pt>
                <c:pt idx="156">
                  <c:v>1.3432468098568184E-4</c:v>
                </c:pt>
                <c:pt idx="157">
                  <c:v>1.3432468098568184E-4</c:v>
                </c:pt>
                <c:pt idx="158">
                  <c:v>1.3432468098568184E-4</c:v>
                </c:pt>
                <c:pt idx="159">
                  <c:v>1.3432468098568184E-4</c:v>
                </c:pt>
                <c:pt idx="160">
                  <c:v>1.3432468098568184E-4</c:v>
                </c:pt>
                <c:pt idx="161">
                  <c:v>1.3432468098568184E-4</c:v>
                </c:pt>
                <c:pt idx="162">
                  <c:v>1.3432468098568184E-4</c:v>
                </c:pt>
                <c:pt idx="163">
                  <c:v>1.3432468098568184E-4</c:v>
                </c:pt>
                <c:pt idx="164">
                  <c:v>1.3432468098568184E-4</c:v>
                </c:pt>
                <c:pt idx="165">
                  <c:v>1.3432468098568184E-4</c:v>
                </c:pt>
                <c:pt idx="166">
                  <c:v>1.3432468098568184E-4</c:v>
                </c:pt>
                <c:pt idx="167">
                  <c:v>1.3432468098568184E-4</c:v>
                </c:pt>
                <c:pt idx="168">
                  <c:v>1.3432468098568184E-4</c:v>
                </c:pt>
                <c:pt idx="169">
                  <c:v>1.3432468098568184E-4</c:v>
                </c:pt>
                <c:pt idx="170">
                  <c:v>1.3432468098568184E-4</c:v>
                </c:pt>
                <c:pt idx="171">
                  <c:v>1.3432468098568184E-4</c:v>
                </c:pt>
                <c:pt idx="172">
                  <c:v>1.3432468098568184E-4</c:v>
                </c:pt>
                <c:pt idx="173">
                  <c:v>1.3432468098568184E-4</c:v>
                </c:pt>
                <c:pt idx="174">
                  <c:v>1.3432468098568184E-4</c:v>
                </c:pt>
                <c:pt idx="175">
                  <c:v>1.3432468098568184E-4</c:v>
                </c:pt>
                <c:pt idx="176">
                  <c:v>1.3432468098568184E-4</c:v>
                </c:pt>
                <c:pt idx="177">
                  <c:v>1.3432468098568184E-4</c:v>
                </c:pt>
                <c:pt idx="178">
                  <c:v>1.3432468098568184E-4</c:v>
                </c:pt>
                <c:pt idx="179">
                  <c:v>1.3432468098568184E-4</c:v>
                </c:pt>
                <c:pt idx="180">
                  <c:v>1.3432468098568184E-4</c:v>
                </c:pt>
                <c:pt idx="181">
                  <c:v>1.3432468098568184E-4</c:v>
                </c:pt>
                <c:pt idx="182">
                  <c:v>1.3432468098568184E-4</c:v>
                </c:pt>
                <c:pt idx="183">
                  <c:v>1.3432468098568184E-4</c:v>
                </c:pt>
                <c:pt idx="184">
                  <c:v>1.3432468098568184E-4</c:v>
                </c:pt>
                <c:pt idx="185">
                  <c:v>1.3432468098568184E-4</c:v>
                </c:pt>
                <c:pt idx="186">
                  <c:v>1.3432468098568184E-4</c:v>
                </c:pt>
                <c:pt idx="187">
                  <c:v>1.3432468098568184E-4</c:v>
                </c:pt>
                <c:pt idx="188">
                  <c:v>1.3432468098568184E-4</c:v>
                </c:pt>
                <c:pt idx="189">
                  <c:v>1.3432468098568184E-4</c:v>
                </c:pt>
                <c:pt idx="190">
                  <c:v>1.3432468098568184E-4</c:v>
                </c:pt>
                <c:pt idx="191">
                  <c:v>1.3432468098568184E-4</c:v>
                </c:pt>
                <c:pt idx="192">
                  <c:v>1.3432468098568184E-4</c:v>
                </c:pt>
                <c:pt idx="193">
                  <c:v>1.3432468098568184E-4</c:v>
                </c:pt>
                <c:pt idx="194">
                  <c:v>1.3432468098568184E-4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5B-4739-8F00-53C8F9840F93}"/>
            </c:ext>
          </c:extLst>
        </c:ser>
        <c:ser>
          <c:idx val="1"/>
          <c:order val="1"/>
          <c:tx>
            <c:strRef>
              <c:f>Model!$S$4</c:f>
              <c:strCache>
                <c:ptCount val="1"/>
                <c:pt idx="0">
                  <c:v>NO*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Model!$A$5:$A$199</c:f>
              <c:numCache>
                <c:formatCode>0.00</c:formatCode>
                <c:ptCount val="19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</c:numCache>
            </c:numRef>
          </c:xVal>
          <c:yVal>
            <c:numRef>
              <c:f>Model!$S$5:$S$199</c:f>
              <c:numCache>
                <c:formatCode>0.0000</c:formatCode>
                <c:ptCount val="195"/>
                <c:pt idx="0">
                  <c:v>5.2048285713885724E-4</c:v>
                </c:pt>
                <c:pt idx="1">
                  <c:v>5.2020449722647876E-4</c:v>
                </c:pt>
                <c:pt idx="2">
                  <c:v>5.1992557850867767E-4</c:v>
                </c:pt>
                <c:pt idx="3">
                  <c:v>5.1964611687206435E-4</c:v>
                </c:pt>
                <c:pt idx="4">
                  <c:v>5.1936612786893338E-4</c:v>
                </c:pt>
                <c:pt idx="5">
                  <c:v>5.1908562672387437E-4</c:v>
                </c:pt>
                <c:pt idx="6">
                  <c:v>5.1880462834026696E-4</c:v>
                </c:pt>
                <c:pt idx="7">
                  <c:v>5.1852314730666351E-4</c:v>
                </c:pt>
                <c:pt idx="8">
                  <c:v>5.1824119790305941E-4</c:v>
                </c:pt>
                <c:pt idx="9">
                  <c:v>5.1795879410705399E-4</c:v>
                </c:pt>
                <c:pt idx="10">
                  <c:v>5.1767594959990077E-4</c:v>
                </c:pt>
                <c:pt idx="11">
                  <c:v>5.1739267777245013E-4</c:v>
                </c:pt>
                <c:pt idx="12">
                  <c:v>5.1710899173098754E-4</c:v>
                </c:pt>
                <c:pt idx="13">
                  <c:v>5.1682490430296295E-4</c:v>
                </c:pt>
                <c:pt idx="14">
                  <c:v>5.1654042804262046E-4</c:v>
                </c:pt>
                <c:pt idx="15">
                  <c:v>5.162555752365206E-4</c:v>
                </c:pt>
                <c:pt idx="16">
                  <c:v>5.1597035790896769E-4</c:v>
                </c:pt>
                <c:pt idx="17">
                  <c:v>5.1568478782733113E-4</c:v>
                </c:pt>
                <c:pt idx="18">
                  <c:v>5.1539887650727369E-4</c:v>
                </c:pt>
                <c:pt idx="19">
                  <c:v>5.1511263521787903E-4</c:v>
                </c:pt>
                <c:pt idx="20">
                  <c:v>5.1482607498668637E-4</c:v>
                </c:pt>
                <c:pt idx="21">
                  <c:v>5.1453920660462875E-4</c:v>
                </c:pt>
                <c:pt idx="22">
                  <c:v>5.1425204063088102E-4</c:v>
                </c:pt>
                <c:pt idx="23">
                  <c:v>5.1396458739761341E-4</c:v>
                </c:pt>
                <c:pt idx="24">
                  <c:v>5.1367685701465804E-4</c:v>
                </c:pt>
                <c:pt idx="25">
                  <c:v>5.1338885937408495E-4</c:v>
                </c:pt>
                <c:pt idx="26">
                  <c:v>5.1310060415469172E-4</c:v>
                </c:pt>
                <c:pt idx="27">
                  <c:v>5.1281210082640611E-4</c:v>
                </c:pt>
                <c:pt idx="28">
                  <c:v>5.1252335865460588E-4</c:v>
                </c:pt>
                <c:pt idx="29">
                  <c:v>5.1223438670435298E-4</c:v>
                </c:pt>
                <c:pt idx="30">
                  <c:v>5.1194519384454857E-4</c:v>
                </c:pt>
                <c:pt idx="31">
                  <c:v>5.1165578875200649E-4</c:v>
                </c:pt>
                <c:pt idx="32">
                  <c:v>5.1136617991544525E-4</c:v>
                </c:pt>
                <c:pt idx="33">
                  <c:v>5.1107637563940626E-4</c:v>
                </c:pt>
                <c:pt idx="34">
                  <c:v>5.1078638404809177E-4</c:v>
                </c:pt>
                <c:pt idx="35">
                  <c:v>5.104962130891295E-4</c:v>
                </c:pt>
                <c:pt idx="36">
                  <c:v>5.1020587053726273E-4</c:v>
                </c:pt>
                <c:pt idx="37">
                  <c:v>5.0991536399796762E-4</c:v>
                </c:pt>
                <c:pt idx="38">
                  <c:v>5.0962470091099827E-4</c:v>
                </c:pt>
                <c:pt idx="39">
                  <c:v>5.0933388855386248E-4</c:v>
                </c:pt>
                <c:pt idx="40">
                  <c:v>5.0904293404522834E-4</c:v>
                </c:pt>
                <c:pt idx="41">
                  <c:v>5.0875184434826166E-4</c:v>
                </c:pt>
                <c:pt idx="42">
                  <c:v>5.084606262738987E-4</c:v>
                </c:pt>
                <c:pt idx="43">
                  <c:v>5.0816928648405191E-4</c:v>
                </c:pt>
                <c:pt idx="44">
                  <c:v>5.0787783149475142E-4</c:v>
                </c:pt>
                <c:pt idx="45">
                  <c:v>5.0758626767922414E-4</c:v>
                </c:pt>
                <c:pt idx="46">
                  <c:v>5.072946012709106E-4</c:v>
                </c:pt>
                <c:pt idx="47">
                  <c:v>5.0700283836641979E-4</c:v>
                </c:pt>
                <c:pt idx="48">
                  <c:v>5.0671098492842577E-4</c:v>
                </c:pt>
                <c:pt idx="49">
                  <c:v>5.0641904678850507E-4</c:v>
                </c:pt>
                <c:pt idx="50">
                  <c:v>5.0612702964991511E-4</c:v>
                </c:pt>
                <c:pt idx="51">
                  <c:v>5.0583493909031824E-4</c:v>
                </c:pt>
                <c:pt idx="52">
                  <c:v>5.0554278056444868E-4</c:v>
                </c:pt>
                <c:pt idx="53">
                  <c:v>5.0525055940672543E-4</c:v>
                </c:pt>
                <c:pt idx="54">
                  <c:v>5.0495828083381216E-4</c:v>
                </c:pt>
                <c:pt idx="55">
                  <c:v>5.0466594994712428E-4</c:v>
                </c:pt>
                <c:pt idx="56">
                  <c:v>5.0437357173528316E-4</c:v>
                </c:pt>
                <c:pt idx="57">
                  <c:v>5.0408115107652279E-4</c:v>
                </c:pt>
                <c:pt idx="58">
                  <c:v>5.0378869274104489E-4</c:v>
                </c:pt>
                <c:pt idx="59">
                  <c:v>5.0349620139332539E-4</c:v>
                </c:pt>
                <c:pt idx="60">
                  <c:v>5.0320368159437439E-4</c:v>
                </c:pt>
                <c:pt idx="61">
                  <c:v>5.029111378039476E-4</c:v>
                </c:pt>
                <c:pt idx="62">
                  <c:v>5.0261857438271417E-4</c:v>
                </c:pt>
                <c:pt idx="63">
                  <c:v>5.0232599559437807E-4</c:v>
                </c:pt>
                <c:pt idx="64">
                  <c:v>5.020334056077551E-4</c:v>
                </c:pt>
                <c:pt idx="65">
                  <c:v>5.0174080849880835E-4</c:v>
                </c:pt>
                <c:pt idx="66">
                  <c:v>5.0144820825263978E-4</c:v>
                </c:pt>
                <c:pt idx="67">
                  <c:v>5.0115560876544027E-4</c:v>
                </c:pt>
                <c:pt idx="68">
                  <c:v>5.0086301384640031E-4</c:v>
                </c:pt>
                <c:pt idx="69">
                  <c:v>5.0057042721957947E-4</c:v>
                </c:pt>
                <c:pt idx="70">
                  <c:v>5.0027785252573602E-4</c:v>
                </c:pt>
                <c:pt idx="71">
                  <c:v>4.9998529332412128E-4</c:v>
                </c:pt>
                <c:pt idx="72">
                  <c:v>4.9969275309423328E-4</c:v>
                </c:pt>
                <c:pt idx="73">
                  <c:v>4.9940023523753388E-4</c:v>
                </c:pt>
                <c:pt idx="74">
                  <c:v>4.9910774307913234E-4</c:v>
                </c:pt>
                <c:pt idx="75">
                  <c:v>4.9881527986942982E-4</c:v>
                </c:pt>
                <c:pt idx="76">
                  <c:v>4.985228487857325E-4</c:v>
                </c:pt>
                <c:pt idx="77">
                  <c:v>4.9823045293382847E-4</c:v>
                </c:pt>
                <c:pt idx="78">
                  <c:v>4.979380953495327E-4</c:v>
                </c:pt>
                <c:pt idx="79">
                  <c:v>4.9764577900019726E-4</c:v>
                </c:pt>
                <c:pt idx="80">
                  <c:v>4.9735350678619349E-4</c:v>
                </c:pt>
                <c:pt idx="81">
                  <c:v>4.9706128154235868E-4</c:v>
                </c:pt>
                <c:pt idx="82">
                  <c:v>4.9676910603941432E-4</c:v>
                </c:pt>
                <c:pt idx="83">
                  <c:v>4.9647698298535385E-4</c:v>
                </c:pt>
                <c:pt idx="84">
                  <c:v>4.9618491502680096E-4</c:v>
                </c:pt>
                <c:pt idx="85">
                  <c:v>4.9589290475033861E-4</c:v>
                </c:pt>
                <c:pt idx="86">
                  <c:v>4.9560095468381042E-4</c:v>
                </c:pt>
                <c:pt idx="87">
                  <c:v>4.9530906729759467E-4</c:v>
                </c:pt>
                <c:pt idx="88">
                  <c:v>4.9501724500584888E-4</c:v>
                </c:pt>
                <c:pt idx="89">
                  <c:v>4.9472549016773171E-4</c:v>
                </c:pt>
                <c:pt idx="90">
                  <c:v>4.9443380508859514E-4</c:v>
                </c:pt>
                <c:pt idx="91">
                  <c:v>4.9414219202115401E-4</c:v>
                </c:pt>
                <c:pt idx="92">
                  <c:v>4.9385065316662777E-4</c:v>
                </c:pt>
                <c:pt idx="93">
                  <c:v>4.9355919067586081E-4</c:v>
                </c:pt>
                <c:pt idx="94">
                  <c:v>4.9326780665041685E-4</c:v>
                </c:pt>
                <c:pt idx="95">
                  <c:v>4.9297650314365045E-4</c:v>
                </c:pt>
                <c:pt idx="96">
                  <c:v>4.926852821617552E-4</c:v>
                </c:pt>
                <c:pt idx="97">
                  <c:v>4.9239414566479116E-4</c:v>
                </c:pt>
                <c:pt idx="98">
                  <c:v>4.9210309556768758E-4</c:v>
                </c:pt>
                <c:pt idx="99">
                  <c:v>4.9181213374122588E-4</c:v>
                </c:pt>
                <c:pt idx="100">
                  <c:v>4.9152126201300198E-4</c:v>
                </c:pt>
                <c:pt idx="101">
                  <c:v>4.9123048216836562E-4</c:v>
                </c:pt>
                <c:pt idx="102">
                  <c:v>4.9123048216836562E-4</c:v>
                </c:pt>
                <c:pt idx="103">
                  <c:v>4.9123048216836562E-4</c:v>
                </c:pt>
                <c:pt idx="104">
                  <c:v>4.9123048216836562E-4</c:v>
                </c:pt>
                <c:pt idx="105">
                  <c:v>4.9123048216836562E-4</c:v>
                </c:pt>
                <c:pt idx="106">
                  <c:v>4.9123048216836562E-4</c:v>
                </c:pt>
                <c:pt idx="107">
                  <c:v>4.9123048216836562E-4</c:v>
                </c:pt>
                <c:pt idx="108">
                  <c:v>4.9123048216836562E-4</c:v>
                </c:pt>
                <c:pt idx="109">
                  <c:v>4.9123048216836562E-4</c:v>
                </c:pt>
                <c:pt idx="110">
                  <c:v>4.9123048216836562E-4</c:v>
                </c:pt>
                <c:pt idx="111">
                  <c:v>4.9123048216836562E-4</c:v>
                </c:pt>
                <c:pt idx="112">
                  <c:v>4.9123048216836562E-4</c:v>
                </c:pt>
                <c:pt idx="113">
                  <c:v>4.9123048216836562E-4</c:v>
                </c:pt>
                <c:pt idx="114">
                  <c:v>4.9123048216836562E-4</c:v>
                </c:pt>
                <c:pt idx="115">
                  <c:v>4.9123048216836562E-4</c:v>
                </c:pt>
                <c:pt idx="116">
                  <c:v>4.9123048216836562E-4</c:v>
                </c:pt>
                <c:pt idx="117">
                  <c:v>4.9123048216836562E-4</c:v>
                </c:pt>
                <c:pt idx="118">
                  <c:v>4.9123048216836562E-4</c:v>
                </c:pt>
                <c:pt idx="119">
                  <c:v>4.9123048216836562E-4</c:v>
                </c:pt>
                <c:pt idx="120">
                  <c:v>4.9123048216836562E-4</c:v>
                </c:pt>
                <c:pt idx="121">
                  <c:v>4.9123048216836562E-4</c:v>
                </c:pt>
                <c:pt idx="122">
                  <c:v>4.9123048216836562E-4</c:v>
                </c:pt>
                <c:pt idx="123">
                  <c:v>4.9123048216836562E-4</c:v>
                </c:pt>
                <c:pt idx="124">
                  <c:v>4.9123048216836562E-4</c:v>
                </c:pt>
                <c:pt idx="125">
                  <c:v>4.9123048216836562E-4</c:v>
                </c:pt>
                <c:pt idx="126">
                  <c:v>4.9123048216836562E-4</c:v>
                </c:pt>
                <c:pt idx="127">
                  <c:v>4.9123048216836562E-4</c:v>
                </c:pt>
                <c:pt idx="128">
                  <c:v>4.9123048216836562E-4</c:v>
                </c:pt>
                <c:pt idx="129">
                  <c:v>4.9123048216836562E-4</c:v>
                </c:pt>
                <c:pt idx="130">
                  <c:v>4.9123048216836562E-4</c:v>
                </c:pt>
                <c:pt idx="131">
                  <c:v>4.9123048216836562E-4</c:v>
                </c:pt>
                <c:pt idx="132">
                  <c:v>4.9123048216836562E-4</c:v>
                </c:pt>
                <c:pt idx="133">
                  <c:v>4.9123048216836562E-4</c:v>
                </c:pt>
                <c:pt idx="134">
                  <c:v>4.9123048216836562E-4</c:v>
                </c:pt>
                <c:pt idx="135">
                  <c:v>4.9123048216836562E-4</c:v>
                </c:pt>
                <c:pt idx="136">
                  <c:v>4.9123048216836562E-4</c:v>
                </c:pt>
                <c:pt idx="137">
                  <c:v>4.9123048216836562E-4</c:v>
                </c:pt>
                <c:pt idx="138">
                  <c:v>4.9123048216836562E-4</c:v>
                </c:pt>
                <c:pt idx="139">
                  <c:v>4.9123048216836562E-4</c:v>
                </c:pt>
                <c:pt idx="140">
                  <c:v>4.9123048216836562E-4</c:v>
                </c:pt>
                <c:pt idx="141">
                  <c:v>4.9123048216836562E-4</c:v>
                </c:pt>
                <c:pt idx="142">
                  <c:v>4.9123048216836562E-4</c:v>
                </c:pt>
                <c:pt idx="143">
                  <c:v>4.9123048216836562E-4</c:v>
                </c:pt>
                <c:pt idx="144">
                  <c:v>4.9123048216836562E-4</c:v>
                </c:pt>
                <c:pt idx="145">
                  <c:v>4.9123048216836562E-4</c:v>
                </c:pt>
                <c:pt idx="146">
                  <c:v>4.9123048216836562E-4</c:v>
                </c:pt>
                <c:pt idx="147">
                  <c:v>4.9123048216836562E-4</c:v>
                </c:pt>
                <c:pt idx="148">
                  <c:v>4.9123048216836562E-4</c:v>
                </c:pt>
                <c:pt idx="149">
                  <c:v>4.9123048216836562E-4</c:v>
                </c:pt>
                <c:pt idx="150">
                  <c:v>4.9123048216836562E-4</c:v>
                </c:pt>
                <c:pt idx="151">
                  <c:v>4.9123048216836562E-4</c:v>
                </c:pt>
                <c:pt idx="152">
                  <c:v>4.9123048216836562E-4</c:v>
                </c:pt>
                <c:pt idx="153">
                  <c:v>4.9123048216836562E-4</c:v>
                </c:pt>
                <c:pt idx="154">
                  <c:v>4.9123048216836562E-4</c:v>
                </c:pt>
                <c:pt idx="155">
                  <c:v>4.9123048216836562E-4</c:v>
                </c:pt>
                <c:pt idx="156">
                  <c:v>4.9123048216836562E-4</c:v>
                </c:pt>
                <c:pt idx="157">
                  <c:v>4.9123048216836562E-4</c:v>
                </c:pt>
                <c:pt idx="158">
                  <c:v>4.9123048216836562E-4</c:v>
                </c:pt>
                <c:pt idx="159">
                  <c:v>4.9123048216836562E-4</c:v>
                </c:pt>
                <c:pt idx="160">
                  <c:v>4.9123048216836562E-4</c:v>
                </c:pt>
                <c:pt idx="161">
                  <c:v>4.9123048216836562E-4</c:v>
                </c:pt>
                <c:pt idx="162">
                  <c:v>4.9123048216836562E-4</c:v>
                </c:pt>
                <c:pt idx="163">
                  <c:v>4.9123048216836562E-4</c:v>
                </c:pt>
                <c:pt idx="164">
                  <c:v>4.9123048216836562E-4</c:v>
                </c:pt>
                <c:pt idx="165">
                  <c:v>4.9123048216836562E-4</c:v>
                </c:pt>
                <c:pt idx="166">
                  <c:v>4.9123048216836562E-4</c:v>
                </c:pt>
                <c:pt idx="167">
                  <c:v>4.9123048216836562E-4</c:v>
                </c:pt>
                <c:pt idx="168">
                  <c:v>4.9123048216836562E-4</c:v>
                </c:pt>
                <c:pt idx="169">
                  <c:v>4.9123048216836562E-4</c:v>
                </c:pt>
                <c:pt idx="170">
                  <c:v>4.9123048216836562E-4</c:v>
                </c:pt>
                <c:pt idx="171">
                  <c:v>4.9123048216836562E-4</c:v>
                </c:pt>
                <c:pt idx="172">
                  <c:v>4.9123048216836562E-4</c:v>
                </c:pt>
                <c:pt idx="173">
                  <c:v>4.9123048216836562E-4</c:v>
                </c:pt>
                <c:pt idx="174">
                  <c:v>4.9123048216836562E-4</c:v>
                </c:pt>
                <c:pt idx="175">
                  <c:v>4.9123048216836562E-4</c:v>
                </c:pt>
                <c:pt idx="176">
                  <c:v>4.9123048216836562E-4</c:v>
                </c:pt>
                <c:pt idx="177">
                  <c:v>4.9123048216836562E-4</c:v>
                </c:pt>
                <c:pt idx="178">
                  <c:v>4.9123048216836562E-4</c:v>
                </c:pt>
                <c:pt idx="179">
                  <c:v>4.9123048216836562E-4</c:v>
                </c:pt>
                <c:pt idx="180">
                  <c:v>4.9123048216836562E-4</c:v>
                </c:pt>
                <c:pt idx="181">
                  <c:v>4.9123048216836562E-4</c:v>
                </c:pt>
                <c:pt idx="182">
                  <c:v>4.9123048216836562E-4</c:v>
                </c:pt>
                <c:pt idx="183">
                  <c:v>4.9123048216836562E-4</c:v>
                </c:pt>
                <c:pt idx="184">
                  <c:v>4.9123048216836562E-4</c:v>
                </c:pt>
                <c:pt idx="185">
                  <c:v>4.9123048216836562E-4</c:v>
                </c:pt>
                <c:pt idx="186">
                  <c:v>4.9123048216836562E-4</c:v>
                </c:pt>
                <c:pt idx="187">
                  <c:v>4.9123048216836562E-4</c:v>
                </c:pt>
                <c:pt idx="188">
                  <c:v>4.9123048216836562E-4</c:v>
                </c:pt>
                <c:pt idx="189">
                  <c:v>4.9123048216836562E-4</c:v>
                </c:pt>
                <c:pt idx="190">
                  <c:v>4.9123048216836562E-4</c:v>
                </c:pt>
                <c:pt idx="191">
                  <c:v>4.9123048216836562E-4</c:v>
                </c:pt>
                <c:pt idx="192">
                  <c:v>4.9123048216836562E-4</c:v>
                </c:pt>
                <c:pt idx="193">
                  <c:v>4.9123048216836562E-4</c:v>
                </c:pt>
                <c:pt idx="194">
                  <c:v>4.9123048216836562E-4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09-49A0-BE36-AFAB4ACCFDCA}"/>
            </c:ext>
          </c:extLst>
        </c:ser>
        <c:ser>
          <c:idx val="2"/>
          <c:order val="2"/>
          <c:tx>
            <c:strRef>
              <c:f>Model!$T$4</c:f>
              <c:strCache>
                <c:ptCount val="1"/>
                <c:pt idx="0">
                  <c:v>O2*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Model!$A$5:$A$199</c:f>
              <c:numCache>
                <c:formatCode>0.00</c:formatCode>
                <c:ptCount val="19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</c:numCache>
            </c:numRef>
          </c:xVal>
          <c:yVal>
            <c:numRef>
              <c:f>Model!$T$5:$T$199</c:f>
              <c:numCache>
                <c:formatCode>0.0000</c:formatCode>
                <c:ptCount val="195"/>
                <c:pt idx="0">
                  <c:v>0.29727199151301559</c:v>
                </c:pt>
                <c:pt idx="1">
                  <c:v>0.29727443201555975</c:v>
                </c:pt>
                <c:pt idx="2">
                  <c:v>0.2972768217556454</c:v>
                </c:pt>
                <c:pt idx="3">
                  <c:v>0.29727916178723746</c:v>
                </c:pt>
                <c:pt idx="4">
                  <c:v>0.29728145314312093</c:v>
                </c:pt>
                <c:pt idx="5">
                  <c:v>0.29728369683529787</c:v>
                </c:pt>
                <c:pt idx="6">
                  <c:v>0.29728589385537557</c:v>
                </c:pt>
                <c:pt idx="7">
                  <c:v>0.29728804517495072</c:v>
                </c:pt>
                <c:pt idx="8">
                  <c:v>0.2972901517459865</c:v>
                </c:pt>
                <c:pt idx="9">
                  <c:v>0.29729221450118387</c:v>
                </c:pt>
                <c:pt idx="10">
                  <c:v>0.29729423435434743</c:v>
                </c:pt>
                <c:pt idx="11">
                  <c:v>0.29729621220074398</c:v>
                </c:pt>
                <c:pt idx="12">
                  <c:v>0.29729814891745732</c:v>
                </c:pt>
                <c:pt idx="13">
                  <c:v>0.29730004536373561</c:v>
                </c:pt>
                <c:pt idx="14">
                  <c:v>0.29730190238133364</c:v>
                </c:pt>
                <c:pt idx="15">
                  <c:v>0.29730372079484885</c:v>
                </c:pt>
                <c:pt idx="16">
                  <c:v>0.29730550141205325</c:v>
                </c:pt>
                <c:pt idx="17">
                  <c:v>0.29730724502421746</c:v>
                </c:pt>
                <c:pt idx="18">
                  <c:v>0.2973089524064314</c:v>
                </c:pt>
                <c:pt idx="19">
                  <c:v>0.29731062431791799</c:v>
                </c:pt>
                <c:pt idx="20">
                  <c:v>0.29731226150234252</c:v>
                </c:pt>
                <c:pt idx="21">
                  <c:v>0.2973138646881156</c:v>
                </c:pt>
                <c:pt idx="22">
                  <c:v>0.29731543458869231</c:v>
                </c:pt>
                <c:pt idx="23">
                  <c:v>0.29731697190286438</c:v>
                </c:pt>
                <c:pt idx="24">
                  <c:v>0.29731847731504873</c:v>
                </c:pt>
                <c:pt idx="25">
                  <c:v>0.29731995149557044</c:v>
                </c:pt>
                <c:pt idx="26">
                  <c:v>0.29732139510093986</c:v>
                </c:pt>
                <c:pt idx="27">
                  <c:v>0.29732280877412604</c:v>
                </c:pt>
                <c:pt idx="28">
                  <c:v>0.297324193144825</c:v>
                </c:pt>
                <c:pt idx="29">
                  <c:v>0.29732554882972206</c:v>
                </c:pt>
                <c:pt idx="30">
                  <c:v>0.29732687643275091</c:v>
                </c:pt>
                <c:pt idx="31">
                  <c:v>0.2973281765453476</c:v>
                </c:pt>
                <c:pt idx="32">
                  <c:v>0.29732944974669839</c:v>
                </c:pt>
                <c:pt idx="33">
                  <c:v>0.29733069660398614</c:v>
                </c:pt>
                <c:pt idx="34">
                  <c:v>0.29733191767262851</c:v>
                </c:pt>
                <c:pt idx="35">
                  <c:v>0.29733311349651481</c:v>
                </c:pt>
                <c:pt idx="36">
                  <c:v>0.29733428460823697</c:v>
                </c:pt>
                <c:pt idx="37">
                  <c:v>0.29733543152931635</c:v>
                </c:pt>
                <c:pt idx="38">
                  <c:v>0.2973365547704267</c:v>
                </c:pt>
                <c:pt idx="39">
                  <c:v>0.29733765483161212</c:v>
                </c:pt>
                <c:pt idx="40">
                  <c:v>0.29733873220250279</c:v>
                </c:pt>
                <c:pt idx="41">
                  <c:v>0.29733978736252387</c:v>
                </c:pt>
                <c:pt idx="42">
                  <c:v>0.29734082078110324</c:v>
                </c:pt>
                <c:pt idx="43">
                  <c:v>0.29734183291787314</c:v>
                </c:pt>
                <c:pt idx="44">
                  <c:v>0.2973428242228694</c:v>
                </c:pt>
                <c:pt idx="45">
                  <c:v>0.2973437951367261</c:v>
                </c:pt>
                <c:pt idx="46">
                  <c:v>0.29734474609086703</c:v>
                </c:pt>
                <c:pt idx="47">
                  <c:v>0.29734567750769253</c:v>
                </c:pt>
                <c:pt idx="48">
                  <c:v>0.29734658980076423</c:v>
                </c:pt>
                <c:pt idx="49">
                  <c:v>0.29734748337498501</c:v>
                </c:pt>
                <c:pt idx="50">
                  <c:v>0.29734835862677561</c:v>
                </c:pt>
                <c:pt idx="51">
                  <c:v>0.2973492159442489</c:v>
                </c:pt>
                <c:pt idx="52">
                  <c:v>0.29735005570737888</c:v>
                </c:pt>
                <c:pt idx="53">
                  <c:v>0.29735087828816836</c:v>
                </c:pt>
                <c:pt idx="54">
                  <c:v>0.29735168405081208</c:v>
                </c:pt>
                <c:pt idx="55">
                  <c:v>0.29735247335185727</c:v>
                </c:pt>
                <c:pt idx="56">
                  <c:v>0.29735324654036049</c:v>
                </c:pt>
                <c:pt idx="57">
                  <c:v>0.29735400395804173</c:v>
                </c:pt>
                <c:pt idx="58">
                  <c:v>0.297354745939436</c:v>
                </c:pt>
                <c:pt idx="59">
                  <c:v>0.29735547281204106</c:v>
                </c:pt>
                <c:pt idx="60">
                  <c:v>0.29735618489646254</c:v>
                </c:pt>
                <c:pt idx="61">
                  <c:v>0.29735688250655612</c:v>
                </c:pt>
                <c:pt idx="62">
                  <c:v>0.29735756594956753</c:v>
                </c:pt>
                <c:pt idx="63">
                  <c:v>0.29735823552626878</c:v>
                </c:pt>
                <c:pt idx="64">
                  <c:v>0.29735889153109213</c:v>
                </c:pt>
                <c:pt idx="65">
                  <c:v>0.29735953425226175</c:v>
                </c:pt>
                <c:pt idx="66">
                  <c:v>0.29736016397192228</c:v>
                </c:pt>
                <c:pt idx="67">
                  <c:v>0.2973607809662645</c:v>
                </c:pt>
                <c:pt idx="68">
                  <c:v>0.29736138550564978</c:v>
                </c:pt>
                <c:pt idx="69">
                  <c:v>0.29736197785473051</c:v>
                </c:pt>
                <c:pt idx="70">
                  <c:v>0.2973625582725688</c:v>
                </c:pt>
                <c:pt idx="71">
                  <c:v>0.29736312701275319</c:v>
                </c:pt>
                <c:pt idx="72">
                  <c:v>0.29736368432351246</c:v>
                </c:pt>
                <c:pt idx="73">
                  <c:v>0.29736423044782684</c:v>
                </c:pt>
                <c:pt idx="74">
                  <c:v>0.2973647656235382</c:v>
                </c:pt>
                <c:pt idx="75">
                  <c:v>0.29736529008345625</c:v>
                </c:pt>
                <c:pt idx="76">
                  <c:v>0.29736580405546453</c:v>
                </c:pt>
                <c:pt idx="77">
                  <c:v>0.29736630776262263</c:v>
                </c:pt>
                <c:pt idx="78">
                  <c:v>0.29736680142326744</c:v>
                </c:pt>
                <c:pt idx="79">
                  <c:v>0.29736728525111095</c:v>
                </c:pt>
                <c:pt idx="80">
                  <c:v>0.29736775945533844</c:v>
                </c:pt>
                <c:pt idx="81">
                  <c:v>0.29736822424070214</c:v>
                </c:pt>
                <c:pt idx="82">
                  <c:v>0.29736867980761422</c:v>
                </c:pt>
                <c:pt idx="83">
                  <c:v>0.29736912635223811</c:v>
                </c:pt>
                <c:pt idx="84">
                  <c:v>0.29736956406657716</c:v>
                </c:pt>
                <c:pt idx="85">
                  <c:v>0.29736999313856233</c:v>
                </c:pt>
                <c:pt idx="86">
                  <c:v>0.29737041375213691</c:v>
                </c:pt>
                <c:pt idx="87">
                  <c:v>0.29737082608734094</c:v>
                </c:pt>
                <c:pt idx="88">
                  <c:v>0.29737123032039287</c:v>
                </c:pt>
                <c:pt idx="89">
                  <c:v>0.29737162662376987</c:v>
                </c:pt>
                <c:pt idx="90">
                  <c:v>0.29737201516628659</c:v>
                </c:pt>
                <c:pt idx="91">
                  <c:v>0.29737239611317223</c:v>
                </c:pt>
                <c:pt idx="92">
                  <c:v>0.29737276962614556</c:v>
                </c:pt>
                <c:pt idx="93">
                  <c:v>0.29737313586348918</c:v>
                </c:pt>
                <c:pt idx="94">
                  <c:v>0.29737349498012194</c:v>
                </c:pt>
                <c:pt idx="95">
                  <c:v>0.29737384712766957</c:v>
                </c:pt>
                <c:pt idx="96">
                  <c:v>0.29737419245453406</c:v>
                </c:pt>
                <c:pt idx="97">
                  <c:v>0.29737453110596185</c:v>
                </c:pt>
                <c:pt idx="98">
                  <c:v>0.29737486322411016</c:v>
                </c:pt>
                <c:pt idx="99">
                  <c:v>0.29737518894811216</c:v>
                </c:pt>
                <c:pt idx="100">
                  <c:v>0.29737550841414118</c:v>
                </c:pt>
                <c:pt idx="101">
                  <c:v>0.29737582175547256</c:v>
                </c:pt>
                <c:pt idx="102">
                  <c:v>0.29737582175547256</c:v>
                </c:pt>
                <c:pt idx="103">
                  <c:v>0.29737582175547256</c:v>
                </c:pt>
                <c:pt idx="104">
                  <c:v>0.29737582175547256</c:v>
                </c:pt>
                <c:pt idx="105">
                  <c:v>0.29737582175547256</c:v>
                </c:pt>
                <c:pt idx="106">
                  <c:v>0.29737582175547256</c:v>
                </c:pt>
                <c:pt idx="107">
                  <c:v>0.29737582175547256</c:v>
                </c:pt>
                <c:pt idx="108">
                  <c:v>0.29737582175547256</c:v>
                </c:pt>
                <c:pt idx="109">
                  <c:v>0.29737582175547256</c:v>
                </c:pt>
                <c:pt idx="110">
                  <c:v>0.29737582175547256</c:v>
                </c:pt>
                <c:pt idx="111">
                  <c:v>0.29737582175547256</c:v>
                </c:pt>
                <c:pt idx="112">
                  <c:v>0.29737582175547256</c:v>
                </c:pt>
                <c:pt idx="113">
                  <c:v>0.29737582175547256</c:v>
                </c:pt>
                <c:pt idx="114">
                  <c:v>0.29737582175547256</c:v>
                </c:pt>
                <c:pt idx="115">
                  <c:v>0.29737582175547256</c:v>
                </c:pt>
                <c:pt idx="116">
                  <c:v>0.29737582175547256</c:v>
                </c:pt>
                <c:pt idx="117">
                  <c:v>0.29737582175547256</c:v>
                </c:pt>
                <c:pt idx="118">
                  <c:v>0.29737582175547256</c:v>
                </c:pt>
                <c:pt idx="119">
                  <c:v>0.29737582175547256</c:v>
                </c:pt>
                <c:pt idx="120">
                  <c:v>0.29737582175547256</c:v>
                </c:pt>
                <c:pt idx="121">
                  <c:v>0.29737582175547256</c:v>
                </c:pt>
                <c:pt idx="122">
                  <c:v>0.29737582175547256</c:v>
                </c:pt>
                <c:pt idx="123">
                  <c:v>0.29737582175547256</c:v>
                </c:pt>
                <c:pt idx="124">
                  <c:v>0.29737582175547256</c:v>
                </c:pt>
                <c:pt idx="125">
                  <c:v>0.29737582175547256</c:v>
                </c:pt>
                <c:pt idx="126">
                  <c:v>0.29737582175547256</c:v>
                </c:pt>
                <c:pt idx="127">
                  <c:v>0.29737582175547256</c:v>
                </c:pt>
                <c:pt idx="128">
                  <c:v>0.29737582175547256</c:v>
                </c:pt>
                <c:pt idx="129">
                  <c:v>0.29737582175547256</c:v>
                </c:pt>
                <c:pt idx="130">
                  <c:v>0.29737582175547256</c:v>
                </c:pt>
                <c:pt idx="131">
                  <c:v>0.29737582175547256</c:v>
                </c:pt>
                <c:pt idx="132">
                  <c:v>0.29737582175547256</c:v>
                </c:pt>
                <c:pt idx="133">
                  <c:v>0.29737582175547256</c:v>
                </c:pt>
                <c:pt idx="134">
                  <c:v>0.29737582175547256</c:v>
                </c:pt>
                <c:pt idx="135">
                  <c:v>0.29737582175547256</c:v>
                </c:pt>
                <c:pt idx="136">
                  <c:v>0.29737582175547256</c:v>
                </c:pt>
                <c:pt idx="137">
                  <c:v>0.29737582175547256</c:v>
                </c:pt>
                <c:pt idx="138">
                  <c:v>0.29737582175547256</c:v>
                </c:pt>
                <c:pt idx="139">
                  <c:v>0.29737582175547256</c:v>
                </c:pt>
                <c:pt idx="140">
                  <c:v>0.29737582175547256</c:v>
                </c:pt>
                <c:pt idx="141">
                  <c:v>0.29737582175547256</c:v>
                </c:pt>
                <c:pt idx="142">
                  <c:v>0.29737582175547256</c:v>
                </c:pt>
                <c:pt idx="143">
                  <c:v>0.29737582175547256</c:v>
                </c:pt>
                <c:pt idx="144">
                  <c:v>0.29737582175547256</c:v>
                </c:pt>
                <c:pt idx="145">
                  <c:v>0.29737582175547256</c:v>
                </c:pt>
                <c:pt idx="146">
                  <c:v>0.29737582175547256</c:v>
                </c:pt>
                <c:pt idx="147">
                  <c:v>0.29737582175547256</c:v>
                </c:pt>
                <c:pt idx="148">
                  <c:v>0.29737582175547256</c:v>
                </c:pt>
                <c:pt idx="149">
                  <c:v>0.29737582175547256</c:v>
                </c:pt>
                <c:pt idx="150">
                  <c:v>0.29737582175547256</c:v>
                </c:pt>
                <c:pt idx="151">
                  <c:v>0.29737582175547256</c:v>
                </c:pt>
                <c:pt idx="152">
                  <c:v>0.29737582175547256</c:v>
                </c:pt>
                <c:pt idx="153">
                  <c:v>0.29737582175547256</c:v>
                </c:pt>
                <c:pt idx="154">
                  <c:v>0.29737582175547256</c:v>
                </c:pt>
                <c:pt idx="155">
                  <c:v>0.29737582175547256</c:v>
                </c:pt>
                <c:pt idx="156">
                  <c:v>0.29737582175547256</c:v>
                </c:pt>
                <c:pt idx="157">
                  <c:v>0.29737582175547256</c:v>
                </c:pt>
                <c:pt idx="158">
                  <c:v>0.29737582175547256</c:v>
                </c:pt>
                <c:pt idx="159">
                  <c:v>0.29737582175547256</c:v>
                </c:pt>
                <c:pt idx="160">
                  <c:v>0.29737582175547256</c:v>
                </c:pt>
                <c:pt idx="161">
                  <c:v>0.29737582175547256</c:v>
                </c:pt>
                <c:pt idx="162">
                  <c:v>0.29737582175547256</c:v>
                </c:pt>
                <c:pt idx="163">
                  <c:v>0.29737582175547256</c:v>
                </c:pt>
                <c:pt idx="164">
                  <c:v>0.29737582175547256</c:v>
                </c:pt>
                <c:pt idx="165">
                  <c:v>0.29737582175547256</c:v>
                </c:pt>
                <c:pt idx="166">
                  <c:v>0.29737582175547256</c:v>
                </c:pt>
                <c:pt idx="167">
                  <c:v>0.29737582175547256</c:v>
                </c:pt>
                <c:pt idx="168">
                  <c:v>0.29737582175547256</c:v>
                </c:pt>
                <c:pt idx="169">
                  <c:v>0.29737582175547256</c:v>
                </c:pt>
                <c:pt idx="170">
                  <c:v>0.29737582175547256</c:v>
                </c:pt>
                <c:pt idx="171">
                  <c:v>0.29737582175547256</c:v>
                </c:pt>
                <c:pt idx="172">
                  <c:v>0.29737582175547256</c:v>
                </c:pt>
                <c:pt idx="173">
                  <c:v>0.29737582175547256</c:v>
                </c:pt>
                <c:pt idx="174">
                  <c:v>0.29737582175547256</c:v>
                </c:pt>
                <c:pt idx="175">
                  <c:v>0.29737582175547256</c:v>
                </c:pt>
                <c:pt idx="176">
                  <c:v>0.29737582175547256</c:v>
                </c:pt>
                <c:pt idx="177">
                  <c:v>0.29737582175547256</c:v>
                </c:pt>
                <c:pt idx="178">
                  <c:v>0.29737582175547256</c:v>
                </c:pt>
                <c:pt idx="179">
                  <c:v>0.29737582175547256</c:v>
                </c:pt>
                <c:pt idx="180">
                  <c:v>0.29737582175547256</c:v>
                </c:pt>
                <c:pt idx="181">
                  <c:v>0.29737582175547256</c:v>
                </c:pt>
                <c:pt idx="182">
                  <c:v>0.29737582175547256</c:v>
                </c:pt>
                <c:pt idx="183">
                  <c:v>0.29737582175547256</c:v>
                </c:pt>
                <c:pt idx="184">
                  <c:v>0.29737582175547256</c:v>
                </c:pt>
                <c:pt idx="185">
                  <c:v>0.29737582175547256</c:v>
                </c:pt>
                <c:pt idx="186">
                  <c:v>0.29737582175547256</c:v>
                </c:pt>
                <c:pt idx="187">
                  <c:v>0.29737582175547256</c:v>
                </c:pt>
                <c:pt idx="188">
                  <c:v>0.29737582175547256</c:v>
                </c:pt>
                <c:pt idx="189">
                  <c:v>0.29737582175547256</c:v>
                </c:pt>
                <c:pt idx="190">
                  <c:v>0.29737582175547256</c:v>
                </c:pt>
                <c:pt idx="191">
                  <c:v>0.29737582175547256</c:v>
                </c:pt>
                <c:pt idx="192">
                  <c:v>0.29737582175547256</c:v>
                </c:pt>
                <c:pt idx="193">
                  <c:v>0.29737582175547256</c:v>
                </c:pt>
                <c:pt idx="194">
                  <c:v>0.29737582175547256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09-49A0-BE36-AFAB4ACCFDCA}"/>
            </c:ext>
          </c:extLst>
        </c:ser>
        <c:ser>
          <c:idx val="3"/>
          <c:order val="3"/>
          <c:tx>
            <c:strRef>
              <c:f>Model!$U$4</c:f>
              <c:strCache>
                <c:ptCount val="1"/>
                <c:pt idx="0">
                  <c:v>O*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Model!$A$5:$A$199</c:f>
              <c:numCache>
                <c:formatCode>0.00</c:formatCode>
                <c:ptCount val="19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</c:numCache>
            </c:numRef>
          </c:xVal>
          <c:yVal>
            <c:numRef>
              <c:f>Model!$U$5:$U$199</c:f>
              <c:numCache>
                <c:formatCode>0.0000</c:formatCode>
                <c:ptCount val="195"/>
                <c:pt idx="0">
                  <c:v>0.6837300890296133</c:v>
                </c:pt>
                <c:pt idx="1">
                  <c:v>0.68375234186288403</c:v>
                </c:pt>
                <c:pt idx="2">
                  <c:v>0.68377412928096737</c:v>
                </c:pt>
                <c:pt idx="3">
                  <c:v>0.68379546099766952</c:v>
                </c:pt>
                <c:pt idx="4">
                  <c:v>0.68381634652948564</c:v>
                </c:pt>
                <c:pt idx="5">
                  <c:v>0.68383679519937812</c:v>
                </c:pt>
                <c:pt idx="6">
                  <c:v>0.68385681614048932</c:v>
                </c:pt>
                <c:pt idx="7">
                  <c:v>0.68387641829979517</c:v>
                </c:pt>
                <c:pt idx="8">
                  <c:v>0.68389561044169567</c:v>
                </c:pt>
                <c:pt idx="9">
                  <c:v>0.68391440115154578</c:v>
                </c:pt>
                <c:pt idx="10">
                  <c:v>0.68393279883912583</c:v>
                </c:pt>
                <c:pt idx="11">
                  <c:v>0.68395081174205241</c:v>
                </c:pt>
                <c:pt idx="12">
                  <c:v>0.68396844792913214</c:v>
                </c:pt>
                <c:pt idx="13">
                  <c:v>0.68398571530365471</c:v>
                </c:pt>
                <c:pt idx="14">
                  <c:v>0.68400262160663172</c:v>
                </c:pt>
                <c:pt idx="15">
                  <c:v>0.68401917441997606</c:v>
                </c:pt>
                <c:pt idx="16">
                  <c:v>0.68403538116962825</c:v>
                </c:pt>
                <c:pt idx="17">
                  <c:v>0.68405124912862436</c:v>
                </c:pt>
                <c:pt idx="18">
                  <c:v>0.68406678542011301</c:v>
                </c:pt>
                <c:pt idx="19">
                  <c:v>0.68408199702031514</c:v>
                </c:pt>
                <c:pt idx="20">
                  <c:v>0.68409689076143276</c:v>
                </c:pt>
                <c:pt idx="21">
                  <c:v>0.68411147333450506</c:v>
                </c:pt>
                <c:pt idx="22">
                  <c:v>0.68412575129221287</c:v>
                </c:pt>
                <c:pt idx="23">
                  <c:v>0.68413973105163151</c:v>
                </c:pt>
                <c:pt idx="24">
                  <c:v>0.68415341889693349</c:v>
                </c:pt>
                <c:pt idx="25">
                  <c:v>0.68416682098204362</c:v>
                </c:pt>
                <c:pt idx="26">
                  <c:v>0.68417994333324195</c:v>
                </c:pt>
                <c:pt idx="27">
                  <c:v>0.68419279185172177</c:v>
                </c:pt>
                <c:pt idx="28">
                  <c:v>0.68420537231609901</c:v>
                </c:pt>
                <c:pt idx="29">
                  <c:v>0.68421769038487434</c:v>
                </c:pt>
                <c:pt idx="30">
                  <c:v>0.68422975159885024</c:v>
                </c:pt>
                <c:pt idx="31">
                  <c:v>0.68424156138350312</c:v>
                </c:pt>
                <c:pt idx="32">
                  <c:v>0.68425312505130942</c:v>
                </c:pt>
                <c:pt idx="33">
                  <c:v>0.68426444780402995</c:v>
                </c:pt>
                <c:pt idx="34">
                  <c:v>0.68427553473494851</c:v>
                </c:pt>
                <c:pt idx="35">
                  <c:v>0.68428639083107134</c:v>
                </c:pt>
                <c:pt idx="36">
                  <c:v>0.68429702097528089</c:v>
                </c:pt>
                <c:pt idx="37">
                  <c:v>0.68430742994845273</c:v>
                </c:pt>
                <c:pt idx="38">
                  <c:v>0.68431762243152761</c:v>
                </c:pt>
                <c:pt idx="39">
                  <c:v>0.6843276030075478</c:v>
                </c:pt>
                <c:pt idx="40">
                  <c:v>0.68433737616365165</c:v>
                </c:pt>
                <c:pt idx="41">
                  <c:v>0.68434694629303017</c:v>
                </c:pt>
                <c:pt idx="42">
                  <c:v>0.68435631769684724</c:v>
                </c:pt>
                <c:pt idx="43">
                  <c:v>0.68436549458612106</c:v>
                </c:pt>
                <c:pt idx="44">
                  <c:v>0.68437448108356858</c:v>
                </c:pt>
                <c:pt idx="45">
                  <c:v>0.68438328122541714</c:v>
                </c:pt>
                <c:pt idx="46">
                  <c:v>0.68439189896317687</c:v>
                </c:pt>
                <c:pt idx="47">
                  <c:v>0.68440033816538071</c:v>
                </c:pt>
                <c:pt idx="48">
                  <c:v>0.68440860261929015</c:v>
                </c:pt>
                <c:pt idx="49">
                  <c:v>0.68441669603256716</c:v>
                </c:pt>
                <c:pt idx="50">
                  <c:v>0.68442462203491283</c:v>
                </c:pt>
                <c:pt idx="51">
                  <c:v>0.68443238417967456</c:v>
                </c:pt>
                <c:pt idx="52">
                  <c:v>0.6844399859454211</c:v>
                </c:pt>
                <c:pt idx="53">
                  <c:v>0.68444743073748604</c:v>
                </c:pt>
                <c:pt idx="54">
                  <c:v>0.68445472188948153</c:v>
                </c:pt>
                <c:pt idx="55">
                  <c:v>0.68446186266478115</c:v>
                </c:pt>
                <c:pt idx="56">
                  <c:v>0.68446885625797371</c:v>
                </c:pt>
                <c:pt idx="57">
                  <c:v>0.68447570579628758</c:v>
                </c:pt>
                <c:pt idx="58">
                  <c:v>0.68448241434098789</c:v>
                </c:pt>
                <c:pt idx="59">
                  <c:v>0.68448898488874399</c:v>
                </c:pt>
                <c:pt idx="60">
                  <c:v>0.68449542037297106</c:v>
                </c:pt>
                <c:pt idx="61">
                  <c:v>0.68450172366514339</c:v>
                </c:pt>
                <c:pt idx="62">
                  <c:v>0.68450789757608244</c:v>
                </c:pt>
                <c:pt idx="63">
                  <c:v>0.68451394485721928</c:v>
                </c:pt>
                <c:pt idx="64">
                  <c:v>0.68451986820182953</c:v>
                </c:pt>
                <c:pt idx="65">
                  <c:v>0.68452567024624555</c:v>
                </c:pt>
                <c:pt idx="66">
                  <c:v>0.68453135357104355</c:v>
                </c:pt>
                <c:pt idx="67">
                  <c:v>0.68453692070220551</c:v>
                </c:pt>
                <c:pt idx="68">
                  <c:v>0.68454237411226004</c:v>
                </c:pt>
                <c:pt idx="69">
                  <c:v>0.68454771622139676</c:v>
                </c:pt>
                <c:pt idx="70">
                  <c:v>0.68455294939856104</c:v>
                </c:pt>
                <c:pt idx="71">
                  <c:v>0.68455807596252494</c:v>
                </c:pt>
                <c:pt idx="72">
                  <c:v>0.68456309818293737</c:v>
                </c:pt>
                <c:pt idx="73">
                  <c:v>0.68456801828135028</c:v>
                </c:pt>
                <c:pt idx="74">
                  <c:v>0.68457283843222827</c:v>
                </c:pt>
                <c:pt idx="75">
                  <c:v>0.68457756076393317</c:v>
                </c:pt>
                <c:pt idx="76">
                  <c:v>0.68458218735969134</c:v>
                </c:pt>
                <c:pt idx="77">
                  <c:v>0.68458672025854017</c:v>
                </c:pt>
                <c:pt idx="78">
                  <c:v>0.68459116145625509</c:v>
                </c:pt>
                <c:pt idx="79">
                  <c:v>0.68459551290625709</c:v>
                </c:pt>
                <c:pt idx="80">
                  <c:v>0.68459977652050397</c:v>
                </c:pt>
                <c:pt idx="81">
                  <c:v>0.68460395417035946</c:v>
                </c:pt>
                <c:pt idx="82">
                  <c:v>0.68460804768744821</c:v>
                </c:pt>
                <c:pt idx="83">
                  <c:v>0.68461205886449039</c:v>
                </c:pt>
                <c:pt idx="84">
                  <c:v>0.68461598945612079</c:v>
                </c:pt>
                <c:pt idx="85">
                  <c:v>0.68461984117969032</c:v>
                </c:pt>
                <c:pt idx="86">
                  <c:v>0.68462361571605057</c:v>
                </c:pt>
                <c:pt idx="87">
                  <c:v>0.68462731471032345</c:v>
                </c:pt>
                <c:pt idx="88">
                  <c:v>0.68463093977265332</c:v>
                </c:pt>
                <c:pt idx="89">
                  <c:v>0.68463449247894514</c:v>
                </c:pt>
                <c:pt idx="90">
                  <c:v>0.68463797437158591</c:v>
                </c:pt>
                <c:pt idx="91">
                  <c:v>0.68464138696015187</c:v>
                </c:pt>
                <c:pt idx="92">
                  <c:v>0.68464473172210116</c:v>
                </c:pt>
                <c:pt idx="93">
                  <c:v>0.68464801010345144</c:v>
                </c:pt>
                <c:pt idx="94">
                  <c:v>0.68465122351944463</c:v>
                </c:pt>
                <c:pt idx="95">
                  <c:v>0.68465437335519641</c:v>
                </c:pt>
                <c:pt idx="96">
                  <c:v>0.68465746096633273</c:v>
                </c:pt>
                <c:pt idx="97">
                  <c:v>0.68466048767961329</c:v>
                </c:pt>
                <c:pt idx="98">
                  <c:v>0.6846634547935434</c:v>
                </c:pt>
                <c:pt idx="99">
                  <c:v>0.68466636357896848</c:v>
                </c:pt>
                <c:pt idx="100">
                  <c:v>0.68466921527966262</c:v>
                </c:pt>
                <c:pt idx="101">
                  <c:v>0.68467201111289944</c:v>
                </c:pt>
                <c:pt idx="102">
                  <c:v>0.68467201111289944</c:v>
                </c:pt>
                <c:pt idx="103">
                  <c:v>0.68467201111289944</c:v>
                </c:pt>
                <c:pt idx="104">
                  <c:v>0.68467201111289944</c:v>
                </c:pt>
                <c:pt idx="105">
                  <c:v>0.68467201111289944</c:v>
                </c:pt>
                <c:pt idx="106">
                  <c:v>0.68467201111289944</c:v>
                </c:pt>
                <c:pt idx="107">
                  <c:v>0.68467201111289944</c:v>
                </c:pt>
                <c:pt idx="108">
                  <c:v>0.68467201111289944</c:v>
                </c:pt>
                <c:pt idx="109">
                  <c:v>0.68467201111289944</c:v>
                </c:pt>
                <c:pt idx="110">
                  <c:v>0.68467201111289944</c:v>
                </c:pt>
                <c:pt idx="111">
                  <c:v>0.68467201111289944</c:v>
                </c:pt>
                <c:pt idx="112">
                  <c:v>0.68467201111289944</c:v>
                </c:pt>
                <c:pt idx="113">
                  <c:v>0.68467201111289944</c:v>
                </c:pt>
                <c:pt idx="114">
                  <c:v>0.68467201111289944</c:v>
                </c:pt>
                <c:pt idx="115">
                  <c:v>0.68467201111289944</c:v>
                </c:pt>
                <c:pt idx="116">
                  <c:v>0.68467201111289944</c:v>
                </c:pt>
                <c:pt idx="117">
                  <c:v>0.68467201111289944</c:v>
                </c:pt>
                <c:pt idx="118">
                  <c:v>0.68467201111289944</c:v>
                </c:pt>
                <c:pt idx="119">
                  <c:v>0.68467201111289944</c:v>
                </c:pt>
                <c:pt idx="120">
                  <c:v>0.68467201111289944</c:v>
                </c:pt>
                <c:pt idx="121">
                  <c:v>0.68467201111289944</c:v>
                </c:pt>
                <c:pt idx="122">
                  <c:v>0.68467201111289944</c:v>
                </c:pt>
                <c:pt idx="123">
                  <c:v>0.68467201111289944</c:v>
                </c:pt>
                <c:pt idx="124">
                  <c:v>0.68467201111289944</c:v>
                </c:pt>
                <c:pt idx="125">
                  <c:v>0.68467201111289944</c:v>
                </c:pt>
                <c:pt idx="126">
                  <c:v>0.68467201111289944</c:v>
                </c:pt>
                <c:pt idx="127">
                  <c:v>0.68467201111289944</c:v>
                </c:pt>
                <c:pt idx="128">
                  <c:v>0.68467201111289944</c:v>
                </c:pt>
                <c:pt idx="129">
                  <c:v>0.68467201111289944</c:v>
                </c:pt>
                <c:pt idx="130">
                  <c:v>0.68467201111289944</c:v>
                </c:pt>
                <c:pt idx="131">
                  <c:v>0.68467201111289944</c:v>
                </c:pt>
                <c:pt idx="132">
                  <c:v>0.68467201111289944</c:v>
                </c:pt>
                <c:pt idx="133">
                  <c:v>0.68467201111289944</c:v>
                </c:pt>
                <c:pt idx="134">
                  <c:v>0.68467201111289944</c:v>
                </c:pt>
                <c:pt idx="135">
                  <c:v>0.68467201111289944</c:v>
                </c:pt>
                <c:pt idx="136">
                  <c:v>0.68467201111289944</c:v>
                </c:pt>
                <c:pt idx="137">
                  <c:v>0.68467201111289944</c:v>
                </c:pt>
                <c:pt idx="138">
                  <c:v>0.68467201111289944</c:v>
                </c:pt>
                <c:pt idx="139">
                  <c:v>0.68467201111289944</c:v>
                </c:pt>
                <c:pt idx="140">
                  <c:v>0.68467201111289944</c:v>
                </c:pt>
                <c:pt idx="141">
                  <c:v>0.68467201111289944</c:v>
                </c:pt>
                <c:pt idx="142">
                  <c:v>0.68467201111289944</c:v>
                </c:pt>
                <c:pt idx="143">
                  <c:v>0.68467201111289944</c:v>
                </c:pt>
                <c:pt idx="144">
                  <c:v>0.68467201111289944</c:v>
                </c:pt>
                <c:pt idx="145">
                  <c:v>0.68467201111289944</c:v>
                </c:pt>
                <c:pt idx="146">
                  <c:v>0.68467201111289944</c:v>
                </c:pt>
                <c:pt idx="147">
                  <c:v>0.68467201111289944</c:v>
                </c:pt>
                <c:pt idx="148">
                  <c:v>0.68467201111289944</c:v>
                </c:pt>
                <c:pt idx="149">
                  <c:v>0.68467201111289944</c:v>
                </c:pt>
                <c:pt idx="150">
                  <c:v>0.68467201111289944</c:v>
                </c:pt>
                <c:pt idx="151">
                  <c:v>0.68467201111289944</c:v>
                </c:pt>
                <c:pt idx="152">
                  <c:v>0.68467201111289944</c:v>
                </c:pt>
                <c:pt idx="153">
                  <c:v>0.68467201111289944</c:v>
                </c:pt>
                <c:pt idx="154">
                  <c:v>0.68467201111289944</c:v>
                </c:pt>
                <c:pt idx="155">
                  <c:v>0.68467201111289944</c:v>
                </c:pt>
                <c:pt idx="156">
                  <c:v>0.68467201111289944</c:v>
                </c:pt>
                <c:pt idx="157">
                  <c:v>0.68467201111289944</c:v>
                </c:pt>
                <c:pt idx="158">
                  <c:v>0.68467201111289944</c:v>
                </c:pt>
                <c:pt idx="159">
                  <c:v>0.68467201111289944</c:v>
                </c:pt>
                <c:pt idx="160">
                  <c:v>0.68467201111289944</c:v>
                </c:pt>
                <c:pt idx="161">
                  <c:v>0.68467201111289944</c:v>
                </c:pt>
                <c:pt idx="162">
                  <c:v>0.68467201111289944</c:v>
                </c:pt>
                <c:pt idx="163">
                  <c:v>0.68467201111289944</c:v>
                </c:pt>
                <c:pt idx="164">
                  <c:v>0.68467201111289944</c:v>
                </c:pt>
                <c:pt idx="165">
                  <c:v>0.68467201111289944</c:v>
                </c:pt>
                <c:pt idx="166">
                  <c:v>0.68467201111289944</c:v>
                </c:pt>
                <c:pt idx="167">
                  <c:v>0.68467201111289944</c:v>
                </c:pt>
                <c:pt idx="168">
                  <c:v>0.68467201111289944</c:v>
                </c:pt>
                <c:pt idx="169">
                  <c:v>0.68467201111289944</c:v>
                </c:pt>
                <c:pt idx="170">
                  <c:v>0.68467201111289944</c:v>
                </c:pt>
                <c:pt idx="171">
                  <c:v>0.68467201111289944</c:v>
                </c:pt>
                <c:pt idx="172">
                  <c:v>0.68467201111289944</c:v>
                </c:pt>
                <c:pt idx="173">
                  <c:v>0.68467201111289944</c:v>
                </c:pt>
                <c:pt idx="174">
                  <c:v>0.68467201111289944</c:v>
                </c:pt>
                <c:pt idx="175">
                  <c:v>0.68467201111289944</c:v>
                </c:pt>
                <c:pt idx="176">
                  <c:v>0.68467201111289944</c:v>
                </c:pt>
                <c:pt idx="177">
                  <c:v>0.68467201111289944</c:v>
                </c:pt>
                <c:pt idx="178">
                  <c:v>0.68467201111289944</c:v>
                </c:pt>
                <c:pt idx="179">
                  <c:v>0.68467201111289944</c:v>
                </c:pt>
                <c:pt idx="180">
                  <c:v>0.68467201111289944</c:v>
                </c:pt>
                <c:pt idx="181">
                  <c:v>0.68467201111289944</c:v>
                </c:pt>
                <c:pt idx="182">
                  <c:v>0.68467201111289944</c:v>
                </c:pt>
                <c:pt idx="183">
                  <c:v>0.68467201111289944</c:v>
                </c:pt>
                <c:pt idx="184">
                  <c:v>0.68467201111289944</c:v>
                </c:pt>
                <c:pt idx="185">
                  <c:v>0.68467201111289944</c:v>
                </c:pt>
                <c:pt idx="186">
                  <c:v>0.68467201111289944</c:v>
                </c:pt>
                <c:pt idx="187">
                  <c:v>0.68467201111289944</c:v>
                </c:pt>
                <c:pt idx="188">
                  <c:v>0.68467201111289944</c:v>
                </c:pt>
                <c:pt idx="189">
                  <c:v>0.68467201111289944</c:v>
                </c:pt>
                <c:pt idx="190">
                  <c:v>0.68467201111289944</c:v>
                </c:pt>
                <c:pt idx="191">
                  <c:v>0.68467201111289944</c:v>
                </c:pt>
                <c:pt idx="192">
                  <c:v>0.68467201111289944</c:v>
                </c:pt>
                <c:pt idx="193">
                  <c:v>0.68467201111289944</c:v>
                </c:pt>
                <c:pt idx="194">
                  <c:v>0.68467201111289944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09-49A0-BE36-AFAB4ACCFDCA}"/>
            </c:ext>
          </c:extLst>
        </c:ser>
        <c:ser>
          <c:idx val="4"/>
          <c:order val="4"/>
          <c:tx>
            <c:strRef>
              <c:f>Model!$V$4</c:f>
              <c:strCache>
                <c:ptCount val="1"/>
                <c:pt idx="0">
                  <c:v>CO2*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Model!$A$5:$A$199</c:f>
              <c:numCache>
                <c:formatCode>0.00</c:formatCode>
                <c:ptCount val="19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</c:numCache>
            </c:numRef>
          </c:xVal>
          <c:yVal>
            <c:numRef>
              <c:f>Model!$V$5:$V$199</c:f>
              <c:numCache>
                <c:formatCode>0.0000</c:formatCode>
                <c:ptCount val="195"/>
                <c:pt idx="0">
                  <c:v>0</c:v>
                </c:pt>
                <c:pt idx="1">
                  <c:v>2.0749437419169877E-9</c:v>
                </c:pt>
                <c:pt idx="2">
                  <c:v>4.1059937172947139E-9</c:v>
                </c:pt>
                <c:pt idx="3">
                  <c:v>6.0940658957346086E-9</c:v>
                </c:pt>
                <c:pt idx="4">
                  <c:v>8.0400576609603802E-9</c:v>
                </c:pt>
                <c:pt idx="5">
                  <c:v>9.9448481657007974E-9</c:v>
                </c:pt>
                <c:pt idx="6">
                  <c:v>1.1809298680743648E-8</c:v>
                </c:pt>
                <c:pt idx="7">
                  <c:v>1.3634252938214753E-8</c:v>
                </c:pt>
                <c:pt idx="8">
                  <c:v>1.5420537469137358E-8</c:v>
                </c:pt>
                <c:pt idx="9">
                  <c:v>1.7168961935328913E-8</c:v>
                </c:pt>
                <c:pt idx="10">
                  <c:v>1.8880319455693323E-8</c:v>
                </c:pt>
                <c:pt idx="11">
                  <c:v>2.0555386926968183E-8</c:v>
                </c:pt>
                <c:pt idx="12">
                  <c:v>2.2194925338987552E-8</c:v>
                </c:pt>
                <c:pt idx="13">
                  <c:v>2.3799680084521654E-8</c:v>
                </c:pt>
                <c:pt idx="14">
                  <c:v>2.5370381263755998E-8</c:v>
                </c:pt>
                <c:pt idx="15">
                  <c:v>2.6907743983472977E-8</c:v>
                </c:pt>
                <c:pt idx="16">
                  <c:v>2.8412468650999943E-8</c:v>
                </c:pt>
                <c:pt idx="17">
                  <c:v>2.9885241262987981E-8</c:v>
                </c:pt>
                <c:pt idx="18">
                  <c:v>3.1326733689086453E-8</c:v>
                </c:pt>
                <c:pt idx="19">
                  <c:v>3.2737603950578656E-8</c:v>
                </c:pt>
                <c:pt idx="20">
                  <c:v>3.411849649404419E-8</c:v>
                </c:pt>
                <c:pt idx="21">
                  <c:v>3.5470042460114133E-8</c:v>
                </c:pt>
                <c:pt idx="22">
                  <c:v>3.6792859947385092E-8</c:v>
                </c:pt>
                <c:pt idx="23">
                  <c:v>3.8087554271558432E-8</c:v>
                </c:pt>
                <c:pt idx="24">
                  <c:v>3.9354718219871085E-8</c:v>
                </c:pt>
                <c:pt idx="25">
                  <c:v>4.0594932300884392E-8</c:v>
                </c:pt>
                <c:pt idx="26">
                  <c:v>4.1808764989697084E-8</c:v>
                </c:pt>
                <c:pt idx="27">
                  <c:v>4.299677296864887E-8</c:v>
                </c:pt>
                <c:pt idx="28">
                  <c:v>4.4159501363580683E-8</c:v>
                </c:pt>
                <c:pt idx="29">
                  <c:v>4.5297483975717399E-8</c:v>
                </c:pt>
                <c:pt idx="30">
                  <c:v>4.6411243509238775E-8</c:v>
                </c:pt>
                <c:pt idx="31">
                  <c:v>4.750129179460401E-8</c:v>
                </c:pt>
                <c:pt idx="32">
                  <c:v>4.8568130007694941E-8</c:v>
                </c:pt>
                <c:pt idx="33">
                  <c:v>4.9612248884842752E-8</c:v>
                </c:pt>
                <c:pt idx="34">
                  <c:v>5.0634128933802297E-8</c:v>
                </c:pt>
                <c:pt idx="35">
                  <c:v>5.1634240640738273E-8</c:v>
                </c:pt>
                <c:pt idx="36">
                  <c:v>5.2613044673286469E-8</c:v>
                </c:pt>
                <c:pt idx="37">
                  <c:v>5.3570992079753427E-8</c:v>
                </c:pt>
                <c:pt idx="38">
                  <c:v>5.450852448451648E-8</c:v>
                </c:pt>
                <c:pt idx="39">
                  <c:v>5.5426074279686984E-8</c:v>
                </c:pt>
                <c:pt idx="40">
                  <c:v>5.6324064813097521E-8</c:v>
                </c:pt>
                <c:pt idx="41">
                  <c:v>5.7202910572674116E-8</c:v>
                </c:pt>
                <c:pt idx="42">
                  <c:v>5.8063017367254359E-8</c:v>
                </c:pt>
                <c:pt idx="43">
                  <c:v>5.8904782503910191E-8</c:v>
                </c:pt>
                <c:pt idx="44">
                  <c:v>5.9728594961835427E-8</c:v>
                </c:pt>
                <c:pt idx="45">
                  <c:v>6.0534835562855911E-8</c:v>
                </c:pt>
                <c:pt idx="46">
                  <c:v>6.1323877138620414E-8</c:v>
                </c:pt>
                <c:pt idx="47">
                  <c:v>6.2096084694529498E-8</c:v>
                </c:pt>
                <c:pt idx="48">
                  <c:v>6.2851815570458773E-8</c:v>
                </c:pt>
                <c:pt idx="49">
                  <c:v>6.3591419598332759E-8</c:v>
                </c:pt>
                <c:pt idx="50">
                  <c:v>6.4315239256604036E-8</c:v>
                </c:pt>
                <c:pt idx="51">
                  <c:v>6.5023609821692896E-8</c:v>
                </c:pt>
                <c:pt idx="52">
                  <c:v>6.5716859516440802E-8</c:v>
                </c:pt>
                <c:pt idx="53">
                  <c:v>6.6395309655631112E-8</c:v>
                </c:pt>
                <c:pt idx="54">
                  <c:v>6.7059274788629569E-8</c:v>
                </c:pt>
                <c:pt idx="55">
                  <c:v>6.770906283919612E-8</c:v>
                </c:pt>
                <c:pt idx="56">
                  <c:v>6.834497524251928E-8</c:v>
                </c:pt>
                <c:pt idx="57">
                  <c:v>6.8967307079523543E-8</c:v>
                </c:pt>
                <c:pt idx="58">
                  <c:v>6.9576347208499346E-8</c:v>
                </c:pt>
                <c:pt idx="59">
                  <c:v>7.0172378394104468E-8</c:v>
                </c:pt>
                <c:pt idx="60">
                  <c:v>7.0755677433785459E-8</c:v>
                </c:pt>
                <c:pt idx="61">
                  <c:v>7.1326515281666329E-8</c:v>
                </c:pt>
                <c:pt idx="62">
                  <c:v>7.188515716995168E-8</c:v>
                </c:pt>
                <c:pt idx="63">
                  <c:v>7.2431862727890231E-8</c:v>
                </c:pt>
                <c:pt idx="64">
                  <c:v>7.2966886098344063E-8</c:v>
                </c:pt>
                <c:pt idx="65">
                  <c:v>7.3490476052009091E-8</c:v>
                </c:pt>
                <c:pt idx="66">
                  <c:v>7.4002876099329877E-8</c:v>
                </c:pt>
                <c:pt idx="67">
                  <c:v>7.4504324600152834E-8</c:v>
                </c:pt>
                <c:pt idx="68">
                  <c:v>7.4995054871160497E-8</c:v>
                </c:pt>
                <c:pt idx="69">
                  <c:v>7.5475295291128748E-8</c:v>
                </c:pt>
                <c:pt idx="70">
                  <c:v>7.5945269404048234E-8</c:v>
                </c:pt>
                <c:pt idx="71">
                  <c:v>7.6405196020151269E-8</c:v>
                </c:pt>
                <c:pt idx="72">
                  <c:v>7.685528931488357E-8</c:v>
                </c:pt>
                <c:pt idx="73">
                  <c:v>7.7295758925860641E-8</c:v>
                </c:pt>
                <c:pt idx="74">
                  <c:v>7.7726810047847611E-8</c:v>
                </c:pt>
                <c:pt idx="75">
                  <c:v>7.8148643525800145E-8</c:v>
                </c:pt>
                <c:pt idx="76">
                  <c:v>7.8561455946004493E-8</c:v>
                </c:pt>
                <c:pt idx="77">
                  <c:v>7.8965439725353154E-8</c:v>
                </c:pt>
                <c:pt idx="78">
                  <c:v>7.9360783198792292E-8</c:v>
                </c:pt>
                <c:pt idx="79">
                  <c:v>7.9747670704976656E-8</c:v>
                </c:pt>
                <c:pt idx="80">
                  <c:v>8.0126282670167203E-8</c:v>
                </c:pt>
                <c:pt idx="81">
                  <c:v>8.049679569040518E-8</c:v>
                </c:pt>
                <c:pt idx="82">
                  <c:v>8.0859382611996835E-8</c:v>
                </c:pt>
                <c:pt idx="83">
                  <c:v>8.12142126103421E-8</c:v>
                </c:pt>
                <c:pt idx="84">
                  <c:v>8.1561451267139362E-8</c:v>
                </c:pt>
                <c:pt idx="85">
                  <c:v>8.1901260645998733E-8</c:v>
                </c:pt>
                <c:pt idx="86">
                  <c:v>8.2233799366494976E-8</c:v>
                </c:pt>
                <c:pt idx="87">
                  <c:v>8.2559222676691342E-8</c:v>
                </c:pt>
                <c:pt idx="88">
                  <c:v>8.2877682524164112E-8</c:v>
                </c:pt>
                <c:pt idx="89">
                  <c:v>8.3189327625558303E-8</c:v>
                </c:pt>
                <c:pt idx="90">
                  <c:v>8.3494303534702949E-8</c:v>
                </c:pt>
                <c:pt idx="91">
                  <c:v>8.3792752709315675E-8</c:v>
                </c:pt>
                <c:pt idx="92">
                  <c:v>8.4084814576323548E-8</c:v>
                </c:pt>
                <c:pt idx="93">
                  <c:v>8.4370625595829165E-8</c:v>
                </c:pt>
                <c:pt idx="94">
                  <c:v>8.4650319323748022E-8</c:v>
                </c:pt>
                <c:pt idx="95">
                  <c:v>8.4924026473144559E-8</c:v>
                </c:pt>
                <c:pt idx="96">
                  <c:v>8.5191874974292573E-8</c:v>
                </c:pt>
                <c:pt idx="97">
                  <c:v>8.5453990033486053E-8</c:v>
                </c:pt>
                <c:pt idx="98">
                  <c:v>8.5710494190625397E-8</c:v>
                </c:pt>
                <c:pt idx="99">
                  <c:v>8.5961507375603457E-8</c:v>
                </c:pt>
                <c:pt idx="100">
                  <c:v>8.6207146963516679E-8</c:v>
                </c:pt>
                <c:pt idx="101">
                  <c:v>8.6447527828723614E-8</c:v>
                </c:pt>
                <c:pt idx="102">
                  <c:v>8.6447527828723614E-8</c:v>
                </c:pt>
                <c:pt idx="103">
                  <c:v>8.6447527828723614E-8</c:v>
                </c:pt>
                <c:pt idx="104">
                  <c:v>8.6447527828723614E-8</c:v>
                </c:pt>
                <c:pt idx="105">
                  <c:v>8.6447527828723614E-8</c:v>
                </c:pt>
                <c:pt idx="106">
                  <c:v>8.6447527828723614E-8</c:v>
                </c:pt>
                <c:pt idx="107">
                  <c:v>8.6447527828723614E-8</c:v>
                </c:pt>
                <c:pt idx="108">
                  <c:v>8.6447527828723614E-8</c:v>
                </c:pt>
                <c:pt idx="109">
                  <c:v>8.6447527828723614E-8</c:v>
                </c:pt>
                <c:pt idx="110">
                  <c:v>8.6447527828723614E-8</c:v>
                </c:pt>
                <c:pt idx="111">
                  <c:v>8.6447527828723614E-8</c:v>
                </c:pt>
                <c:pt idx="112">
                  <c:v>8.6447527828723614E-8</c:v>
                </c:pt>
                <c:pt idx="113">
                  <c:v>8.6447527828723614E-8</c:v>
                </c:pt>
                <c:pt idx="114">
                  <c:v>8.6447527828723614E-8</c:v>
                </c:pt>
                <c:pt idx="115">
                  <c:v>8.6447527828723614E-8</c:v>
                </c:pt>
                <c:pt idx="116">
                  <c:v>8.6447527828723614E-8</c:v>
                </c:pt>
                <c:pt idx="117">
                  <c:v>8.6447527828723614E-8</c:v>
                </c:pt>
                <c:pt idx="118">
                  <c:v>8.6447527828723614E-8</c:v>
                </c:pt>
                <c:pt idx="119">
                  <c:v>8.6447527828723614E-8</c:v>
                </c:pt>
                <c:pt idx="120">
                  <c:v>8.6447527828723614E-8</c:v>
                </c:pt>
                <c:pt idx="121">
                  <c:v>8.6447527828723614E-8</c:v>
                </c:pt>
                <c:pt idx="122">
                  <c:v>8.6447527828723614E-8</c:v>
                </c:pt>
                <c:pt idx="123">
                  <c:v>8.6447527828723614E-8</c:v>
                </c:pt>
                <c:pt idx="124">
                  <c:v>8.6447527828723614E-8</c:v>
                </c:pt>
                <c:pt idx="125">
                  <c:v>8.6447527828723614E-8</c:v>
                </c:pt>
                <c:pt idx="126">
                  <c:v>8.6447527828723614E-8</c:v>
                </c:pt>
                <c:pt idx="127">
                  <c:v>8.6447527828723614E-8</c:v>
                </c:pt>
                <c:pt idx="128">
                  <c:v>8.6447527828723614E-8</c:v>
                </c:pt>
                <c:pt idx="129">
                  <c:v>8.6447527828723614E-8</c:v>
                </c:pt>
                <c:pt idx="130">
                  <c:v>8.6447527828723614E-8</c:v>
                </c:pt>
                <c:pt idx="131">
                  <c:v>8.6447527828723614E-8</c:v>
                </c:pt>
                <c:pt idx="132">
                  <c:v>8.6447527828723614E-8</c:v>
                </c:pt>
                <c:pt idx="133">
                  <c:v>8.6447527828723614E-8</c:v>
                </c:pt>
                <c:pt idx="134">
                  <c:v>8.6447527828723614E-8</c:v>
                </c:pt>
                <c:pt idx="135">
                  <c:v>8.6447527828723614E-8</c:v>
                </c:pt>
                <c:pt idx="136">
                  <c:v>8.6447527828723614E-8</c:v>
                </c:pt>
                <c:pt idx="137">
                  <c:v>8.6447527828723614E-8</c:v>
                </c:pt>
                <c:pt idx="138">
                  <c:v>8.6447527828723614E-8</c:v>
                </c:pt>
                <c:pt idx="139">
                  <c:v>8.6447527828723614E-8</c:v>
                </c:pt>
                <c:pt idx="140">
                  <c:v>8.6447527828723614E-8</c:v>
                </c:pt>
                <c:pt idx="141">
                  <c:v>8.6447527828723614E-8</c:v>
                </c:pt>
                <c:pt idx="142">
                  <c:v>8.6447527828723614E-8</c:v>
                </c:pt>
                <c:pt idx="143">
                  <c:v>8.6447527828723614E-8</c:v>
                </c:pt>
                <c:pt idx="144">
                  <c:v>8.6447527828723614E-8</c:v>
                </c:pt>
                <c:pt idx="145">
                  <c:v>8.6447527828723614E-8</c:v>
                </c:pt>
                <c:pt idx="146">
                  <c:v>8.6447527828723614E-8</c:v>
                </c:pt>
                <c:pt idx="147">
                  <c:v>8.6447527828723614E-8</c:v>
                </c:pt>
                <c:pt idx="148">
                  <c:v>8.6447527828723614E-8</c:v>
                </c:pt>
                <c:pt idx="149">
                  <c:v>8.6447527828723614E-8</c:v>
                </c:pt>
                <c:pt idx="150">
                  <c:v>8.6447527828723614E-8</c:v>
                </c:pt>
                <c:pt idx="151">
                  <c:v>8.6447527828723614E-8</c:v>
                </c:pt>
                <c:pt idx="152">
                  <c:v>8.6447527828723614E-8</c:v>
                </c:pt>
                <c:pt idx="153">
                  <c:v>8.6447527828723614E-8</c:v>
                </c:pt>
                <c:pt idx="154">
                  <c:v>8.6447527828723614E-8</c:v>
                </c:pt>
                <c:pt idx="155">
                  <c:v>8.6447527828723614E-8</c:v>
                </c:pt>
                <c:pt idx="156">
                  <c:v>8.6447527828723614E-8</c:v>
                </c:pt>
                <c:pt idx="157">
                  <c:v>8.6447527828723614E-8</c:v>
                </c:pt>
                <c:pt idx="158">
                  <c:v>8.6447527828723614E-8</c:v>
                </c:pt>
                <c:pt idx="159">
                  <c:v>8.6447527828723614E-8</c:v>
                </c:pt>
                <c:pt idx="160">
                  <c:v>8.6447527828723614E-8</c:v>
                </c:pt>
                <c:pt idx="161">
                  <c:v>8.6447527828723614E-8</c:v>
                </c:pt>
                <c:pt idx="162">
                  <c:v>8.6447527828723614E-8</c:v>
                </c:pt>
                <c:pt idx="163">
                  <c:v>8.6447527828723614E-8</c:v>
                </c:pt>
                <c:pt idx="164">
                  <c:v>8.6447527828723614E-8</c:v>
                </c:pt>
                <c:pt idx="165">
                  <c:v>8.6447527828723614E-8</c:v>
                </c:pt>
                <c:pt idx="166">
                  <c:v>8.6447527828723614E-8</c:v>
                </c:pt>
                <c:pt idx="167">
                  <c:v>8.6447527828723614E-8</c:v>
                </c:pt>
                <c:pt idx="168">
                  <c:v>8.6447527828723614E-8</c:v>
                </c:pt>
                <c:pt idx="169">
                  <c:v>8.6447527828723614E-8</c:v>
                </c:pt>
                <c:pt idx="170">
                  <c:v>8.6447527828723614E-8</c:v>
                </c:pt>
                <c:pt idx="171">
                  <c:v>8.6447527828723614E-8</c:v>
                </c:pt>
                <c:pt idx="172">
                  <c:v>8.6447527828723614E-8</c:v>
                </c:pt>
                <c:pt idx="173">
                  <c:v>8.6447527828723614E-8</c:v>
                </c:pt>
                <c:pt idx="174">
                  <c:v>8.6447527828723614E-8</c:v>
                </c:pt>
                <c:pt idx="175">
                  <c:v>8.6447527828723614E-8</c:v>
                </c:pt>
                <c:pt idx="176">
                  <c:v>8.6447527828723614E-8</c:v>
                </c:pt>
                <c:pt idx="177">
                  <c:v>8.6447527828723614E-8</c:v>
                </c:pt>
                <c:pt idx="178">
                  <c:v>8.6447527828723614E-8</c:v>
                </c:pt>
                <c:pt idx="179">
                  <c:v>8.6447527828723614E-8</c:v>
                </c:pt>
                <c:pt idx="180">
                  <c:v>8.6447527828723614E-8</c:v>
                </c:pt>
                <c:pt idx="181">
                  <c:v>8.6447527828723614E-8</c:v>
                </c:pt>
                <c:pt idx="182">
                  <c:v>8.6447527828723614E-8</c:v>
                </c:pt>
                <c:pt idx="183">
                  <c:v>8.6447527828723614E-8</c:v>
                </c:pt>
                <c:pt idx="184">
                  <c:v>8.6447527828723614E-8</c:v>
                </c:pt>
                <c:pt idx="185">
                  <c:v>8.6447527828723614E-8</c:v>
                </c:pt>
                <c:pt idx="186">
                  <c:v>8.6447527828723614E-8</c:v>
                </c:pt>
                <c:pt idx="187">
                  <c:v>8.6447527828723614E-8</c:v>
                </c:pt>
                <c:pt idx="188">
                  <c:v>8.6447527828723614E-8</c:v>
                </c:pt>
                <c:pt idx="189">
                  <c:v>8.6447527828723614E-8</c:v>
                </c:pt>
                <c:pt idx="190">
                  <c:v>8.6447527828723614E-8</c:v>
                </c:pt>
                <c:pt idx="191">
                  <c:v>8.6447527828723614E-8</c:v>
                </c:pt>
                <c:pt idx="192">
                  <c:v>8.6447527828723614E-8</c:v>
                </c:pt>
                <c:pt idx="193">
                  <c:v>8.6447527828723614E-8</c:v>
                </c:pt>
                <c:pt idx="194">
                  <c:v>8.6447527828723614E-8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809-49A0-BE36-AFAB4ACCFDCA}"/>
            </c:ext>
          </c:extLst>
        </c:ser>
        <c:ser>
          <c:idx val="5"/>
          <c:order val="5"/>
          <c:tx>
            <c:strRef>
              <c:f>Model!$W$4</c:f>
              <c:strCache>
                <c:ptCount val="1"/>
                <c:pt idx="0">
                  <c:v>NO2*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Model!$A$5:$A$199</c:f>
              <c:numCache>
                <c:formatCode>0.00</c:formatCode>
                <c:ptCount val="19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</c:numCache>
            </c:numRef>
          </c:xVal>
          <c:yVal>
            <c:numRef>
              <c:f>Model!$W$5:$W$199</c:f>
              <c:numCache>
                <c:formatCode>0.0000</c:formatCode>
                <c:ptCount val="195"/>
                <c:pt idx="0">
                  <c:v>0</c:v>
                </c:pt>
                <c:pt idx="1">
                  <c:v>2.264058381018438E-11</c:v>
                </c:pt>
                <c:pt idx="2">
                  <c:v>4.5272394515594324E-11</c:v>
                </c:pt>
                <c:pt idx="3">
                  <c:v>6.7895306434975585E-11</c:v>
                </c:pt>
                <c:pt idx="4">
                  <c:v>9.0509197335710852E-11</c:v>
                </c:pt>
                <c:pt idx="5">
                  <c:v>1.131139483503365E-10</c:v>
                </c:pt>
                <c:pt idx="6">
                  <c:v>1.3570944389490071E-10</c:v>
                </c:pt>
                <c:pt idx="7">
                  <c:v>1.5829557158912914E-10</c:v>
                </c:pt>
                <c:pt idx="8">
                  <c:v>1.8087222217836446E-10</c:v>
                </c:pt>
                <c:pt idx="9">
                  <c:v>2.034392894572477E-10</c:v>
                </c:pt>
                <c:pt idx="10">
                  <c:v>2.2599667019510724E-10</c:v>
                </c:pt>
                <c:pt idx="11">
                  <c:v>2.4854426406302406E-10</c:v>
                </c:pt>
                <c:pt idx="12">
                  <c:v>2.7108197356254137E-10</c:v>
                </c:pt>
                <c:pt idx="13">
                  <c:v>2.9360970395598569E-10</c:v>
                </c:pt>
                <c:pt idx="14">
                  <c:v>3.1612736319837009E-10</c:v>
                </c:pt>
                <c:pt idx="15">
                  <c:v>3.3863486187084539E-10</c:v>
                </c:pt>
                <c:pt idx="16">
                  <c:v>3.6113211311567355E-10</c:v>
                </c:pt>
                <c:pt idx="17">
                  <c:v>3.8361903257268798E-10</c:v>
                </c:pt>
                <c:pt idx="18">
                  <c:v>4.0609553831721453E-10</c:v>
                </c:pt>
                <c:pt idx="19">
                  <c:v>4.2856155079942291E-10</c:v>
                </c:pt>
                <c:pt idx="20">
                  <c:v>4.5101699278507875E-10</c:v>
                </c:pt>
                <c:pt idx="21">
                  <c:v>4.7346178929766808E-10</c:v>
                </c:pt>
                <c:pt idx="22">
                  <c:v>4.9589586756186831E-10</c:v>
                </c:pt>
                <c:pt idx="23">
                  <c:v>5.1831915694833303E-10</c:v>
                </c:pt>
                <c:pt idx="24">
                  <c:v>5.4073158891976913E-10</c:v>
                </c:pt>
                <c:pt idx="25">
                  <c:v>5.6313309697827629E-10</c:v>
                </c:pt>
                <c:pt idx="26">
                  <c:v>5.8552361661392081E-10</c:v>
                </c:pt>
                <c:pt idx="27">
                  <c:v>6.0790308525452165E-10</c:v>
                </c:pt>
                <c:pt idx="28">
                  <c:v>6.3027144221662136E-10</c:v>
                </c:pt>
                <c:pt idx="29">
                  <c:v>6.5262862865761485E-10</c:v>
                </c:pt>
                <c:pt idx="30">
                  <c:v>6.749745875290141E-10</c:v>
                </c:pt>
                <c:pt idx="31">
                  <c:v>6.9730926353082391E-10</c:v>
                </c:pt>
                <c:pt idx="32">
                  <c:v>7.196326030670018E-10</c:v>
                </c:pt>
                <c:pt idx="33">
                  <c:v>7.4194455420198365E-10</c:v>
                </c:pt>
                <c:pt idx="34">
                  <c:v>7.642450666182472E-10</c:v>
                </c:pt>
                <c:pt idx="35">
                  <c:v>7.8653409157489398E-10</c:v>
                </c:pt>
                <c:pt idx="36">
                  <c:v>8.0881158186722523E-10</c:v>
                </c:pt>
                <c:pt idx="37">
                  <c:v>8.310774917872915E-10</c:v>
                </c:pt>
                <c:pt idx="38">
                  <c:v>8.5333177708539422E-10</c:v>
                </c:pt>
                <c:pt idx="39">
                  <c:v>8.7557439493251493E-10</c:v>
                </c:pt>
                <c:pt idx="40">
                  <c:v>8.9780530388365958E-10</c:v>
                </c:pt>
                <c:pt idx="41">
                  <c:v>9.2002446384208573E-10</c:v>
                </c:pt>
                <c:pt idx="42">
                  <c:v>9.4223183602440629E-10</c:v>
                </c:pt>
                <c:pt idx="43">
                  <c:v>9.6442738292653653E-10</c:v>
                </c:pt>
                <c:pt idx="44">
                  <c:v>9.8661106829047697E-10</c:v>
                </c:pt>
                <c:pt idx="45">
                  <c:v>1.0087828570719058E-9</c:v>
                </c:pt>
                <c:pt idx="46">
                  <c:v>1.0309427154085664E-9</c:v>
                </c:pt>
                <c:pt idx="47">
                  <c:v>1.0530906105894282E-9</c:v>
                </c:pt>
                <c:pt idx="48">
                  <c:v>1.0752265110246081E-9</c:v>
                </c:pt>
                <c:pt idx="49">
                  <c:v>1.0973503862160323E-9</c:v>
                </c:pt>
                <c:pt idx="50">
                  <c:v>1.1194622067288174E-9</c:v>
                </c:pt>
                <c:pt idx="51">
                  <c:v>1.1415619441633656E-9</c:v>
                </c:pt>
                <c:pt idx="52">
                  <c:v>1.163649571128143E-9</c:v>
                </c:pt>
                <c:pt idx="53">
                  <c:v>1.1857250612131389E-9</c:v>
                </c:pt>
                <c:pt idx="54">
                  <c:v>1.2077883889639789E-9</c:v>
                </c:pt>
                <c:pt idx="55">
                  <c:v>1.2298395298566876E-9</c:v>
                </c:pt>
                <c:pt idx="56">
                  <c:v>1.2518784602730709E-9</c:v>
                </c:pt>
                <c:pt idx="57">
                  <c:v>1.2739051574767213E-9</c:v>
                </c:pt>
                <c:pt idx="58">
                  <c:v>1.2959195995896194E-9</c:v>
                </c:pt>
                <c:pt idx="59">
                  <c:v>1.3179217655693189E-9</c:v>
                </c:pt>
                <c:pt idx="60">
                  <c:v>1.3399116351867055E-9</c:v>
                </c:pt>
                <c:pt idx="61">
                  <c:v>1.3618891890043141E-9</c:v>
                </c:pt>
                <c:pt idx="62">
                  <c:v>1.3838544083551889E-9</c:v>
                </c:pt>
                <c:pt idx="63">
                  <c:v>1.4058072753222794E-9</c:v>
                </c:pt>
                <c:pt idx="64">
                  <c:v>1.427747772718351E-9</c:v>
                </c:pt>
                <c:pt idx="65">
                  <c:v>1.4496758840664064E-9</c:v>
                </c:pt>
                <c:pt idx="66">
                  <c:v>1.4715915935806026E-9</c:v>
                </c:pt>
                <c:pt idx="67">
                  <c:v>1.4934948861476454E-9</c:v>
                </c:pt>
                <c:pt idx="68">
                  <c:v>1.5153857473086634E-9</c:v>
                </c:pt>
                <c:pt idx="69">
                  <c:v>1.5372641632415372E-9</c:v>
                </c:pt>
                <c:pt idx="70">
                  <c:v>1.5591301207436758E-9</c:v>
                </c:pt>
                <c:pt idx="71">
                  <c:v>1.58098360721524E-9</c:v>
                </c:pt>
                <c:pt idx="72">
                  <c:v>1.6028246106427858E-9</c:v>
                </c:pt>
                <c:pt idx="73">
                  <c:v>1.6246531195833266E-9</c:v>
                </c:pt>
                <c:pt idx="74">
                  <c:v>1.6464691231488053E-9</c:v>
                </c:pt>
                <c:pt idx="75">
                  <c:v>1.6682726109909639E-9</c:v>
                </c:pt>
                <c:pt idx="76">
                  <c:v>1.6900635732865971E-9</c:v>
                </c:pt>
                <c:pt idx="77">
                  <c:v>1.7118420007231899E-9</c:v>
                </c:pt>
                <c:pt idx="78">
                  <c:v>1.7336078844849196E-9</c:v>
                </c:pt>
                <c:pt idx="79">
                  <c:v>1.7553612162390183E-9</c:v>
                </c:pt>
                <c:pt idx="80">
                  <c:v>1.7771019881224933E-9</c:v>
                </c:pt>
                <c:pt idx="81">
                  <c:v>1.798830192729182E-9</c:v>
                </c:pt>
                <c:pt idx="82">
                  <c:v>1.8205458230971444E-9</c:v>
                </c:pt>
                <c:pt idx="83">
                  <c:v>1.842248872696383E-9</c:v>
                </c:pt>
                <c:pt idx="84">
                  <c:v>1.8639393354168793E-9</c:v>
                </c:pt>
                <c:pt idx="85">
                  <c:v>1.885617205556943E-9</c:v>
                </c:pt>
                <c:pt idx="86">
                  <c:v>1.9072824778118562E-9</c:v>
                </c:pt>
                <c:pt idx="87">
                  <c:v>1.928935147262827E-9</c:v>
                </c:pt>
                <c:pt idx="88">
                  <c:v>1.9505752093662139E-9</c:v>
                </c:pt>
                <c:pt idx="89">
                  <c:v>1.9722026599430459E-9</c:v>
                </c:pt>
                <c:pt idx="90">
                  <c:v>1.9938174951688058E-9</c:v>
                </c:pt>
                <c:pt idx="91">
                  <c:v>2.0154197115634874E-9</c:v>
                </c:pt>
                <c:pt idx="92">
                  <c:v>2.0370093059819067E-9</c:v>
                </c:pt>
                <c:pt idx="93">
                  <c:v>2.0585862756042741E-9</c:v>
                </c:pt>
                <c:pt idx="94">
                  <c:v>2.0801506179270068E-9</c:v>
                </c:pt>
                <c:pt idx="95">
                  <c:v>2.1017023307537883E-9</c:v>
                </c:pt>
                <c:pt idx="96">
                  <c:v>2.1232414121868596E-9</c:v>
                </c:pt>
                <c:pt idx="97">
                  <c:v>2.1447678606185415E-9</c:v>
                </c:pt>
                <c:pt idx="98">
                  <c:v>2.1662816747229803E-9</c:v>
                </c:pt>
                <c:pt idx="99">
                  <c:v>2.1877828534481079E-9</c:v>
                </c:pt>
                <c:pt idx="100">
                  <c:v>2.2092713960078239E-9</c:v>
                </c:pt>
                <c:pt idx="101">
                  <c:v>2.2307473018743689E-9</c:v>
                </c:pt>
                <c:pt idx="102">
                  <c:v>2.2307473018743689E-9</c:v>
                </c:pt>
                <c:pt idx="103">
                  <c:v>2.2307473018743689E-9</c:v>
                </c:pt>
                <c:pt idx="104">
                  <c:v>2.2307473018743689E-9</c:v>
                </c:pt>
                <c:pt idx="105">
                  <c:v>2.2307473018743689E-9</c:v>
                </c:pt>
                <c:pt idx="106">
                  <c:v>2.2307473018743689E-9</c:v>
                </c:pt>
                <c:pt idx="107">
                  <c:v>2.2307473018743689E-9</c:v>
                </c:pt>
                <c:pt idx="108">
                  <c:v>2.2307473018743689E-9</c:v>
                </c:pt>
                <c:pt idx="109">
                  <c:v>2.2307473018743689E-9</c:v>
                </c:pt>
                <c:pt idx="110">
                  <c:v>2.2307473018743689E-9</c:v>
                </c:pt>
                <c:pt idx="111">
                  <c:v>2.2307473018743689E-9</c:v>
                </c:pt>
                <c:pt idx="112">
                  <c:v>2.2307473018743689E-9</c:v>
                </c:pt>
                <c:pt idx="113">
                  <c:v>2.2307473018743689E-9</c:v>
                </c:pt>
                <c:pt idx="114">
                  <c:v>2.2307473018743689E-9</c:v>
                </c:pt>
                <c:pt idx="115">
                  <c:v>2.2307473018743689E-9</c:v>
                </c:pt>
                <c:pt idx="116">
                  <c:v>2.2307473018743689E-9</c:v>
                </c:pt>
                <c:pt idx="117">
                  <c:v>2.2307473018743689E-9</c:v>
                </c:pt>
                <c:pt idx="118">
                  <c:v>2.2307473018743689E-9</c:v>
                </c:pt>
                <c:pt idx="119">
                  <c:v>2.2307473018743689E-9</c:v>
                </c:pt>
                <c:pt idx="120">
                  <c:v>2.2307473018743689E-9</c:v>
                </c:pt>
                <c:pt idx="121">
                  <c:v>2.2307473018743689E-9</c:v>
                </c:pt>
                <c:pt idx="122">
                  <c:v>2.2307473018743689E-9</c:v>
                </c:pt>
                <c:pt idx="123">
                  <c:v>2.2307473018743689E-9</c:v>
                </c:pt>
                <c:pt idx="124">
                  <c:v>2.2307473018743689E-9</c:v>
                </c:pt>
                <c:pt idx="125">
                  <c:v>2.2307473018743689E-9</c:v>
                </c:pt>
                <c:pt idx="126">
                  <c:v>2.2307473018743689E-9</c:v>
                </c:pt>
                <c:pt idx="127">
                  <c:v>2.2307473018743689E-9</c:v>
                </c:pt>
                <c:pt idx="128">
                  <c:v>2.2307473018743689E-9</c:v>
                </c:pt>
                <c:pt idx="129">
                  <c:v>2.2307473018743689E-9</c:v>
                </c:pt>
                <c:pt idx="130">
                  <c:v>2.2307473018743689E-9</c:v>
                </c:pt>
                <c:pt idx="131">
                  <c:v>2.2307473018743689E-9</c:v>
                </c:pt>
                <c:pt idx="132">
                  <c:v>2.2307473018743689E-9</c:v>
                </c:pt>
                <c:pt idx="133">
                  <c:v>2.2307473018743689E-9</c:v>
                </c:pt>
                <c:pt idx="134">
                  <c:v>2.2307473018743689E-9</c:v>
                </c:pt>
                <c:pt idx="135">
                  <c:v>2.2307473018743689E-9</c:v>
                </c:pt>
                <c:pt idx="136">
                  <c:v>2.2307473018743689E-9</c:v>
                </c:pt>
                <c:pt idx="137">
                  <c:v>2.2307473018743689E-9</c:v>
                </c:pt>
                <c:pt idx="138">
                  <c:v>2.2307473018743689E-9</c:v>
                </c:pt>
                <c:pt idx="139">
                  <c:v>2.2307473018743689E-9</c:v>
                </c:pt>
                <c:pt idx="140">
                  <c:v>2.2307473018743689E-9</c:v>
                </c:pt>
                <c:pt idx="141">
                  <c:v>2.2307473018743689E-9</c:v>
                </c:pt>
                <c:pt idx="142">
                  <c:v>2.2307473018743689E-9</c:v>
                </c:pt>
                <c:pt idx="143">
                  <c:v>2.2307473018743689E-9</c:v>
                </c:pt>
                <c:pt idx="144">
                  <c:v>2.2307473018743689E-9</c:v>
                </c:pt>
                <c:pt idx="145">
                  <c:v>2.2307473018743689E-9</c:v>
                </c:pt>
                <c:pt idx="146">
                  <c:v>2.2307473018743689E-9</c:v>
                </c:pt>
                <c:pt idx="147">
                  <c:v>2.2307473018743689E-9</c:v>
                </c:pt>
                <c:pt idx="148">
                  <c:v>2.2307473018743689E-9</c:v>
                </c:pt>
                <c:pt idx="149">
                  <c:v>2.2307473018743689E-9</c:v>
                </c:pt>
                <c:pt idx="150">
                  <c:v>2.2307473018743689E-9</c:v>
                </c:pt>
                <c:pt idx="151">
                  <c:v>2.2307473018743689E-9</c:v>
                </c:pt>
                <c:pt idx="152">
                  <c:v>2.2307473018743689E-9</c:v>
                </c:pt>
                <c:pt idx="153">
                  <c:v>2.2307473018743689E-9</c:v>
                </c:pt>
                <c:pt idx="154">
                  <c:v>2.2307473018743689E-9</c:v>
                </c:pt>
                <c:pt idx="155">
                  <c:v>2.2307473018743689E-9</c:v>
                </c:pt>
                <c:pt idx="156">
                  <c:v>2.2307473018743689E-9</c:v>
                </c:pt>
                <c:pt idx="157">
                  <c:v>2.2307473018743689E-9</c:v>
                </c:pt>
                <c:pt idx="158">
                  <c:v>2.2307473018743689E-9</c:v>
                </c:pt>
                <c:pt idx="159">
                  <c:v>2.2307473018743689E-9</c:v>
                </c:pt>
                <c:pt idx="160">
                  <c:v>2.2307473018743689E-9</c:v>
                </c:pt>
                <c:pt idx="161">
                  <c:v>2.2307473018743689E-9</c:v>
                </c:pt>
                <c:pt idx="162">
                  <c:v>2.2307473018743689E-9</c:v>
                </c:pt>
                <c:pt idx="163">
                  <c:v>2.2307473018743689E-9</c:v>
                </c:pt>
                <c:pt idx="164">
                  <c:v>2.2307473018743689E-9</c:v>
                </c:pt>
                <c:pt idx="165">
                  <c:v>2.2307473018743689E-9</c:v>
                </c:pt>
                <c:pt idx="166">
                  <c:v>2.2307473018743689E-9</c:v>
                </c:pt>
                <c:pt idx="167">
                  <c:v>2.2307473018743689E-9</c:v>
                </c:pt>
                <c:pt idx="168">
                  <c:v>2.2307473018743689E-9</c:v>
                </c:pt>
                <c:pt idx="169">
                  <c:v>2.2307473018743689E-9</c:v>
                </c:pt>
                <c:pt idx="170">
                  <c:v>2.2307473018743689E-9</c:v>
                </c:pt>
                <c:pt idx="171">
                  <c:v>2.2307473018743689E-9</c:v>
                </c:pt>
                <c:pt idx="172">
                  <c:v>2.2307473018743689E-9</c:v>
                </c:pt>
                <c:pt idx="173">
                  <c:v>2.2307473018743689E-9</c:v>
                </c:pt>
                <c:pt idx="174">
                  <c:v>2.2307473018743689E-9</c:v>
                </c:pt>
                <c:pt idx="175">
                  <c:v>2.2307473018743689E-9</c:v>
                </c:pt>
                <c:pt idx="176">
                  <c:v>2.2307473018743689E-9</c:v>
                </c:pt>
                <c:pt idx="177">
                  <c:v>2.2307473018743689E-9</c:v>
                </c:pt>
                <c:pt idx="178">
                  <c:v>2.2307473018743689E-9</c:v>
                </c:pt>
                <c:pt idx="179">
                  <c:v>2.2307473018743689E-9</c:v>
                </c:pt>
                <c:pt idx="180">
                  <c:v>2.2307473018743689E-9</c:v>
                </c:pt>
                <c:pt idx="181">
                  <c:v>2.2307473018743689E-9</c:v>
                </c:pt>
                <c:pt idx="182">
                  <c:v>2.2307473018743689E-9</c:v>
                </c:pt>
                <c:pt idx="183">
                  <c:v>2.2307473018743689E-9</c:v>
                </c:pt>
                <c:pt idx="184">
                  <c:v>2.2307473018743689E-9</c:v>
                </c:pt>
                <c:pt idx="185">
                  <c:v>2.2307473018743689E-9</c:v>
                </c:pt>
                <c:pt idx="186">
                  <c:v>2.2307473018743689E-9</c:v>
                </c:pt>
                <c:pt idx="187">
                  <c:v>2.2307473018743689E-9</c:v>
                </c:pt>
                <c:pt idx="188">
                  <c:v>2.2307473018743689E-9</c:v>
                </c:pt>
                <c:pt idx="189">
                  <c:v>2.2307473018743689E-9</c:v>
                </c:pt>
                <c:pt idx="190">
                  <c:v>2.2307473018743689E-9</c:v>
                </c:pt>
                <c:pt idx="191">
                  <c:v>2.2307473018743689E-9</c:v>
                </c:pt>
                <c:pt idx="192">
                  <c:v>2.2307473018743689E-9</c:v>
                </c:pt>
                <c:pt idx="193">
                  <c:v>2.2307473018743689E-9</c:v>
                </c:pt>
                <c:pt idx="194">
                  <c:v>2.2307473018743689E-9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809-49A0-BE36-AFAB4ACCFDCA}"/>
            </c:ext>
          </c:extLst>
        </c:ser>
        <c:ser>
          <c:idx val="6"/>
          <c:order val="6"/>
          <c:tx>
            <c:strRef>
              <c:f>Model!$Q$4</c:f>
              <c:strCache>
                <c:ptCount val="1"/>
                <c:pt idx="0">
                  <c:v>*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chemeClr val="accent1">
                  <a:lumMod val="6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Model!$A$5:$A$199</c:f>
              <c:numCache>
                <c:formatCode>0.00</c:formatCode>
                <c:ptCount val="19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</c:numCache>
            </c:numRef>
          </c:xVal>
          <c:yVal>
            <c:numRef>
              <c:f>Model!$Q$5:$Q$199</c:f>
              <c:numCache>
                <c:formatCode>0.0000</c:formatCode>
                <c:ptCount val="195"/>
                <c:pt idx="0">
                  <c:v>1.7284918050081553E-2</c:v>
                </c:pt>
                <c:pt idx="1">
                  <c:v>1.7285901274647131E-2</c:v>
                </c:pt>
                <c:pt idx="2">
                  <c:v>1.7286863938729666E-2</c:v>
                </c:pt>
                <c:pt idx="3">
                  <c:v>1.7287806470948415E-2</c:v>
                </c:pt>
                <c:pt idx="4">
                  <c:v>1.7288729291237905E-2</c:v>
                </c:pt>
                <c:pt idx="5">
                  <c:v>1.7289632811013273E-2</c:v>
                </c:pt>
                <c:pt idx="6">
                  <c:v>1.7290517433332875E-2</c:v>
                </c:pt>
                <c:pt idx="7">
                  <c:v>1.7291383553058221E-2</c:v>
                </c:pt>
                <c:pt idx="8">
                  <c:v>1.7292231557011279E-2</c:v>
                </c:pt>
                <c:pt idx="9">
                  <c:v>1.7293061824129177E-2</c:v>
                </c:pt>
                <c:pt idx="10">
                  <c:v>1.7293874725616269E-2</c:v>
                </c:pt>
                <c:pt idx="11">
                  <c:v>1.7294670625093662E-2</c:v>
                </c:pt>
                <c:pt idx="12">
                  <c:v>1.7295449878746229E-2</c:v>
                </c:pt>
                <c:pt idx="13">
                  <c:v>1.7296212835467045E-2</c:v>
                </c:pt>
                <c:pt idx="14">
                  <c:v>1.7296959836999411E-2</c:v>
                </c:pt>
                <c:pt idx="15">
                  <c:v>1.7297691218076363E-2</c:v>
                </c:pt>
                <c:pt idx="16">
                  <c:v>1.7298407306557812E-2</c:v>
                </c:pt>
                <c:pt idx="17">
                  <c:v>1.7299108423565229E-2</c:v>
                </c:pt>
                <c:pt idx="18">
                  <c:v>1.7299794883614016E-2</c:v>
                </c:pt>
                <c:pt idx="19">
                  <c:v>1.73004669947435E-2</c:v>
                </c:pt>
                <c:pt idx="20">
                  <c:v>1.7301125058644624E-2</c:v>
                </c:pt>
                <c:pt idx="21">
                  <c:v>1.73017693707854E-2</c:v>
                </c:pt>
                <c:pt idx="22">
                  <c:v>1.7302400220534069E-2</c:v>
                </c:pt>
                <c:pt idx="23">
                  <c:v>1.7303017891280047E-2</c:v>
                </c:pt>
                <c:pt idx="24">
                  <c:v>1.7303622660552697E-2</c:v>
                </c:pt>
                <c:pt idx="25">
                  <c:v>1.7304214800137982E-2</c:v>
                </c:pt>
                <c:pt idx="26">
                  <c:v>1.730479457619289E-2</c:v>
                </c:pt>
                <c:pt idx="27">
                  <c:v>1.7305362249357869E-2</c:v>
                </c:pt>
                <c:pt idx="28">
                  <c:v>1.7305918074867144E-2</c:v>
                </c:pt>
                <c:pt idx="29">
                  <c:v>1.7306462302656984E-2</c:v>
                </c:pt>
                <c:pt idx="30">
                  <c:v>1.7306995177472025E-2</c:v>
                </c:pt>
                <c:pt idx="31">
                  <c:v>1.730751693896955E-2</c:v>
                </c:pt>
                <c:pt idx="32">
                  <c:v>1.7308027821821843E-2</c:v>
                </c:pt>
                <c:pt idx="33">
                  <c:v>1.7308528055816674E-2</c:v>
                </c:pt>
                <c:pt idx="34">
                  <c:v>1.730901786595582E-2</c:v>
                </c:pt>
                <c:pt idx="35">
                  <c:v>1.7309497472551807E-2</c:v>
                </c:pt>
                <c:pt idx="36">
                  <c:v>1.730996709132274E-2</c:v>
                </c:pt>
                <c:pt idx="37">
                  <c:v>1.7310426933485432E-2</c:v>
                </c:pt>
                <c:pt idx="38">
                  <c:v>1.7310877205846672E-2</c:v>
                </c:pt>
                <c:pt idx="39">
                  <c:v>1.7311318110892822E-2</c:v>
                </c:pt>
                <c:pt idx="40">
                  <c:v>1.7311749846877649E-2</c:v>
                </c:pt>
                <c:pt idx="41">
                  <c:v>1.7312172607908516E-2</c:v>
                </c:pt>
                <c:pt idx="42">
                  <c:v>1.7312586584030887E-2</c:v>
                </c:pt>
                <c:pt idx="43">
                  <c:v>1.7312991961311218E-2</c:v>
                </c:pt>
                <c:pt idx="44">
                  <c:v>1.7313388921918211E-2</c:v>
                </c:pt>
                <c:pt idx="45">
                  <c:v>1.7313777644202586E-2</c:v>
                </c:pt>
                <c:pt idx="46">
                  <c:v>1.7314158302775193E-2</c:v>
                </c:pt>
                <c:pt idx="47">
                  <c:v>1.7314531068583647E-2</c:v>
                </c:pt>
                <c:pt idx="48">
                  <c:v>1.7314896108987517E-2</c:v>
                </c:pt>
                <c:pt idx="49">
                  <c:v>1.7315253587831973E-2</c:v>
                </c:pt>
                <c:pt idx="50">
                  <c:v>1.7315603665520023E-2</c:v>
                </c:pt>
                <c:pt idx="51">
                  <c:v>1.7315946499083329E-2</c:v>
                </c:pt>
                <c:pt idx="52">
                  <c:v>1.7316282242251631E-2</c:v>
                </c:pt>
                <c:pt idx="53">
                  <c:v>1.7316611045520812E-2</c:v>
                </c:pt>
                <c:pt idx="54">
                  <c:v>1.7316933056219588E-2</c:v>
                </c:pt>
                <c:pt idx="55">
                  <c:v>1.7317248418574901E-2</c:v>
                </c:pt>
                <c:pt idx="56">
                  <c:v>1.731755727377603E-2</c:v>
                </c:pt>
                <c:pt idx="57">
                  <c:v>1.7317859760037371E-2</c:v>
                </c:pt>
                <c:pt idx="58">
                  <c:v>1.7318156012660069E-2</c:v>
                </c:pt>
                <c:pt idx="59">
                  <c:v>1.7318446164092297E-2</c:v>
                </c:pt>
                <c:pt idx="60">
                  <c:v>1.7318730343988443E-2</c:v>
                </c:pt>
                <c:pt idx="61">
                  <c:v>1.7319008679267028E-2</c:v>
                </c:pt>
                <c:pt idx="62">
                  <c:v>1.7319281294167526E-2</c:v>
                </c:pt>
                <c:pt idx="63">
                  <c:v>1.7319548310306025E-2</c:v>
                </c:pt>
                <c:pt idx="64">
                  <c:v>1.7319809846729723E-2</c:v>
                </c:pt>
                <c:pt idx="65">
                  <c:v>1.7320066019970423E-2</c:v>
                </c:pt>
                <c:pt idx="66">
                  <c:v>1.7320316944096855E-2</c:v>
                </c:pt>
                <c:pt idx="67">
                  <c:v>1.7320562730765994E-2</c:v>
                </c:pt>
                <c:pt idx="68">
                  <c:v>1.732080348927335E-2</c:v>
                </c:pt>
                <c:pt idx="69">
                  <c:v>1.732103932660219E-2</c:v>
                </c:pt>
                <c:pt idx="70">
                  <c:v>1.7321270347471801E-2</c:v>
                </c:pt>
                <c:pt idx="71">
                  <c:v>1.7321496654384781E-2</c:v>
                </c:pt>
                <c:pt idx="72">
                  <c:v>1.7321718347673352E-2</c:v>
                </c:pt>
                <c:pt idx="73">
                  <c:v>1.7321935525544709E-2</c:v>
                </c:pt>
                <c:pt idx="74">
                  <c:v>1.73221482841255E-2</c:v>
                </c:pt>
                <c:pt idx="75">
                  <c:v>1.7322356717505347E-2</c:v>
                </c:pt>
                <c:pt idx="76">
                  <c:v>1.7322560917779523E-2</c:v>
                </c:pt>
                <c:pt idx="77">
                  <c:v>1.732276097509072E-2</c:v>
                </c:pt>
                <c:pt idx="78">
                  <c:v>1.7322956977669984E-2</c:v>
                </c:pt>
                <c:pt idx="79">
                  <c:v>1.7323149011876791E-2</c:v>
                </c:pt>
                <c:pt idx="80">
                  <c:v>1.7323337162238352E-2</c:v>
                </c:pt>
                <c:pt idx="81">
                  <c:v>1.732352151148803E-2</c:v>
                </c:pt>
                <c:pt idx="82">
                  <c:v>1.732370214060306E-2</c:v>
                </c:pt>
                <c:pt idx="83">
                  <c:v>1.7323879128841417E-2</c:v>
                </c:pt>
                <c:pt idx="84">
                  <c:v>1.7324052553777967E-2</c:v>
                </c:pt>
                <c:pt idx="85">
                  <c:v>1.7324222491339861E-2</c:v>
                </c:pt>
                <c:pt idx="86">
                  <c:v>1.7324389015841195E-2</c:v>
                </c:pt>
                <c:pt idx="87">
                  <c:v>1.7324552200016986E-2</c:v>
                </c:pt>
                <c:pt idx="88">
                  <c:v>1.732471211505638E-2</c:v>
                </c:pt>
                <c:pt idx="89">
                  <c:v>1.7324868830635259E-2</c:v>
                </c:pt>
                <c:pt idx="90">
                  <c:v>1.7325022414948099E-2</c:v>
                </c:pt>
                <c:pt idx="91">
                  <c:v>1.7325172934739206E-2</c:v>
                </c:pt>
                <c:pt idx="92">
                  <c:v>1.7325320455333318E-2</c:v>
                </c:pt>
                <c:pt idx="93">
                  <c:v>1.7325465040665507E-2</c:v>
                </c:pt>
                <c:pt idx="94">
                  <c:v>1.7325606753310571E-2</c:v>
                </c:pt>
                <c:pt idx="95">
                  <c:v>1.7325745654511698E-2</c:v>
                </c:pt>
                <c:pt idx="96">
                  <c:v>1.7325881804208597E-2</c:v>
                </c:pt>
                <c:pt idx="97">
                  <c:v>1.7326015261065055E-2</c:v>
                </c:pt>
                <c:pt idx="98">
                  <c:v>1.73261460824959E-2</c:v>
                </c:pt>
                <c:pt idx="99">
                  <c:v>1.7326274324693358E-2</c:v>
                </c:pt>
                <c:pt idx="100">
                  <c:v>1.7326400042652977E-2</c:v>
                </c:pt>
                <c:pt idx="101">
                  <c:v>1.7326523290198868E-2</c:v>
                </c:pt>
                <c:pt idx="102">
                  <c:v>1.7326523290198868E-2</c:v>
                </c:pt>
                <c:pt idx="103">
                  <c:v>1.7326523290198868E-2</c:v>
                </c:pt>
                <c:pt idx="104">
                  <c:v>1.7326523290198868E-2</c:v>
                </c:pt>
                <c:pt idx="105">
                  <c:v>1.7326523290198868E-2</c:v>
                </c:pt>
                <c:pt idx="106">
                  <c:v>1.7326523290198868E-2</c:v>
                </c:pt>
                <c:pt idx="107">
                  <c:v>1.7326523290198868E-2</c:v>
                </c:pt>
                <c:pt idx="108">
                  <c:v>1.7326523290198868E-2</c:v>
                </c:pt>
                <c:pt idx="109">
                  <c:v>1.7326523290198868E-2</c:v>
                </c:pt>
                <c:pt idx="110">
                  <c:v>1.7326523290198868E-2</c:v>
                </c:pt>
                <c:pt idx="111">
                  <c:v>1.7326523290198868E-2</c:v>
                </c:pt>
                <c:pt idx="112">
                  <c:v>1.7326523290198868E-2</c:v>
                </c:pt>
                <c:pt idx="113">
                  <c:v>1.7326523290198868E-2</c:v>
                </c:pt>
                <c:pt idx="114">
                  <c:v>1.7326523290198868E-2</c:v>
                </c:pt>
                <c:pt idx="115">
                  <c:v>1.7326523290198868E-2</c:v>
                </c:pt>
                <c:pt idx="116">
                  <c:v>1.7326523290198868E-2</c:v>
                </c:pt>
                <c:pt idx="117">
                  <c:v>1.7326523290198868E-2</c:v>
                </c:pt>
                <c:pt idx="118">
                  <c:v>1.7326523290198868E-2</c:v>
                </c:pt>
                <c:pt idx="119">
                  <c:v>1.7326523290198868E-2</c:v>
                </c:pt>
                <c:pt idx="120">
                  <c:v>1.7326523290198868E-2</c:v>
                </c:pt>
                <c:pt idx="121">
                  <c:v>1.7326523290198868E-2</c:v>
                </c:pt>
                <c:pt idx="122">
                  <c:v>1.7326523290198868E-2</c:v>
                </c:pt>
                <c:pt idx="123">
                  <c:v>1.7326523290198868E-2</c:v>
                </c:pt>
                <c:pt idx="124">
                  <c:v>1.7326523290198868E-2</c:v>
                </c:pt>
                <c:pt idx="125">
                  <c:v>1.7326523290198868E-2</c:v>
                </c:pt>
                <c:pt idx="126">
                  <c:v>1.7326523290198868E-2</c:v>
                </c:pt>
                <c:pt idx="127">
                  <c:v>1.7326523290198868E-2</c:v>
                </c:pt>
                <c:pt idx="128">
                  <c:v>1.7326523290198868E-2</c:v>
                </c:pt>
                <c:pt idx="129">
                  <c:v>1.7326523290198868E-2</c:v>
                </c:pt>
                <c:pt idx="130">
                  <c:v>1.7326523290198868E-2</c:v>
                </c:pt>
                <c:pt idx="131">
                  <c:v>1.7326523290198868E-2</c:v>
                </c:pt>
                <c:pt idx="132">
                  <c:v>1.7326523290198868E-2</c:v>
                </c:pt>
                <c:pt idx="133">
                  <c:v>1.7326523290198868E-2</c:v>
                </c:pt>
                <c:pt idx="134">
                  <c:v>1.7326523290198868E-2</c:v>
                </c:pt>
                <c:pt idx="135">
                  <c:v>1.7326523290198868E-2</c:v>
                </c:pt>
                <c:pt idx="136">
                  <c:v>1.7326523290198868E-2</c:v>
                </c:pt>
                <c:pt idx="137">
                  <c:v>1.7326523290198868E-2</c:v>
                </c:pt>
                <c:pt idx="138">
                  <c:v>1.7326523290198868E-2</c:v>
                </c:pt>
                <c:pt idx="139">
                  <c:v>1.7326523290198868E-2</c:v>
                </c:pt>
                <c:pt idx="140">
                  <c:v>1.7326523290198868E-2</c:v>
                </c:pt>
                <c:pt idx="141">
                  <c:v>1.7326523290198868E-2</c:v>
                </c:pt>
                <c:pt idx="142">
                  <c:v>1.7326523290198868E-2</c:v>
                </c:pt>
                <c:pt idx="143">
                  <c:v>1.7326523290198868E-2</c:v>
                </c:pt>
                <c:pt idx="144">
                  <c:v>1.7326523290198868E-2</c:v>
                </c:pt>
                <c:pt idx="145">
                  <c:v>1.7326523290198868E-2</c:v>
                </c:pt>
                <c:pt idx="146">
                  <c:v>1.7326523290198868E-2</c:v>
                </c:pt>
                <c:pt idx="147">
                  <c:v>1.7326523290198868E-2</c:v>
                </c:pt>
                <c:pt idx="148">
                  <c:v>1.7326523290198868E-2</c:v>
                </c:pt>
                <c:pt idx="149">
                  <c:v>1.7326523290198868E-2</c:v>
                </c:pt>
                <c:pt idx="150">
                  <c:v>1.7326523290198868E-2</c:v>
                </c:pt>
                <c:pt idx="151">
                  <c:v>1.7326523290198868E-2</c:v>
                </c:pt>
                <c:pt idx="152">
                  <c:v>1.7326523290198868E-2</c:v>
                </c:pt>
                <c:pt idx="153">
                  <c:v>1.7326523290198868E-2</c:v>
                </c:pt>
                <c:pt idx="154">
                  <c:v>1.7326523290198868E-2</c:v>
                </c:pt>
                <c:pt idx="155">
                  <c:v>1.7326523290198868E-2</c:v>
                </c:pt>
                <c:pt idx="156">
                  <c:v>1.7326523290198868E-2</c:v>
                </c:pt>
                <c:pt idx="157">
                  <c:v>1.7326523290198868E-2</c:v>
                </c:pt>
                <c:pt idx="158">
                  <c:v>1.7326523290198868E-2</c:v>
                </c:pt>
                <c:pt idx="159">
                  <c:v>1.7326523290198868E-2</c:v>
                </c:pt>
                <c:pt idx="160">
                  <c:v>1.7326523290198868E-2</c:v>
                </c:pt>
                <c:pt idx="161">
                  <c:v>1.7326523290198868E-2</c:v>
                </c:pt>
                <c:pt idx="162">
                  <c:v>1.7326523290198868E-2</c:v>
                </c:pt>
                <c:pt idx="163">
                  <c:v>1.7326523290198868E-2</c:v>
                </c:pt>
                <c:pt idx="164">
                  <c:v>1.7326523290198868E-2</c:v>
                </c:pt>
                <c:pt idx="165">
                  <c:v>1.7326523290198868E-2</c:v>
                </c:pt>
                <c:pt idx="166">
                  <c:v>1.7326523290198868E-2</c:v>
                </c:pt>
                <c:pt idx="167">
                  <c:v>1.7326523290198868E-2</c:v>
                </c:pt>
                <c:pt idx="168">
                  <c:v>1.7326523290198868E-2</c:v>
                </c:pt>
                <c:pt idx="169">
                  <c:v>1.7326523290198868E-2</c:v>
                </c:pt>
                <c:pt idx="170">
                  <c:v>1.7326523290198868E-2</c:v>
                </c:pt>
                <c:pt idx="171">
                  <c:v>1.7326523290198868E-2</c:v>
                </c:pt>
                <c:pt idx="172">
                  <c:v>1.7326523290198868E-2</c:v>
                </c:pt>
                <c:pt idx="173">
                  <c:v>1.7326523290198868E-2</c:v>
                </c:pt>
                <c:pt idx="174">
                  <c:v>1.7326523290198868E-2</c:v>
                </c:pt>
                <c:pt idx="175">
                  <c:v>1.7326523290198868E-2</c:v>
                </c:pt>
                <c:pt idx="176">
                  <c:v>1.7326523290198868E-2</c:v>
                </c:pt>
                <c:pt idx="177">
                  <c:v>1.7326523290198868E-2</c:v>
                </c:pt>
                <c:pt idx="178">
                  <c:v>1.7326523290198868E-2</c:v>
                </c:pt>
                <c:pt idx="179">
                  <c:v>1.7326523290198868E-2</c:v>
                </c:pt>
                <c:pt idx="180">
                  <c:v>1.7326523290198868E-2</c:v>
                </c:pt>
                <c:pt idx="181">
                  <c:v>1.7326523290198868E-2</c:v>
                </c:pt>
                <c:pt idx="182">
                  <c:v>1.7326523290198868E-2</c:v>
                </c:pt>
                <c:pt idx="183">
                  <c:v>1.7326523290198868E-2</c:v>
                </c:pt>
                <c:pt idx="184">
                  <c:v>1.7326523290198868E-2</c:v>
                </c:pt>
                <c:pt idx="185">
                  <c:v>1.7326523290198868E-2</c:v>
                </c:pt>
                <c:pt idx="186">
                  <c:v>1.7326523290198868E-2</c:v>
                </c:pt>
                <c:pt idx="187">
                  <c:v>1.7326523290198868E-2</c:v>
                </c:pt>
                <c:pt idx="188">
                  <c:v>1.7326523290198868E-2</c:v>
                </c:pt>
                <c:pt idx="189">
                  <c:v>1.7326523290198868E-2</c:v>
                </c:pt>
                <c:pt idx="190">
                  <c:v>1.7326523290198868E-2</c:v>
                </c:pt>
                <c:pt idx="191">
                  <c:v>1.7326523290198868E-2</c:v>
                </c:pt>
                <c:pt idx="192">
                  <c:v>1.7326523290198868E-2</c:v>
                </c:pt>
                <c:pt idx="193">
                  <c:v>1.7326523290198868E-2</c:v>
                </c:pt>
                <c:pt idx="194">
                  <c:v>1.7326523290198868E-2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809-49A0-BE36-AFAB4ACCF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4541424"/>
        <c:axId val="624542080"/>
      </c:scatterChart>
      <c:valAx>
        <c:axId val="624541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542080"/>
        <c:crosses val="autoZero"/>
        <c:crossBetween val="midCat"/>
      </c:valAx>
      <c:valAx>
        <c:axId val="62454208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541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Model!$M$4</c:f>
              <c:strCache>
                <c:ptCount val="1"/>
                <c:pt idx="0">
                  <c:v>P_O2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Model!$A$5:$A$199</c:f>
              <c:numCache>
                <c:formatCode>0.00</c:formatCode>
                <c:ptCount val="19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</c:numCache>
            </c:numRef>
          </c:xVal>
          <c:yVal>
            <c:numRef>
              <c:f>Model!$M$5:$M$199</c:f>
              <c:numCache>
                <c:formatCode>0.0000</c:formatCode>
                <c:ptCount val="195"/>
                <c:pt idx="0">
                  <c:v>0.10186337433832429</c:v>
                </c:pt>
                <c:pt idx="1">
                  <c:v>0.10185841655115048</c:v>
                </c:pt>
                <c:pt idx="2">
                  <c:v>0.10185356307709394</c:v>
                </c:pt>
                <c:pt idx="3">
                  <c:v>0.10184881171735047</c:v>
                </c:pt>
                <c:pt idx="4">
                  <c:v>0.10184416031869423</c:v>
                </c:pt>
                <c:pt idx="5">
                  <c:v>0.10183960677256595</c:v>
                </c:pt>
                <c:pt idx="6">
                  <c:v>0.10183514901417783</c:v>
                </c:pt>
                <c:pt idx="7">
                  <c:v>0.10183078502163512</c:v>
                </c:pt>
                <c:pt idx="8">
                  <c:v>0.10182651281507409</c:v>
                </c:pt>
                <c:pt idx="9">
                  <c:v>0.10182233045581592</c:v>
                </c:pt>
                <c:pt idx="10">
                  <c:v>0.10181823604553668</c:v>
                </c:pt>
                <c:pt idx="11">
                  <c:v>0.10181422772545275</c:v>
                </c:pt>
                <c:pt idx="12">
                  <c:v>0.10181030367552169</c:v>
                </c:pt>
                <c:pt idx="13">
                  <c:v>0.10180646211365824</c:v>
                </c:pt>
                <c:pt idx="14">
                  <c:v>0.1018027012949651</c:v>
                </c:pt>
                <c:pt idx="15">
                  <c:v>0.10179901951097846</c:v>
                </c:pt>
                <c:pt idx="16">
                  <c:v>0.10179541508892788</c:v>
                </c:pt>
                <c:pt idx="17">
                  <c:v>0.10179188639101028</c:v>
                </c:pt>
                <c:pt idx="18">
                  <c:v>0.10178843181367797</c:v>
                </c:pt>
                <c:pt idx="19">
                  <c:v>0.10178504978694032</c:v>
                </c:pt>
                <c:pt idx="20">
                  <c:v>0.10178173877367899</c:v>
                </c:pt>
                <c:pt idx="21">
                  <c:v>0.10177849726897606</c:v>
                </c:pt>
                <c:pt idx="22">
                  <c:v>0.10177532379945568</c:v>
                </c:pt>
                <c:pt idx="23">
                  <c:v>0.10177221692263823</c:v>
                </c:pt>
                <c:pt idx="24">
                  <c:v>0.101769175226307</c:v>
                </c:pt>
                <c:pt idx="25">
                  <c:v>0.10176619732788741</c:v>
                </c:pt>
                <c:pt idx="26">
                  <c:v>0.10176328187383828</c:v>
                </c:pt>
                <c:pt idx="27">
                  <c:v>0.10176042753905498</c:v>
                </c:pt>
                <c:pt idx="28">
                  <c:v>0.10175763302628442</c:v>
                </c:pt>
                <c:pt idx="29">
                  <c:v>0.10175489706555155</c:v>
                </c:pt>
                <c:pt idx="30">
                  <c:v>0.10175221841359687</c:v>
                </c:pt>
                <c:pt idx="31">
                  <c:v>0.10174959585332567</c:v>
                </c:pt>
                <c:pt idx="32">
                  <c:v>0.10174702819326752</c:v>
                </c:pt>
                <c:pt idx="33">
                  <c:v>0.10174451426704688</c:v>
                </c:pt>
                <c:pt idx="34">
                  <c:v>0.10174205293286406</c:v>
                </c:pt>
                <c:pt idx="35">
                  <c:v>0.10173964307298655</c:v>
                </c:pt>
                <c:pt idx="36">
                  <c:v>0.10173728359325063</c:v>
                </c:pt>
                <c:pt idx="37">
                  <c:v>0.10173497342257265</c:v>
                </c:pt>
                <c:pt idx="38">
                  <c:v>0.10173271151247031</c:v>
                </c:pt>
                <c:pt idx="39">
                  <c:v>0.10173049683659337</c:v>
                </c:pt>
                <c:pt idx="40">
                  <c:v>0.10172832839026412</c:v>
                </c:pt>
                <c:pt idx="41">
                  <c:v>0.10172620519002641</c:v>
                </c:pt>
                <c:pt idx="42">
                  <c:v>0.10172412627320461</c:v>
                </c:pt>
                <c:pt idx="43">
                  <c:v>0.10172209069747064</c:v>
                </c:pt>
                <c:pt idx="44">
                  <c:v>0.10172009754042052</c:v>
                </c:pt>
                <c:pt idx="45">
                  <c:v>0.10171814589915863</c:v>
                </c:pt>
                <c:pt idx="46">
                  <c:v>0.10171623488989119</c:v>
                </c:pt>
                <c:pt idx="47">
                  <c:v>0.10171436364752748</c:v>
                </c:pt>
                <c:pt idx="48">
                  <c:v>0.10171253132528921</c:v>
                </c:pt>
                <c:pt idx="49">
                  <c:v>0.10171073709432807</c:v>
                </c:pt>
                <c:pt idx="50">
                  <c:v>0.10170898014335071</c:v>
                </c:pt>
                <c:pt idx="51">
                  <c:v>0.10170725967825177</c:v>
                </c:pt>
                <c:pt idx="52">
                  <c:v>0.10170557492175387</c:v>
                </c:pt>
                <c:pt idx="53">
                  <c:v>0.10170392511305539</c:v>
                </c:pt>
                <c:pt idx="54">
                  <c:v>0.10170230950748534</c:v>
                </c:pt>
                <c:pt idx="55">
                  <c:v>0.10170072737616523</c:v>
                </c:pt>
                <c:pt idx="56">
                  <c:v>0.10169917800567765</c:v>
                </c:pt>
                <c:pt idx="57">
                  <c:v>0.10169766069774222</c:v>
                </c:pt>
                <c:pt idx="58">
                  <c:v>0.10169617476889753</c:v>
                </c:pt>
                <c:pt idx="59">
                  <c:v>0.10169471955019009</c:v>
                </c:pt>
                <c:pt idx="60">
                  <c:v>0.10169329438686946</c:v>
                </c:pt>
                <c:pt idx="61">
                  <c:v>0.10169189863808964</c:v>
                </c:pt>
                <c:pt idx="62">
                  <c:v>0.10169053167661678</c:v>
                </c:pt>
                <c:pt idx="63">
                  <c:v>0.10168919288854264</c:v>
                </c:pt>
                <c:pt idx="64">
                  <c:v>0.10168788167300427</c:v>
                </c:pt>
                <c:pt idx="65">
                  <c:v>0.10168659744190921</c:v>
                </c:pt>
                <c:pt idx="66">
                  <c:v>0.10168533961966662</c:v>
                </c:pt>
                <c:pt idx="67">
                  <c:v>0.1016841076429237</c:v>
                </c:pt>
                <c:pt idx="68">
                  <c:v>0.10168290096030774</c:v>
                </c:pt>
                <c:pt idx="69">
                  <c:v>0.10168171903217361</c:v>
                </c:pt>
                <c:pt idx="70">
                  <c:v>0.10168056133035616</c:v>
                </c:pt>
                <c:pt idx="71">
                  <c:v>0.10167942733792808</c:v>
                </c:pt>
                <c:pt idx="72">
                  <c:v>0.1016783165489626</c:v>
                </c:pt>
                <c:pt idx="73">
                  <c:v>0.10167722846830117</c:v>
                </c:pt>
                <c:pt idx="74">
                  <c:v>0.10167616261132607</c:v>
                </c:pt>
                <c:pt idx="75">
                  <c:v>0.10167511850373757</c:v>
                </c:pt>
                <c:pt idx="76">
                  <c:v>0.10167409568133584</c:v>
                </c:pt>
                <c:pt idx="77">
                  <c:v>0.10167309368980737</c:v>
                </c:pt>
                <c:pt idx="78">
                  <c:v>0.1016721120845159</c:v>
                </c:pt>
                <c:pt idx="79">
                  <c:v>0.1016711504302976</c:v>
                </c:pt>
                <c:pt idx="80">
                  <c:v>0.10167020830126065</c:v>
                </c:pt>
                <c:pt idx="81">
                  <c:v>0.10166928528058904</c:v>
                </c:pt>
                <c:pt idx="82">
                  <c:v>0.10166838096035004</c:v>
                </c:pt>
                <c:pt idx="83">
                  <c:v>0.10166749494130643</c:v>
                </c:pt>
                <c:pt idx="84">
                  <c:v>0.10166662683273203</c:v>
                </c:pt>
                <c:pt idx="85">
                  <c:v>0.10166577625223143</c:v>
                </c:pt>
                <c:pt idx="86">
                  <c:v>0.10166494282556326</c:v>
                </c:pt>
                <c:pt idx="87">
                  <c:v>0.10166412618646739</c:v>
                </c:pt>
                <c:pt idx="88">
                  <c:v>0.10166332597649567</c:v>
                </c:pt>
                <c:pt idx="89">
                  <c:v>0.1016625418448461</c:v>
                </c:pt>
                <c:pt idx="90">
                  <c:v>0.1016617734482007</c:v>
                </c:pt>
                <c:pt idx="91">
                  <c:v>0.10166102045056667</c:v>
                </c:pt>
                <c:pt idx="92">
                  <c:v>0.10166028252312065</c:v>
                </c:pt>
                <c:pt idx="93">
                  <c:v>0.10165955934405685</c:v>
                </c:pt>
                <c:pt idx="94">
                  <c:v>0.10165885059843771</c:v>
                </c:pt>
                <c:pt idx="95">
                  <c:v>0.10165815597804811</c:v>
                </c:pt>
                <c:pt idx="96">
                  <c:v>0.10165747518125265</c:v>
                </c:pt>
                <c:pt idx="97">
                  <c:v>0.10165680791285557</c:v>
                </c:pt>
                <c:pt idx="98">
                  <c:v>0.10165615388396407</c:v>
                </c:pt>
                <c:pt idx="99">
                  <c:v>0.10165551281185427</c:v>
                </c:pt>
                <c:pt idx="100">
                  <c:v>0.10165488441983998</c:v>
                </c:pt>
                <c:pt idx="101">
                  <c:v>0.1016542684371444</c:v>
                </c:pt>
                <c:pt idx="102">
                  <c:v>0.1016542684371444</c:v>
                </c:pt>
                <c:pt idx="103">
                  <c:v>0.1016542684371444</c:v>
                </c:pt>
                <c:pt idx="104">
                  <c:v>0.1016542684371444</c:v>
                </c:pt>
                <c:pt idx="105">
                  <c:v>0.1016542684371444</c:v>
                </c:pt>
                <c:pt idx="106">
                  <c:v>0.1016542684371444</c:v>
                </c:pt>
                <c:pt idx="107">
                  <c:v>0.1016542684371444</c:v>
                </c:pt>
                <c:pt idx="108">
                  <c:v>0.1016542684371444</c:v>
                </c:pt>
                <c:pt idx="109">
                  <c:v>0.1016542684371444</c:v>
                </c:pt>
                <c:pt idx="110">
                  <c:v>0.1016542684371444</c:v>
                </c:pt>
                <c:pt idx="111">
                  <c:v>0.1016542684371444</c:v>
                </c:pt>
                <c:pt idx="112">
                  <c:v>0.1016542684371444</c:v>
                </c:pt>
                <c:pt idx="113">
                  <c:v>0.1016542684371444</c:v>
                </c:pt>
                <c:pt idx="114">
                  <c:v>0.1016542684371444</c:v>
                </c:pt>
                <c:pt idx="115">
                  <c:v>0.1016542684371444</c:v>
                </c:pt>
                <c:pt idx="116">
                  <c:v>0.1016542684371444</c:v>
                </c:pt>
                <c:pt idx="117">
                  <c:v>0.1016542684371444</c:v>
                </c:pt>
                <c:pt idx="118">
                  <c:v>0.1016542684371444</c:v>
                </c:pt>
                <c:pt idx="119">
                  <c:v>0.1016542684371444</c:v>
                </c:pt>
                <c:pt idx="120">
                  <c:v>0.1016542684371444</c:v>
                </c:pt>
                <c:pt idx="121">
                  <c:v>0.1016542684371444</c:v>
                </c:pt>
                <c:pt idx="122">
                  <c:v>0.1016542684371444</c:v>
                </c:pt>
                <c:pt idx="123">
                  <c:v>0.1016542684371444</c:v>
                </c:pt>
                <c:pt idx="124">
                  <c:v>0.1016542684371444</c:v>
                </c:pt>
                <c:pt idx="125">
                  <c:v>0.1016542684371444</c:v>
                </c:pt>
                <c:pt idx="126">
                  <c:v>0.1016542684371444</c:v>
                </c:pt>
                <c:pt idx="127">
                  <c:v>0.1016542684371444</c:v>
                </c:pt>
                <c:pt idx="128">
                  <c:v>0.1016542684371444</c:v>
                </c:pt>
                <c:pt idx="129">
                  <c:v>0.1016542684371444</c:v>
                </c:pt>
                <c:pt idx="130">
                  <c:v>0.1016542684371444</c:v>
                </c:pt>
                <c:pt idx="131">
                  <c:v>0.1016542684371444</c:v>
                </c:pt>
                <c:pt idx="132">
                  <c:v>0.1016542684371444</c:v>
                </c:pt>
                <c:pt idx="133">
                  <c:v>0.1016542684371444</c:v>
                </c:pt>
                <c:pt idx="134">
                  <c:v>0.1016542684371444</c:v>
                </c:pt>
                <c:pt idx="135">
                  <c:v>0.1016542684371444</c:v>
                </c:pt>
                <c:pt idx="136">
                  <c:v>0.1016542684371444</c:v>
                </c:pt>
                <c:pt idx="137">
                  <c:v>0.1016542684371444</c:v>
                </c:pt>
                <c:pt idx="138">
                  <c:v>0.1016542684371444</c:v>
                </c:pt>
                <c:pt idx="139">
                  <c:v>0.1016542684371444</c:v>
                </c:pt>
                <c:pt idx="140">
                  <c:v>0.1016542684371444</c:v>
                </c:pt>
                <c:pt idx="141">
                  <c:v>0.1016542684371444</c:v>
                </c:pt>
                <c:pt idx="142">
                  <c:v>0.1016542684371444</c:v>
                </c:pt>
                <c:pt idx="143">
                  <c:v>0.1016542684371444</c:v>
                </c:pt>
                <c:pt idx="144">
                  <c:v>0.1016542684371444</c:v>
                </c:pt>
                <c:pt idx="145">
                  <c:v>0.1016542684371444</c:v>
                </c:pt>
                <c:pt idx="146">
                  <c:v>0.1016542684371444</c:v>
                </c:pt>
                <c:pt idx="147">
                  <c:v>0.1016542684371444</c:v>
                </c:pt>
                <c:pt idx="148">
                  <c:v>0.1016542684371444</c:v>
                </c:pt>
                <c:pt idx="149">
                  <c:v>0.1016542684371444</c:v>
                </c:pt>
                <c:pt idx="150">
                  <c:v>0.1016542684371444</c:v>
                </c:pt>
                <c:pt idx="151">
                  <c:v>0.1016542684371444</c:v>
                </c:pt>
                <c:pt idx="152">
                  <c:v>0.1016542684371444</c:v>
                </c:pt>
                <c:pt idx="153">
                  <c:v>0.1016542684371444</c:v>
                </c:pt>
                <c:pt idx="154">
                  <c:v>0.1016542684371444</c:v>
                </c:pt>
                <c:pt idx="155">
                  <c:v>0.1016542684371444</c:v>
                </c:pt>
                <c:pt idx="156">
                  <c:v>0.1016542684371444</c:v>
                </c:pt>
                <c:pt idx="157">
                  <c:v>0.1016542684371444</c:v>
                </c:pt>
                <c:pt idx="158">
                  <c:v>0.1016542684371444</c:v>
                </c:pt>
                <c:pt idx="159">
                  <c:v>0.1016542684371444</c:v>
                </c:pt>
                <c:pt idx="160">
                  <c:v>0.1016542684371444</c:v>
                </c:pt>
                <c:pt idx="161">
                  <c:v>0.1016542684371444</c:v>
                </c:pt>
                <c:pt idx="162">
                  <c:v>0.1016542684371444</c:v>
                </c:pt>
                <c:pt idx="163">
                  <c:v>0.1016542684371444</c:v>
                </c:pt>
                <c:pt idx="164">
                  <c:v>0.1016542684371444</c:v>
                </c:pt>
                <c:pt idx="165">
                  <c:v>0.1016542684371444</c:v>
                </c:pt>
                <c:pt idx="166">
                  <c:v>0.1016542684371444</c:v>
                </c:pt>
                <c:pt idx="167">
                  <c:v>0.1016542684371444</c:v>
                </c:pt>
                <c:pt idx="168">
                  <c:v>0.1016542684371444</c:v>
                </c:pt>
                <c:pt idx="169">
                  <c:v>0.1016542684371444</c:v>
                </c:pt>
                <c:pt idx="170">
                  <c:v>0.1016542684371444</c:v>
                </c:pt>
                <c:pt idx="171">
                  <c:v>0.1016542684371444</c:v>
                </c:pt>
                <c:pt idx="172">
                  <c:v>0.1016542684371444</c:v>
                </c:pt>
                <c:pt idx="173">
                  <c:v>0.1016542684371444</c:v>
                </c:pt>
                <c:pt idx="174">
                  <c:v>0.1016542684371444</c:v>
                </c:pt>
                <c:pt idx="175">
                  <c:v>0.1016542684371444</c:v>
                </c:pt>
                <c:pt idx="176">
                  <c:v>0.1016542684371444</c:v>
                </c:pt>
                <c:pt idx="177">
                  <c:v>0.1016542684371444</c:v>
                </c:pt>
                <c:pt idx="178">
                  <c:v>0.1016542684371444</c:v>
                </c:pt>
                <c:pt idx="179">
                  <c:v>0.1016542684371444</c:v>
                </c:pt>
                <c:pt idx="180">
                  <c:v>0.1016542684371444</c:v>
                </c:pt>
                <c:pt idx="181">
                  <c:v>0.1016542684371444</c:v>
                </c:pt>
                <c:pt idx="182">
                  <c:v>0.1016542684371444</c:v>
                </c:pt>
                <c:pt idx="183">
                  <c:v>0.1016542684371444</c:v>
                </c:pt>
                <c:pt idx="184">
                  <c:v>0.1016542684371444</c:v>
                </c:pt>
                <c:pt idx="185">
                  <c:v>0.1016542684371444</c:v>
                </c:pt>
                <c:pt idx="186">
                  <c:v>0.1016542684371444</c:v>
                </c:pt>
                <c:pt idx="187">
                  <c:v>0.1016542684371444</c:v>
                </c:pt>
                <c:pt idx="188">
                  <c:v>0.1016542684371444</c:v>
                </c:pt>
                <c:pt idx="189">
                  <c:v>0.1016542684371444</c:v>
                </c:pt>
                <c:pt idx="190">
                  <c:v>0.1016542684371444</c:v>
                </c:pt>
                <c:pt idx="191">
                  <c:v>0.1016542684371444</c:v>
                </c:pt>
                <c:pt idx="192">
                  <c:v>0.1016542684371444</c:v>
                </c:pt>
                <c:pt idx="193">
                  <c:v>0.1016542684371444</c:v>
                </c:pt>
                <c:pt idx="194">
                  <c:v>0.1016542684371444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9-4017-828D-0939C9EB9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4541424"/>
        <c:axId val="624542080"/>
      </c:scatterChart>
      <c:valAx>
        <c:axId val="624541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542080"/>
        <c:crosses val="autoZero"/>
        <c:crossBetween val="midCat"/>
      </c:valAx>
      <c:valAx>
        <c:axId val="62454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541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Model!$L$4</c:f>
              <c:strCache>
                <c:ptCount val="1"/>
                <c:pt idx="0">
                  <c:v>P_CO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Model!$A$5:$A$199</c:f>
              <c:numCache>
                <c:formatCode>0.00</c:formatCode>
                <c:ptCount val="19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</c:numCache>
            </c:numRef>
          </c:xVal>
          <c:yVal>
            <c:numRef>
              <c:f>Model!$L$5:$L$199</c:f>
              <c:numCache>
                <c:formatCode>0.0000</c:formatCode>
                <c:ptCount val="195"/>
                <c:pt idx="0">
                  <c:v>5.1126123634426853E-4</c:v>
                </c:pt>
                <c:pt idx="1">
                  <c:v>5.0034305960115029E-4</c:v>
                </c:pt>
                <c:pt idx="2">
                  <c:v>4.8965705189339302E-4</c:v>
                </c:pt>
                <c:pt idx="3">
                  <c:v>4.7919831786807178E-4</c:v>
                </c:pt>
                <c:pt idx="4">
                  <c:v>4.6896206364808747E-4</c:v>
                </c:pt>
                <c:pt idx="5">
                  <c:v>4.5894359480189525E-4</c:v>
                </c:pt>
                <c:pt idx="6">
                  <c:v>4.4913831435076311E-4</c:v>
                </c:pt>
                <c:pt idx="7">
                  <c:v>4.3954172081300152E-4</c:v>
                </c:pt>
                <c:pt idx="8">
                  <c:v>4.3014940628460254E-4</c:v>
                </c:pt>
                <c:pt idx="9">
                  <c:v>4.2095705455573549E-4</c:v>
                </c:pt>
                <c:pt idx="10">
                  <c:v>4.1196043926254345E-4</c:v>
                </c:pt>
                <c:pt idx="11">
                  <c:v>4.0315542207369309E-4</c:v>
                </c:pt>
                <c:pt idx="12">
                  <c:v>3.9453795091112955E-4</c:v>
                </c:pt>
                <c:pt idx="13">
                  <c:v>3.8610405820449511E-4</c:v>
                </c:pt>
                <c:pt idx="14">
                  <c:v>3.7784985917867317E-4</c:v>
                </c:pt>
                <c:pt idx="15">
                  <c:v>3.697715501739218E-4</c:v>
                </c:pt>
                <c:pt idx="16">
                  <c:v>3.6186540699806953E-4</c:v>
                </c:pt>
                <c:pt idx="17">
                  <c:v>3.541277833102451E-4</c:v>
                </c:pt>
                <c:pt idx="18">
                  <c:v>3.4655510903562338E-4</c:v>
                </c:pt>
                <c:pt idx="19">
                  <c:v>3.3914388881066968E-4</c:v>
                </c:pt>
                <c:pt idx="20">
                  <c:v>3.3189070045837332E-4</c:v>
                </c:pt>
                <c:pt idx="21">
                  <c:v>3.2479219349296342E-4</c:v>
                </c:pt>
                <c:pt idx="22">
                  <c:v>3.1784508765360885E-4</c:v>
                </c:pt>
                <c:pt idx="23">
                  <c:v>3.1104617146660528E-4</c:v>
                </c:pt>
                <c:pt idx="24">
                  <c:v>3.0439230083556236E-4</c:v>
                </c:pt>
                <c:pt idx="25">
                  <c:v>2.9788039765910458E-4</c:v>
                </c:pt>
                <c:pt idx="26">
                  <c:v>2.9150744847561075E-4</c:v>
                </c:pt>
                <c:pt idx="27">
                  <c:v>2.8527050313451681E-4</c:v>
                </c:pt>
                <c:pt idx="28">
                  <c:v>2.7916667349371779E-4</c:v>
                </c:pt>
                <c:pt idx="29">
                  <c:v>2.7319313214260645E-4</c:v>
                </c:pt>
                <c:pt idx="30">
                  <c:v>2.673471111502944E-4</c:v>
                </c:pt>
                <c:pt idx="31">
                  <c:v>2.6162590083856686E-4</c:v>
                </c:pt>
                <c:pt idx="32">
                  <c:v>2.5602684857912707E-4</c:v>
                </c:pt>
                <c:pt idx="33">
                  <c:v>2.5054735761469404E-4</c:v>
                </c:pt>
                <c:pt idx="34">
                  <c:v>2.4518488590352184E-4</c:v>
                </c:pt>
                <c:pt idx="35">
                  <c:v>2.3993694498691557E-4</c:v>
                </c:pt>
                <c:pt idx="36">
                  <c:v>2.3480109887932474E-4</c:v>
                </c:pt>
                <c:pt idx="37">
                  <c:v>2.2977496298059996E-4</c:v>
                </c:pt>
                <c:pt idx="38">
                  <c:v>2.2485620301000662E-4</c:v>
                </c:pt>
                <c:pt idx="39">
                  <c:v>2.2004253396159328E-4</c:v>
                </c:pt>
                <c:pt idx="40">
                  <c:v>2.1533171908052031E-4</c:v>
                </c:pt>
                <c:pt idx="41">
                  <c:v>2.1072156885995776E-4</c:v>
                </c:pt>
                <c:pt idx="42">
                  <c:v>2.0620994005817039E-4</c:v>
                </c:pt>
                <c:pt idx="43">
                  <c:v>2.0179473473541065E-4</c:v>
                </c:pt>
                <c:pt idx="44">
                  <c:v>1.9747389931024898E-4</c:v>
                </c:pt>
                <c:pt idx="45">
                  <c:v>1.9324542363497333E-4</c:v>
                </c:pt>
                <c:pt idx="46">
                  <c:v>1.8910734008970032E-4</c:v>
                </c:pt>
                <c:pt idx="47">
                  <c:v>1.850577226948405E-4</c:v>
                </c:pt>
                <c:pt idx="48">
                  <c:v>1.8109468624157035E-4</c:v>
                </c:pt>
                <c:pt idx="49">
                  <c:v>1.7721638543996763E-4</c:v>
                </c:pt>
                <c:pt idx="50">
                  <c:v>1.7342101408447127E-4</c:v>
                </c:pt>
                <c:pt idx="51">
                  <c:v>1.6970680423633526E-4</c:v>
                </c:pt>
                <c:pt idx="52">
                  <c:v>1.6607202542274791E-4</c:v>
                </c:pt>
                <c:pt idx="53">
                  <c:v>1.6251498385229667E-4</c:v>
                </c:pt>
                <c:pt idx="54">
                  <c:v>1.590340216464623E-4</c:v>
                </c:pt>
                <c:pt idx="55">
                  <c:v>1.5562751608683167E-4</c:v>
                </c:pt>
                <c:pt idx="56">
                  <c:v>1.5229387887772311E-4</c:v>
                </c:pt>
                <c:pt idx="57">
                  <c:v>1.490315554239267E-4</c:v>
                </c:pt>
                <c:pt idx="58">
                  <c:v>1.4583902412326183E-4</c:v>
                </c:pt>
                <c:pt idx="59">
                  <c:v>1.4271479567366411E-4</c:v>
                </c:pt>
                <c:pt idx="60">
                  <c:v>1.3965741239451641E-4</c:v>
                </c:pt>
                <c:pt idx="61">
                  <c:v>1.3666544756194395E-4</c:v>
                </c:pt>
                <c:pt idx="62">
                  <c:v>1.3373750475779942E-4</c:v>
                </c:pt>
                <c:pt idx="63">
                  <c:v>1.3087221723206752E-4</c:v>
                </c:pt>
                <c:pt idx="64">
                  <c:v>1.280682472784242E-4</c:v>
                </c:pt>
                <c:pt idx="65">
                  <c:v>1.2532428562269009E-4</c:v>
                </c:pt>
                <c:pt idx="66">
                  <c:v>1.2263905082392264E-4</c:v>
                </c:pt>
                <c:pt idx="67">
                  <c:v>1.2001128868789538E-4</c:v>
                </c:pt>
                <c:pt idx="68">
                  <c:v>1.1743977169271835E-4</c:v>
                </c:pt>
                <c:pt idx="69">
                  <c:v>1.1492329842635757E-4</c:v>
                </c:pt>
                <c:pt idx="70">
                  <c:v>1.1246069303581547E-4</c:v>
                </c:pt>
                <c:pt idx="71">
                  <c:v>1.1005080468773971E-4</c:v>
                </c:pt>
                <c:pt idx="72">
                  <c:v>1.0769250704023087E-4</c:v>
                </c:pt>
                <c:pt idx="73">
                  <c:v>1.0538469772562476E-4</c:v>
                </c:pt>
                <c:pt idx="74">
                  <c:v>1.0312629784402852E-4</c:v>
                </c:pt>
                <c:pt idx="75">
                  <c:v>1.0091625146739421E-4</c:v>
                </c:pt>
                <c:pt idx="76">
                  <c:v>9.8753525153917349E-5</c:v>
                </c:pt>
                <c:pt idx="77">
                  <c:v>9.6637107472552345E-5</c:v>
                </c:pt>
                <c:pt idx="78">
                  <c:v>9.4566008537440139E-5</c:v>
                </c:pt>
                <c:pt idx="79">
                  <c:v>9.2539259552047203E-5</c:v>
                </c:pt>
                <c:pt idx="80">
                  <c:v>9.0555912362819764E-5</c:v>
                </c:pt>
                <c:pt idx="81">
                  <c:v>8.8615039022159708E-5</c:v>
                </c:pt>
                <c:pt idx="82">
                  <c:v>8.6715731360532383E-5</c:v>
                </c:pt>
                <c:pt idx="83">
                  <c:v>8.485710056752179E-5</c:v>
                </c:pt>
                <c:pt idx="84">
                  <c:v>8.3038276781649642E-5</c:v>
                </c:pt>
                <c:pt idx="85">
                  <c:v>8.125840868878045E-5</c:v>
                </c:pt>
                <c:pt idx="86">
                  <c:v>7.9516663128936883E-5</c:v>
                </c:pt>
                <c:pt idx="87">
                  <c:v>7.7812224711353901E-5</c:v>
                </c:pt>
                <c:pt idx="88">
                  <c:v>7.6144295437602898E-5</c:v>
                </c:pt>
                <c:pt idx="89">
                  <c:v>7.4512094332620702E-5</c:v>
                </c:pt>
                <c:pt idx="90">
                  <c:v>7.2914857083481254E-5</c:v>
                </c:pt>
                <c:pt idx="91">
                  <c:v>7.1351835685751395E-5</c:v>
                </c:pt>
                <c:pt idx="92">
                  <c:v>6.9822298097274306E-5</c:v>
                </c:pt>
                <c:pt idx="93">
                  <c:v>6.8325527899229017E-5</c:v>
                </c:pt>
                <c:pt idx="94">
                  <c:v>6.6860823964314821E-5</c:v>
                </c:pt>
                <c:pt idx="95">
                  <c:v>6.5427500131915085E-5</c:v>
                </c:pt>
                <c:pt idx="96">
                  <c:v>6.4024884890095954E-5</c:v>
                </c:pt>
                <c:pt idx="97">
                  <c:v>6.2652321064298814E-5</c:v>
                </c:pt>
                <c:pt idx="98">
                  <c:v>6.1309165512588612E-5</c:v>
                </c:pt>
                <c:pt idx="99">
                  <c:v>5.9994788827322373E-5</c:v>
                </c:pt>
                <c:pt idx="100">
                  <c:v>5.8708575043105026E-5</c:v>
                </c:pt>
                <c:pt idx="101">
                  <c:v>5.7449921350902519E-5</c:v>
                </c:pt>
                <c:pt idx="102">
                  <c:v>5.7449921350902519E-5</c:v>
                </c:pt>
                <c:pt idx="103">
                  <c:v>5.7449921350902519E-5</c:v>
                </c:pt>
                <c:pt idx="104">
                  <c:v>5.7449921350902519E-5</c:v>
                </c:pt>
                <c:pt idx="105">
                  <c:v>5.7449921350902519E-5</c:v>
                </c:pt>
                <c:pt idx="106">
                  <c:v>5.7449921350902519E-5</c:v>
                </c:pt>
                <c:pt idx="107">
                  <c:v>5.7449921350902519E-5</c:v>
                </c:pt>
                <c:pt idx="108">
                  <c:v>5.7449921350902519E-5</c:v>
                </c:pt>
                <c:pt idx="109">
                  <c:v>5.7449921350902519E-5</c:v>
                </c:pt>
                <c:pt idx="110">
                  <c:v>5.7449921350902519E-5</c:v>
                </c:pt>
                <c:pt idx="111">
                  <c:v>5.7449921350902519E-5</c:v>
                </c:pt>
                <c:pt idx="112">
                  <c:v>5.7449921350902519E-5</c:v>
                </c:pt>
                <c:pt idx="113">
                  <c:v>5.7449921350902519E-5</c:v>
                </c:pt>
                <c:pt idx="114">
                  <c:v>5.7449921350902519E-5</c:v>
                </c:pt>
                <c:pt idx="115">
                  <c:v>5.7449921350902519E-5</c:v>
                </c:pt>
                <c:pt idx="116">
                  <c:v>5.7449921350902519E-5</c:v>
                </c:pt>
                <c:pt idx="117">
                  <c:v>5.7449921350902519E-5</c:v>
                </c:pt>
                <c:pt idx="118">
                  <c:v>5.7449921350902519E-5</c:v>
                </c:pt>
                <c:pt idx="119">
                  <c:v>5.7449921350902519E-5</c:v>
                </c:pt>
                <c:pt idx="120">
                  <c:v>5.7449921350902519E-5</c:v>
                </c:pt>
                <c:pt idx="121">
                  <c:v>5.7449921350902519E-5</c:v>
                </c:pt>
                <c:pt idx="122">
                  <c:v>5.7449921350902519E-5</c:v>
                </c:pt>
                <c:pt idx="123">
                  <c:v>5.7449921350902519E-5</c:v>
                </c:pt>
                <c:pt idx="124">
                  <c:v>5.7449921350902519E-5</c:v>
                </c:pt>
                <c:pt idx="125">
                  <c:v>5.7449921350902519E-5</c:v>
                </c:pt>
                <c:pt idx="126">
                  <c:v>5.7449921350902519E-5</c:v>
                </c:pt>
                <c:pt idx="127">
                  <c:v>5.7449921350902519E-5</c:v>
                </c:pt>
                <c:pt idx="128">
                  <c:v>5.7449921350902519E-5</c:v>
                </c:pt>
                <c:pt idx="129">
                  <c:v>5.7449921350902519E-5</c:v>
                </c:pt>
                <c:pt idx="130">
                  <c:v>5.7449921350902519E-5</c:v>
                </c:pt>
                <c:pt idx="131">
                  <c:v>5.7449921350902519E-5</c:v>
                </c:pt>
                <c:pt idx="132">
                  <c:v>5.7449921350902519E-5</c:v>
                </c:pt>
                <c:pt idx="133">
                  <c:v>5.7449921350902519E-5</c:v>
                </c:pt>
                <c:pt idx="134">
                  <c:v>5.7449921350902519E-5</c:v>
                </c:pt>
                <c:pt idx="135">
                  <c:v>5.7449921350902519E-5</c:v>
                </c:pt>
                <c:pt idx="136">
                  <c:v>5.7449921350902519E-5</c:v>
                </c:pt>
                <c:pt idx="137">
                  <c:v>5.7449921350902519E-5</c:v>
                </c:pt>
                <c:pt idx="138">
                  <c:v>5.7449921350902519E-5</c:v>
                </c:pt>
                <c:pt idx="139">
                  <c:v>5.7449921350902519E-5</c:v>
                </c:pt>
                <c:pt idx="140">
                  <c:v>5.7449921350902519E-5</c:v>
                </c:pt>
                <c:pt idx="141">
                  <c:v>5.7449921350902519E-5</c:v>
                </c:pt>
                <c:pt idx="142">
                  <c:v>5.7449921350902519E-5</c:v>
                </c:pt>
                <c:pt idx="143">
                  <c:v>5.7449921350902519E-5</c:v>
                </c:pt>
                <c:pt idx="144">
                  <c:v>5.7449921350902519E-5</c:v>
                </c:pt>
                <c:pt idx="145">
                  <c:v>5.7449921350902519E-5</c:v>
                </c:pt>
                <c:pt idx="146">
                  <c:v>5.7449921350902519E-5</c:v>
                </c:pt>
                <c:pt idx="147">
                  <c:v>5.7449921350902519E-5</c:v>
                </c:pt>
                <c:pt idx="148">
                  <c:v>5.7449921350902519E-5</c:v>
                </c:pt>
                <c:pt idx="149">
                  <c:v>5.7449921350902519E-5</c:v>
                </c:pt>
                <c:pt idx="150">
                  <c:v>5.7449921350902519E-5</c:v>
                </c:pt>
                <c:pt idx="151">
                  <c:v>5.7449921350902519E-5</c:v>
                </c:pt>
                <c:pt idx="152">
                  <c:v>5.7449921350902519E-5</c:v>
                </c:pt>
                <c:pt idx="153">
                  <c:v>5.7449921350902519E-5</c:v>
                </c:pt>
                <c:pt idx="154">
                  <c:v>5.7449921350902519E-5</c:v>
                </c:pt>
                <c:pt idx="155">
                  <c:v>5.7449921350902519E-5</c:v>
                </c:pt>
                <c:pt idx="156">
                  <c:v>5.7449921350902519E-5</c:v>
                </c:pt>
                <c:pt idx="157">
                  <c:v>5.7449921350902519E-5</c:v>
                </c:pt>
                <c:pt idx="158">
                  <c:v>5.7449921350902519E-5</c:v>
                </c:pt>
                <c:pt idx="159">
                  <c:v>5.7449921350902519E-5</c:v>
                </c:pt>
                <c:pt idx="160">
                  <c:v>5.7449921350902519E-5</c:v>
                </c:pt>
                <c:pt idx="161">
                  <c:v>5.7449921350902519E-5</c:v>
                </c:pt>
                <c:pt idx="162">
                  <c:v>5.7449921350902519E-5</c:v>
                </c:pt>
                <c:pt idx="163">
                  <c:v>5.7449921350902519E-5</c:v>
                </c:pt>
                <c:pt idx="164">
                  <c:v>5.7449921350902519E-5</c:v>
                </c:pt>
                <c:pt idx="165">
                  <c:v>5.7449921350902519E-5</c:v>
                </c:pt>
                <c:pt idx="166">
                  <c:v>5.7449921350902519E-5</c:v>
                </c:pt>
                <c:pt idx="167">
                  <c:v>5.7449921350902519E-5</c:v>
                </c:pt>
                <c:pt idx="168">
                  <c:v>5.7449921350902519E-5</c:v>
                </c:pt>
                <c:pt idx="169">
                  <c:v>5.7449921350902519E-5</c:v>
                </c:pt>
                <c:pt idx="170">
                  <c:v>5.7449921350902519E-5</c:v>
                </c:pt>
                <c:pt idx="171">
                  <c:v>5.7449921350902519E-5</c:v>
                </c:pt>
                <c:pt idx="172">
                  <c:v>5.7449921350902519E-5</c:v>
                </c:pt>
                <c:pt idx="173">
                  <c:v>5.7449921350902519E-5</c:v>
                </c:pt>
                <c:pt idx="174">
                  <c:v>5.7449921350902519E-5</c:v>
                </c:pt>
                <c:pt idx="175">
                  <c:v>5.7449921350902519E-5</c:v>
                </c:pt>
                <c:pt idx="176">
                  <c:v>5.7449921350902519E-5</c:v>
                </c:pt>
                <c:pt idx="177">
                  <c:v>5.7449921350902519E-5</c:v>
                </c:pt>
                <c:pt idx="178">
                  <c:v>5.7449921350902519E-5</c:v>
                </c:pt>
                <c:pt idx="179">
                  <c:v>5.7449921350902519E-5</c:v>
                </c:pt>
                <c:pt idx="180">
                  <c:v>5.7449921350902519E-5</c:v>
                </c:pt>
                <c:pt idx="181">
                  <c:v>5.7449921350902519E-5</c:v>
                </c:pt>
                <c:pt idx="182">
                  <c:v>5.7449921350902519E-5</c:v>
                </c:pt>
                <c:pt idx="183">
                  <c:v>5.7449921350902519E-5</c:v>
                </c:pt>
                <c:pt idx="184">
                  <c:v>5.7449921350902519E-5</c:v>
                </c:pt>
                <c:pt idx="185">
                  <c:v>5.7449921350902519E-5</c:v>
                </c:pt>
                <c:pt idx="186">
                  <c:v>5.7449921350902519E-5</c:v>
                </c:pt>
                <c:pt idx="187">
                  <c:v>5.7449921350902519E-5</c:v>
                </c:pt>
                <c:pt idx="188">
                  <c:v>5.7449921350902519E-5</c:v>
                </c:pt>
                <c:pt idx="189">
                  <c:v>5.7449921350902519E-5</c:v>
                </c:pt>
                <c:pt idx="190">
                  <c:v>5.7449921350902519E-5</c:v>
                </c:pt>
                <c:pt idx="191">
                  <c:v>5.7449921350902519E-5</c:v>
                </c:pt>
                <c:pt idx="192">
                  <c:v>5.7449921350902519E-5</c:v>
                </c:pt>
                <c:pt idx="193">
                  <c:v>5.7449921350902519E-5</c:v>
                </c:pt>
                <c:pt idx="194">
                  <c:v>5.7449921350902519E-5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22-4211-BC4D-F82F80302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4541424"/>
        <c:axId val="624542080"/>
      </c:scatterChart>
      <c:valAx>
        <c:axId val="62454142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542080"/>
        <c:crossesAt val="1.0000000000000004E-6"/>
        <c:crossBetween val="midCat"/>
      </c:valAx>
      <c:valAx>
        <c:axId val="624542080"/>
        <c:scaling>
          <c:logBase val="10"/>
          <c:orientation val="minMax"/>
          <c:max val="2.0000000000000005E-3"/>
          <c:min val="1.0000000000000004E-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541424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Model!$O$4</c:f>
              <c:strCache>
                <c:ptCount val="1"/>
                <c:pt idx="0">
                  <c:v>P_NO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Model!$A$5:$A$199</c:f>
              <c:numCache>
                <c:formatCode>0.00</c:formatCode>
                <c:ptCount val="19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</c:numCache>
            </c:numRef>
          </c:xVal>
          <c:yVal>
            <c:numRef>
              <c:f>Model!$O$5:$O$199</c:f>
              <c:numCache>
                <c:formatCode>0.0000</c:formatCode>
                <c:ptCount val="195"/>
                <c:pt idx="0">
                  <c:v>1.9954363657002182E-4</c:v>
                </c:pt>
                <c:pt idx="1">
                  <c:v>1.994255744546518E-4</c:v>
                </c:pt>
                <c:pt idx="2">
                  <c:v>1.9930754860806167E-4</c:v>
                </c:pt>
                <c:pt idx="3">
                  <c:v>1.9918955975416788E-4</c:v>
                </c:pt>
                <c:pt idx="4">
                  <c:v>1.9907160860054644E-4</c:v>
                </c:pt>
                <c:pt idx="5">
                  <c:v>1.989536958387714E-4</c:v>
                </c:pt>
                <c:pt idx="6">
                  <c:v>1.9883582214474648E-4</c:v>
                </c:pt>
                <c:pt idx="7">
                  <c:v>1.9871798817903093E-4</c:v>
                </c:pt>
                <c:pt idx="8">
                  <c:v>1.986001945871584E-4</c:v>
                </c:pt>
                <c:pt idx="9">
                  <c:v>1.9848244199994987E-4</c:v>
                </c:pt>
                <c:pt idx="10">
                  <c:v>1.9836473103382055E-4</c:v>
                </c:pt>
                <c:pt idx="11">
                  <c:v>1.9824706229108069E-4</c:v>
                </c:pt>
                <c:pt idx="12">
                  <c:v>1.9812943636023038E-4</c:v>
                </c:pt>
                <c:pt idx="13">
                  <c:v>1.9801185381624871E-4</c:v>
                </c:pt>
                <c:pt idx="14">
                  <c:v>1.9789431522087726E-4</c:v>
                </c:pt>
                <c:pt idx="15">
                  <c:v>1.9777682112289744E-4</c:v>
                </c:pt>
                <c:pt idx="16">
                  <c:v>1.9765937205840333E-4</c:v>
                </c:pt>
                <c:pt idx="17">
                  <c:v>1.9754196855106804E-4</c:v>
                </c:pt>
                <c:pt idx="18">
                  <c:v>1.9742461111240542E-4</c:v>
                </c:pt>
                <c:pt idx="19">
                  <c:v>1.9730730024202626E-4</c:v>
                </c:pt>
                <c:pt idx="20">
                  <c:v>1.9719003642788968E-4</c:v>
                </c:pt>
                <c:pt idx="21">
                  <c:v>1.9707282014654881E-4</c:v>
                </c:pt>
                <c:pt idx="22">
                  <c:v>1.969556518633923E-4</c:v>
                </c:pt>
                <c:pt idx="23">
                  <c:v>1.9683853203288036E-4</c:v>
                </c:pt>
                <c:pt idx="24">
                  <c:v>1.967214610987765E-4</c:v>
                </c:pt>
                <c:pt idx="25">
                  <c:v>1.9660443949437412E-4</c:v>
                </c:pt>
                <c:pt idx="26">
                  <c:v>1.9648746764271905E-4</c:v>
                </c:pt>
                <c:pt idx="27">
                  <c:v>1.9637054595682691E-4</c:v>
                </c:pt>
                <c:pt idx="28">
                  <c:v>1.9625367483989658E-4</c:v>
                </c:pt>
                <c:pt idx="29">
                  <c:v>1.9613685468551905E-4</c:v>
                </c:pt>
                <c:pt idx="30">
                  <c:v>1.9602008587788199E-4</c:v>
                </c:pt>
                <c:pt idx="31">
                  <c:v>1.9590336879197052E-4</c:v>
                </c:pt>
                <c:pt idx="32">
                  <c:v>1.9578670379376327E-4</c:v>
                </c:pt>
                <c:pt idx="33">
                  <c:v>1.956700912404248E-4</c:v>
                </c:pt>
                <c:pt idx="34">
                  <c:v>1.95553531480494E-4</c:v>
                </c:pt>
                <c:pt idx="35">
                  <c:v>1.9543702485406829E-4</c:v>
                </c:pt>
                <c:pt idx="36">
                  <c:v>1.9532057169298483E-4</c:v>
                </c:pt>
                <c:pt idx="37">
                  <c:v>1.9520417232099708E-4</c:v>
                </c:pt>
                <c:pt idx="38">
                  <c:v>1.9508782705394815E-4</c:v>
                </c:pt>
                <c:pt idx="39">
                  <c:v>1.9497153619994038E-4</c:v>
                </c:pt>
                <c:pt idx="40">
                  <c:v>1.9485530005950189E-4</c:v>
                </c:pt>
                <c:pt idx="41">
                  <c:v>1.9473911892574873E-4</c:v>
                </c:pt>
                <c:pt idx="42">
                  <c:v>1.9462299308454475E-4</c:v>
                </c:pt>
                <c:pt idx="43">
                  <c:v>1.9450692281465723E-4</c:v>
                </c:pt>
                <c:pt idx="44">
                  <c:v>1.9439090838791002E-4</c:v>
                </c:pt>
                <c:pt idx="45">
                  <c:v>1.9427495006933245E-4</c:v>
                </c:pt>
                <c:pt idx="46">
                  <c:v>1.9415904811730648E-4</c:v>
                </c:pt>
                <c:pt idx="47">
                  <c:v>1.940432027837098E-4</c:v>
                </c:pt>
                <c:pt idx="48">
                  <c:v>1.939274143140559E-4</c:v>
                </c:pt>
                <c:pt idx="49">
                  <c:v>1.9381168294763205E-4</c:v>
                </c:pt>
                <c:pt idx="50">
                  <c:v>1.9369600891763324E-4</c:v>
                </c:pt>
                <c:pt idx="51">
                  <c:v>1.9358039245129452E-4</c:v>
                </c:pt>
                <c:pt idx="52">
                  <c:v>1.9346483377001932E-4</c:v>
                </c:pt>
                <c:pt idx="53">
                  <c:v>1.9334933308950592E-4</c:v>
                </c:pt>
                <c:pt idx="54">
                  <c:v>1.9323389061987119E-4</c:v>
                </c:pt>
                <c:pt idx="55">
                  <c:v>1.9311850656577139E-4</c:v>
                </c:pt>
                <c:pt idx="56">
                  <c:v>1.9300318112652022E-4</c:v>
                </c:pt>
                <c:pt idx="57">
                  <c:v>1.9288791449620536E-4</c:v>
                </c:pt>
                <c:pt idx="58">
                  <c:v>1.9277270686380131E-4</c:v>
                </c:pt>
                <c:pt idx="59">
                  <c:v>1.9265755841328081E-4</c:v>
                </c:pt>
                <c:pt idx="60">
                  <c:v>1.9254246932372328E-4</c:v>
                </c:pt>
                <c:pt idx="61">
                  <c:v>1.9242743976942124E-4</c:v>
                </c:pt>
                <c:pt idx="62">
                  <c:v>1.9231246991998456E-4</c:v>
                </c:pt>
                <c:pt idx="63">
                  <c:v>1.9219755994044204E-4</c:v>
                </c:pt>
                <c:pt idx="64">
                  <c:v>1.9208270999134148E-4</c:v>
                </c:pt>
                <c:pt idx="65">
                  <c:v>1.9196792022884701E-4</c:v>
                </c:pt>
                <c:pt idx="66">
                  <c:v>1.9185319080483479E-4</c:v>
                </c:pt>
                <c:pt idx="67">
                  <c:v>1.9173852186698645E-4</c:v>
                </c:pt>
                <c:pt idx="68">
                  <c:v>1.9162391355888038E-4</c:v>
                </c:pt>
                <c:pt idx="69">
                  <c:v>1.9150936602008167E-4</c:v>
                </c:pt>
                <c:pt idx="70">
                  <c:v>1.9139487938622923E-4</c:v>
                </c:pt>
                <c:pt idx="71">
                  <c:v>1.9128045378912203E-4</c:v>
                </c:pt>
                <c:pt idx="72">
                  <c:v>1.9116608935680263E-4</c:v>
                </c:pt>
                <c:pt idx="73">
                  <c:v>1.9105178621363944E-4</c:v>
                </c:pt>
                <c:pt idx="74">
                  <c:v>1.9093754448040718E-4</c:v>
                </c:pt>
                <c:pt idx="75">
                  <c:v>1.908233642743653E-4</c:v>
                </c:pt>
                <c:pt idx="76">
                  <c:v>1.9070924570933505E-4</c:v>
                </c:pt>
                <c:pt idx="77">
                  <c:v>1.9059518889577478E-4</c:v>
                </c:pt>
                <c:pt idx="78">
                  <c:v>1.9048119394085361E-4</c:v>
                </c:pt>
                <c:pt idx="79">
                  <c:v>1.9036726094852333E-4</c:v>
                </c:pt>
                <c:pt idx="80">
                  <c:v>1.902533900195892E-4</c:v>
                </c:pt>
                <c:pt idx="81">
                  <c:v>1.9013958125177913E-4</c:v>
                </c:pt>
                <c:pt idx="82">
                  <c:v>1.9002583473981056E-4</c:v>
                </c:pt>
                <c:pt idx="83">
                  <c:v>1.8991215057545711E-4</c:v>
                </c:pt>
                <c:pt idx="84">
                  <c:v>1.8979852884761319E-4</c:v>
                </c:pt>
                <c:pt idx="85">
                  <c:v>1.8968496964235704E-4</c:v>
                </c:pt>
                <c:pt idx="86">
                  <c:v>1.8957147304301278E-4</c:v>
                </c:pt>
                <c:pt idx="87">
                  <c:v>1.8945803913021097E-4</c:v>
                </c:pt>
                <c:pt idx="88">
                  <c:v>1.8934466798194776E-4</c:v>
                </c:pt>
                <c:pt idx="89">
                  <c:v>1.8923135967364294E-4</c:v>
                </c:pt>
                <c:pt idx="90">
                  <c:v>1.8911811427819669E-4</c:v>
                </c:pt>
                <c:pt idx="91">
                  <c:v>1.8900493186604532E-4</c:v>
                </c:pt>
                <c:pt idx="92">
                  <c:v>1.8889181250521478E-4</c:v>
                </c:pt>
                <c:pt idx="93">
                  <c:v>1.8877875626137485E-4</c:v>
                </c:pt>
                <c:pt idx="94">
                  <c:v>1.8866576319789016E-4</c:v>
                </c:pt>
                <c:pt idx="95">
                  <c:v>1.8855283337587165E-4</c:v>
                </c:pt>
                <c:pt idx="96">
                  <c:v>1.8843996685422609E-4</c:v>
                </c:pt>
                <c:pt idx="97">
                  <c:v>1.8832716368970479E-4</c:v>
                </c:pt>
                <c:pt idx="98">
                  <c:v>1.8821442393695113E-4</c:v>
                </c:pt>
                <c:pt idx="99">
                  <c:v>1.8810174764854722E-4</c:v>
                </c:pt>
                <c:pt idx="100">
                  <c:v>1.8798913487505956E-4</c:v>
                </c:pt>
                <c:pt idx="101">
                  <c:v>1.8787658566508345E-4</c:v>
                </c:pt>
                <c:pt idx="102">
                  <c:v>1.8787658566508345E-4</c:v>
                </c:pt>
                <c:pt idx="103">
                  <c:v>1.8787658566508345E-4</c:v>
                </c:pt>
                <c:pt idx="104">
                  <c:v>1.8787658566508345E-4</c:v>
                </c:pt>
                <c:pt idx="105">
                  <c:v>1.8787658566508345E-4</c:v>
                </c:pt>
                <c:pt idx="106">
                  <c:v>1.8787658566508345E-4</c:v>
                </c:pt>
                <c:pt idx="107">
                  <c:v>1.8787658566508345E-4</c:v>
                </c:pt>
                <c:pt idx="108">
                  <c:v>1.8787658566508345E-4</c:v>
                </c:pt>
                <c:pt idx="109">
                  <c:v>1.8787658566508345E-4</c:v>
                </c:pt>
                <c:pt idx="110">
                  <c:v>1.8787658566508345E-4</c:v>
                </c:pt>
                <c:pt idx="111">
                  <c:v>1.8787658566508345E-4</c:v>
                </c:pt>
                <c:pt idx="112">
                  <c:v>1.8787658566508345E-4</c:v>
                </c:pt>
                <c:pt idx="113">
                  <c:v>1.8787658566508345E-4</c:v>
                </c:pt>
                <c:pt idx="114">
                  <c:v>1.8787658566508345E-4</c:v>
                </c:pt>
                <c:pt idx="115">
                  <c:v>1.8787658566508345E-4</c:v>
                </c:pt>
                <c:pt idx="116">
                  <c:v>1.8787658566508345E-4</c:v>
                </c:pt>
                <c:pt idx="117">
                  <c:v>1.8787658566508345E-4</c:v>
                </c:pt>
                <c:pt idx="118">
                  <c:v>1.8787658566508345E-4</c:v>
                </c:pt>
                <c:pt idx="119">
                  <c:v>1.8787658566508345E-4</c:v>
                </c:pt>
                <c:pt idx="120">
                  <c:v>1.8787658566508345E-4</c:v>
                </c:pt>
                <c:pt idx="121">
                  <c:v>1.8787658566508345E-4</c:v>
                </c:pt>
                <c:pt idx="122">
                  <c:v>1.8787658566508345E-4</c:v>
                </c:pt>
                <c:pt idx="123">
                  <c:v>1.8787658566508345E-4</c:v>
                </c:pt>
                <c:pt idx="124">
                  <c:v>1.8787658566508345E-4</c:v>
                </c:pt>
                <c:pt idx="125">
                  <c:v>1.8787658566508345E-4</c:v>
                </c:pt>
                <c:pt idx="126">
                  <c:v>1.8787658566508345E-4</c:v>
                </c:pt>
                <c:pt idx="127">
                  <c:v>1.8787658566508345E-4</c:v>
                </c:pt>
                <c:pt idx="128">
                  <c:v>1.8787658566508345E-4</c:v>
                </c:pt>
                <c:pt idx="129">
                  <c:v>1.8787658566508345E-4</c:v>
                </c:pt>
                <c:pt idx="130">
                  <c:v>1.8787658566508345E-4</c:v>
                </c:pt>
                <c:pt idx="131">
                  <c:v>1.8787658566508345E-4</c:v>
                </c:pt>
                <c:pt idx="132">
                  <c:v>1.8787658566508345E-4</c:v>
                </c:pt>
                <c:pt idx="133">
                  <c:v>1.8787658566508345E-4</c:v>
                </c:pt>
                <c:pt idx="134">
                  <c:v>1.8787658566508345E-4</c:v>
                </c:pt>
                <c:pt idx="135">
                  <c:v>1.8787658566508345E-4</c:v>
                </c:pt>
                <c:pt idx="136">
                  <c:v>1.8787658566508345E-4</c:v>
                </c:pt>
                <c:pt idx="137">
                  <c:v>1.8787658566508345E-4</c:v>
                </c:pt>
                <c:pt idx="138">
                  <c:v>1.8787658566508345E-4</c:v>
                </c:pt>
                <c:pt idx="139">
                  <c:v>1.8787658566508345E-4</c:v>
                </c:pt>
                <c:pt idx="140">
                  <c:v>1.8787658566508345E-4</c:v>
                </c:pt>
                <c:pt idx="141">
                  <c:v>1.8787658566508345E-4</c:v>
                </c:pt>
                <c:pt idx="142">
                  <c:v>1.8787658566508345E-4</c:v>
                </c:pt>
                <c:pt idx="143">
                  <c:v>1.8787658566508345E-4</c:v>
                </c:pt>
                <c:pt idx="144">
                  <c:v>1.8787658566508345E-4</c:v>
                </c:pt>
                <c:pt idx="145">
                  <c:v>1.8787658566508345E-4</c:v>
                </c:pt>
                <c:pt idx="146">
                  <c:v>1.8787658566508345E-4</c:v>
                </c:pt>
                <c:pt idx="147">
                  <c:v>1.8787658566508345E-4</c:v>
                </c:pt>
                <c:pt idx="148">
                  <c:v>1.8787658566508345E-4</c:v>
                </c:pt>
                <c:pt idx="149">
                  <c:v>1.8787658566508345E-4</c:v>
                </c:pt>
                <c:pt idx="150">
                  <c:v>1.8787658566508345E-4</c:v>
                </c:pt>
                <c:pt idx="151">
                  <c:v>1.8787658566508345E-4</c:v>
                </c:pt>
                <c:pt idx="152">
                  <c:v>1.8787658566508345E-4</c:v>
                </c:pt>
                <c:pt idx="153">
                  <c:v>1.8787658566508345E-4</c:v>
                </c:pt>
                <c:pt idx="154">
                  <c:v>1.8787658566508345E-4</c:v>
                </c:pt>
                <c:pt idx="155">
                  <c:v>1.8787658566508345E-4</c:v>
                </c:pt>
                <c:pt idx="156">
                  <c:v>1.8787658566508345E-4</c:v>
                </c:pt>
                <c:pt idx="157">
                  <c:v>1.8787658566508345E-4</c:v>
                </c:pt>
                <c:pt idx="158">
                  <c:v>1.8787658566508345E-4</c:v>
                </c:pt>
                <c:pt idx="159">
                  <c:v>1.8787658566508345E-4</c:v>
                </c:pt>
                <c:pt idx="160">
                  <c:v>1.8787658566508345E-4</c:v>
                </c:pt>
                <c:pt idx="161">
                  <c:v>1.8787658566508345E-4</c:v>
                </c:pt>
                <c:pt idx="162">
                  <c:v>1.8787658566508345E-4</c:v>
                </c:pt>
                <c:pt idx="163">
                  <c:v>1.8787658566508345E-4</c:v>
                </c:pt>
                <c:pt idx="164">
                  <c:v>1.8787658566508345E-4</c:v>
                </c:pt>
                <c:pt idx="165">
                  <c:v>1.8787658566508345E-4</c:v>
                </c:pt>
                <c:pt idx="166">
                  <c:v>1.8787658566508345E-4</c:v>
                </c:pt>
                <c:pt idx="167">
                  <c:v>1.8787658566508345E-4</c:v>
                </c:pt>
                <c:pt idx="168">
                  <c:v>1.8787658566508345E-4</c:v>
                </c:pt>
                <c:pt idx="169">
                  <c:v>1.8787658566508345E-4</c:v>
                </c:pt>
                <c:pt idx="170">
                  <c:v>1.8787658566508345E-4</c:v>
                </c:pt>
                <c:pt idx="171">
                  <c:v>1.8787658566508345E-4</c:v>
                </c:pt>
                <c:pt idx="172">
                  <c:v>1.8787658566508345E-4</c:v>
                </c:pt>
                <c:pt idx="173">
                  <c:v>1.8787658566508345E-4</c:v>
                </c:pt>
                <c:pt idx="174">
                  <c:v>1.8787658566508345E-4</c:v>
                </c:pt>
                <c:pt idx="175">
                  <c:v>1.8787658566508345E-4</c:v>
                </c:pt>
                <c:pt idx="176">
                  <c:v>1.8787658566508345E-4</c:v>
                </c:pt>
                <c:pt idx="177">
                  <c:v>1.8787658566508345E-4</c:v>
                </c:pt>
                <c:pt idx="178">
                  <c:v>1.8787658566508345E-4</c:v>
                </c:pt>
                <c:pt idx="179">
                  <c:v>1.8787658566508345E-4</c:v>
                </c:pt>
                <c:pt idx="180">
                  <c:v>1.8787658566508345E-4</c:v>
                </c:pt>
                <c:pt idx="181">
                  <c:v>1.8787658566508345E-4</c:v>
                </c:pt>
                <c:pt idx="182">
                  <c:v>1.8787658566508345E-4</c:v>
                </c:pt>
                <c:pt idx="183">
                  <c:v>1.8787658566508345E-4</c:v>
                </c:pt>
                <c:pt idx="184">
                  <c:v>1.8787658566508345E-4</c:v>
                </c:pt>
                <c:pt idx="185">
                  <c:v>1.8787658566508345E-4</c:v>
                </c:pt>
                <c:pt idx="186">
                  <c:v>1.8787658566508345E-4</c:v>
                </c:pt>
                <c:pt idx="187">
                  <c:v>1.8787658566508345E-4</c:v>
                </c:pt>
                <c:pt idx="188">
                  <c:v>1.8787658566508345E-4</c:v>
                </c:pt>
                <c:pt idx="189">
                  <c:v>1.8787658566508345E-4</c:v>
                </c:pt>
                <c:pt idx="190">
                  <c:v>1.8787658566508345E-4</c:v>
                </c:pt>
                <c:pt idx="191">
                  <c:v>1.8787658566508345E-4</c:v>
                </c:pt>
                <c:pt idx="192">
                  <c:v>1.8787658566508345E-4</c:v>
                </c:pt>
                <c:pt idx="193">
                  <c:v>1.8787658566508345E-4</c:v>
                </c:pt>
                <c:pt idx="194">
                  <c:v>1.8787658566508345E-4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56-48DC-A50C-28E43FF47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4541424"/>
        <c:axId val="624542080"/>
      </c:scatterChart>
      <c:valAx>
        <c:axId val="62454142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542080"/>
        <c:crossesAt val="1.0000000000000004E-6"/>
        <c:crossBetween val="midCat"/>
      </c:valAx>
      <c:valAx>
        <c:axId val="624542080"/>
        <c:scaling>
          <c:logBase val="10"/>
          <c:orientation val="minMax"/>
          <c:max val="2.0000000000000005E-3"/>
          <c:min val="1.0000000000000004E-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541424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/>
  <sheetViews>
    <sheetView zoomScale="5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/>
  <sheetViews>
    <sheetView zoomScale="55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/>
  <sheetViews>
    <sheetView zoomScale="55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5E0683B-D98E-4DC8-AFBE-991E20DE4601}">
  <sheetPr/>
  <sheetViews>
    <sheetView zoomScale="55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w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w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wmf"/><Relationship Id="rId3" Type="http://schemas.openxmlformats.org/officeDocument/2006/relationships/image" Target="../media/image3.wmf"/><Relationship Id="rId7" Type="http://schemas.openxmlformats.org/officeDocument/2006/relationships/image" Target="../media/image7.wmf"/><Relationship Id="rId2" Type="http://schemas.openxmlformats.org/officeDocument/2006/relationships/image" Target="../media/image2.wmf"/><Relationship Id="rId1" Type="http://schemas.openxmlformats.org/officeDocument/2006/relationships/image" Target="../media/image1.emf"/><Relationship Id="rId6" Type="http://schemas.openxmlformats.org/officeDocument/2006/relationships/image" Target="../media/image6.wmf"/><Relationship Id="rId5" Type="http://schemas.openxmlformats.org/officeDocument/2006/relationships/image" Target="../media/image5.wmf"/><Relationship Id="rId10" Type="http://schemas.openxmlformats.org/officeDocument/2006/relationships/image" Target="../media/image10.wmf"/><Relationship Id="rId4" Type="http://schemas.openxmlformats.org/officeDocument/2006/relationships/image" Target="../media/image4.wmf"/><Relationship Id="rId9" Type="http://schemas.openxmlformats.org/officeDocument/2006/relationships/image" Target="../media/image9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w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</xdr:row>
          <xdr:rowOff>63500</xdr:rowOff>
        </xdr:from>
        <xdr:to>
          <xdr:col>32</xdr:col>
          <xdr:colOff>584200</xdr:colOff>
          <xdr:row>1</xdr:row>
          <xdr:rowOff>330200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20</xdr:row>
          <xdr:rowOff>0</xdr:rowOff>
        </xdr:from>
        <xdr:to>
          <xdr:col>29</xdr:col>
          <xdr:colOff>342900</xdr:colOff>
          <xdr:row>21</xdr:row>
          <xdr:rowOff>0</xdr:rowOff>
        </xdr:to>
        <xdr:sp macro="" textlink="">
          <xdr:nvSpPr>
            <xdr:cNvPr id="1026" name="Object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21</xdr:row>
          <xdr:rowOff>0</xdr:rowOff>
        </xdr:from>
        <xdr:to>
          <xdr:col>29</xdr:col>
          <xdr:colOff>215900</xdr:colOff>
          <xdr:row>22</xdr:row>
          <xdr:rowOff>0</xdr:rowOff>
        </xdr:to>
        <xdr:sp macro="" textlink="">
          <xdr:nvSpPr>
            <xdr:cNvPr id="1027" name="Object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22</xdr:row>
          <xdr:rowOff>0</xdr:rowOff>
        </xdr:from>
        <xdr:to>
          <xdr:col>29</xdr:col>
          <xdr:colOff>152400</xdr:colOff>
          <xdr:row>23</xdr:row>
          <xdr:rowOff>0</xdr:rowOff>
        </xdr:to>
        <xdr:sp macro="" textlink="">
          <xdr:nvSpPr>
            <xdr:cNvPr id="1028" name="Object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23</xdr:row>
          <xdr:rowOff>0</xdr:rowOff>
        </xdr:from>
        <xdr:to>
          <xdr:col>29</xdr:col>
          <xdr:colOff>482600</xdr:colOff>
          <xdr:row>24</xdr:row>
          <xdr:rowOff>0</xdr:rowOff>
        </xdr:to>
        <xdr:sp macro="" textlink="">
          <xdr:nvSpPr>
            <xdr:cNvPr id="1029" name="Object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24</xdr:row>
          <xdr:rowOff>0</xdr:rowOff>
        </xdr:from>
        <xdr:to>
          <xdr:col>30</xdr:col>
          <xdr:colOff>101600</xdr:colOff>
          <xdr:row>25</xdr:row>
          <xdr:rowOff>0</xdr:rowOff>
        </xdr:to>
        <xdr:sp macro="" textlink="">
          <xdr:nvSpPr>
            <xdr:cNvPr id="1030" name="Object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25</xdr:row>
          <xdr:rowOff>0</xdr:rowOff>
        </xdr:from>
        <xdr:to>
          <xdr:col>29</xdr:col>
          <xdr:colOff>355600</xdr:colOff>
          <xdr:row>26</xdr:row>
          <xdr:rowOff>0</xdr:rowOff>
        </xdr:to>
        <xdr:sp macro="" textlink="">
          <xdr:nvSpPr>
            <xdr:cNvPr id="1031" name="Object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28</xdr:col>
      <xdr:colOff>119062</xdr:colOff>
      <xdr:row>13</xdr:row>
      <xdr:rowOff>150812</xdr:rowOff>
    </xdr:from>
    <xdr:to>
      <xdr:col>37</xdr:col>
      <xdr:colOff>442912</xdr:colOff>
      <xdr:row>19</xdr:row>
      <xdr:rowOff>31749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76812" y="2778125"/>
          <a:ext cx="6419850" cy="9763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228600</xdr:colOff>
          <xdr:row>26</xdr:row>
          <xdr:rowOff>0</xdr:rowOff>
        </xdr:from>
        <xdr:to>
          <xdr:col>29</xdr:col>
          <xdr:colOff>342900</xdr:colOff>
          <xdr:row>27</xdr:row>
          <xdr:rowOff>0</xdr:rowOff>
        </xdr:to>
        <xdr:sp macro="" textlink="">
          <xdr:nvSpPr>
            <xdr:cNvPr id="1034" name="Object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27</xdr:row>
          <xdr:rowOff>25400</xdr:rowOff>
        </xdr:from>
        <xdr:to>
          <xdr:col>30</xdr:col>
          <xdr:colOff>0</xdr:colOff>
          <xdr:row>28</xdr:row>
          <xdr:rowOff>25400</xdr:rowOff>
        </xdr:to>
        <xdr:sp macro="" textlink="">
          <xdr:nvSpPr>
            <xdr:cNvPr id="1036" name="Object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228600</xdr:colOff>
          <xdr:row>28</xdr:row>
          <xdr:rowOff>12700</xdr:rowOff>
        </xdr:from>
        <xdr:to>
          <xdr:col>30</xdr:col>
          <xdr:colOff>76200</xdr:colOff>
          <xdr:row>29</xdr:row>
          <xdr:rowOff>12700</xdr:rowOff>
        </xdr:to>
        <xdr:sp macro="" textlink="">
          <xdr:nvSpPr>
            <xdr:cNvPr id="1038" name="Object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29</xdr:row>
          <xdr:rowOff>0</xdr:rowOff>
        </xdr:from>
        <xdr:to>
          <xdr:col>29</xdr:col>
          <xdr:colOff>368300</xdr:colOff>
          <xdr:row>29</xdr:row>
          <xdr:rowOff>177800</xdr:rowOff>
        </xdr:to>
        <xdr:sp macro="" textlink="">
          <xdr:nvSpPr>
            <xdr:cNvPr id="1045" name="Object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6</xdr:row>
      <xdr:rowOff>0</xdr:rowOff>
    </xdr:from>
    <xdr:to>
      <xdr:col>36</xdr:col>
      <xdr:colOff>490935</xdr:colOff>
      <xdr:row>11</xdr:row>
      <xdr:rowOff>34132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20850" y="1104900"/>
          <a:ext cx="6390085" cy="9548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13</xdr:row>
          <xdr:rowOff>0</xdr:rowOff>
        </xdr:from>
        <xdr:to>
          <xdr:col>37</xdr:col>
          <xdr:colOff>12700</xdr:colOff>
          <xdr:row>18</xdr:row>
          <xdr:rowOff>63500</xdr:rowOff>
        </xdr:to>
        <xdr:sp macro="" textlink="">
          <xdr:nvSpPr>
            <xdr:cNvPr id="2050" name="Object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3857111" cy="1004711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13854545" cy="100584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13854545" cy="100584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13854545" cy="100584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13" Type="http://schemas.openxmlformats.org/officeDocument/2006/relationships/image" Target="../media/image5.wmf"/><Relationship Id="rId18" Type="http://schemas.openxmlformats.org/officeDocument/2006/relationships/oleObject" Target="../embeddings/oleObject8.bin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wmf"/><Relationship Id="rId7" Type="http://schemas.openxmlformats.org/officeDocument/2006/relationships/image" Target="../media/image2.wmf"/><Relationship Id="rId12" Type="http://schemas.openxmlformats.org/officeDocument/2006/relationships/oleObject" Target="../embeddings/oleObject5.bin"/><Relationship Id="rId17" Type="http://schemas.openxmlformats.org/officeDocument/2006/relationships/image" Target="../media/image7.wmf"/><Relationship Id="rId2" Type="http://schemas.openxmlformats.org/officeDocument/2006/relationships/drawing" Target="../drawings/drawing1.xml"/><Relationship Id="rId16" Type="http://schemas.openxmlformats.org/officeDocument/2006/relationships/oleObject" Target="../embeddings/oleObject7.bin"/><Relationship Id="rId20" Type="http://schemas.openxmlformats.org/officeDocument/2006/relationships/oleObject" Target="../embeddings/oleObject9.bin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4.wmf"/><Relationship Id="rId24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5" Type="http://schemas.openxmlformats.org/officeDocument/2006/relationships/image" Target="../media/image6.wmf"/><Relationship Id="rId23" Type="http://schemas.openxmlformats.org/officeDocument/2006/relationships/image" Target="../media/image10.wmf"/><Relationship Id="rId10" Type="http://schemas.openxmlformats.org/officeDocument/2006/relationships/oleObject" Target="../embeddings/oleObject4.bin"/><Relationship Id="rId19" Type="http://schemas.openxmlformats.org/officeDocument/2006/relationships/image" Target="../media/image8.w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wmf"/><Relationship Id="rId14" Type="http://schemas.openxmlformats.org/officeDocument/2006/relationships/oleObject" Target="../embeddings/oleObject6.bin"/><Relationship Id="rId22" Type="http://schemas.openxmlformats.org/officeDocument/2006/relationships/oleObject" Target="../embeddings/oleObject10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2.wmf"/><Relationship Id="rId4" Type="http://schemas.openxmlformats.org/officeDocument/2006/relationships/oleObject" Target="../embeddings/oleObject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53E14-E627-40AA-AFF8-F41F38BFEBC2}">
  <dimension ref="A1:Q212"/>
  <sheetViews>
    <sheetView workbookViewId="0">
      <pane ySplit="2" topLeftCell="A176" activePane="bottomLeft" state="frozen"/>
      <selection pane="bottomLeft" activeCell="D23" sqref="D23"/>
    </sheetView>
  </sheetViews>
  <sheetFormatPr baseColWidth="10" defaultColWidth="8.83203125" defaultRowHeight="15" x14ac:dyDescent="0.2"/>
  <cols>
    <col min="1" max="1" width="5.33203125" style="44" bestFit="1" customWidth="1"/>
    <col min="2" max="2" width="7.1640625" bestFit="1" customWidth="1"/>
    <col min="3" max="3" width="8.6640625" bestFit="1" customWidth="1"/>
    <col min="5" max="6" width="9" style="44"/>
  </cols>
  <sheetData>
    <row r="1" spans="1:14" x14ac:dyDescent="0.2">
      <c r="A1" s="77">
        <v>1</v>
      </c>
      <c r="B1" s="77">
        <v>2</v>
      </c>
      <c r="C1" s="77">
        <v>3</v>
      </c>
      <c r="D1" s="77">
        <v>4</v>
      </c>
      <c r="E1" s="77">
        <v>5</v>
      </c>
      <c r="F1" s="77">
        <v>6</v>
      </c>
      <c r="G1" s="77">
        <v>7</v>
      </c>
      <c r="H1" s="77">
        <v>8</v>
      </c>
      <c r="I1" s="77">
        <v>9</v>
      </c>
      <c r="J1" s="77">
        <v>10</v>
      </c>
      <c r="K1" s="77">
        <v>11</v>
      </c>
      <c r="L1" s="77">
        <v>12</v>
      </c>
      <c r="M1" s="77">
        <v>13</v>
      </c>
      <c r="N1" s="77">
        <v>14</v>
      </c>
    </row>
    <row r="2" spans="1:14" s="99" customFormat="1" ht="30" x14ac:dyDescent="0.2">
      <c r="A2" s="99" t="s">
        <v>111</v>
      </c>
      <c r="B2" s="99" t="s">
        <v>109</v>
      </c>
      <c r="C2" s="99" t="s">
        <v>108</v>
      </c>
      <c r="D2" s="101" t="s">
        <v>100</v>
      </c>
      <c r="E2" s="100" t="s">
        <v>155</v>
      </c>
      <c r="F2" s="131" t="s">
        <v>101</v>
      </c>
      <c r="G2" s="100" t="s">
        <v>102</v>
      </c>
      <c r="H2" s="100" t="s">
        <v>103</v>
      </c>
      <c r="I2" s="100" t="s">
        <v>104</v>
      </c>
      <c r="J2" s="100" t="s">
        <v>105</v>
      </c>
      <c r="K2" s="100" t="s">
        <v>182</v>
      </c>
      <c r="L2" s="100" t="s">
        <v>183</v>
      </c>
      <c r="M2" s="100" t="s">
        <v>106</v>
      </c>
      <c r="N2" s="102" t="s">
        <v>107</v>
      </c>
    </row>
    <row r="3" spans="1:14" x14ac:dyDescent="0.2">
      <c r="A3" s="44">
        <v>1</v>
      </c>
      <c r="B3" t="s">
        <v>184</v>
      </c>
      <c r="C3" s="44">
        <v>20230518</v>
      </c>
      <c r="D3" s="44">
        <v>165</v>
      </c>
      <c r="E3" s="40">
        <v>30066.698973142022</v>
      </c>
      <c r="F3" s="125">
        <v>188.02334599999998</v>
      </c>
      <c r="G3" s="126">
        <v>0.10135046924133764</v>
      </c>
      <c r="H3" s="127">
        <v>0</v>
      </c>
      <c r="I3" s="125">
        <v>1012.2095068695754</v>
      </c>
      <c r="J3" s="125">
        <v>198.53888929031672</v>
      </c>
      <c r="K3" s="44">
        <v>0</v>
      </c>
      <c r="L3" s="44">
        <v>0</v>
      </c>
      <c r="M3" s="127">
        <v>0.9994739747714555</v>
      </c>
      <c r="N3" s="128">
        <v>0.40145325486346484</v>
      </c>
    </row>
    <row r="4" spans="1:14" x14ac:dyDescent="0.2">
      <c r="A4" s="44">
        <v>2</v>
      </c>
      <c r="B4" t="s">
        <v>184</v>
      </c>
      <c r="C4" s="44">
        <v>20230518</v>
      </c>
      <c r="D4" s="44">
        <v>186</v>
      </c>
      <c r="E4" s="40">
        <v>29464.380225303787</v>
      </c>
      <c r="F4" s="125">
        <v>188.45913700000003</v>
      </c>
      <c r="G4" s="126">
        <v>0.10342230266391325</v>
      </c>
      <c r="H4" s="127">
        <v>0</v>
      </c>
      <c r="I4" s="125">
        <v>1032.901364565739</v>
      </c>
      <c r="J4" s="125">
        <v>100.38613596978381</v>
      </c>
      <c r="K4" s="44">
        <v>0</v>
      </c>
      <c r="L4" s="44">
        <v>0</v>
      </c>
      <c r="M4" s="127">
        <v>0.9991569198143595</v>
      </c>
      <c r="N4" s="128">
        <v>0.58508757016694757</v>
      </c>
    </row>
    <row r="5" spans="1:14" x14ac:dyDescent="0.2">
      <c r="A5" s="44">
        <v>3</v>
      </c>
      <c r="B5" t="s">
        <v>184</v>
      </c>
      <c r="C5" s="44">
        <v>20230518</v>
      </c>
      <c r="D5" s="44">
        <v>197</v>
      </c>
      <c r="E5" s="40">
        <v>28872.817169391234</v>
      </c>
      <c r="F5" s="125">
        <v>187.04797383333332</v>
      </c>
      <c r="G5" s="126">
        <v>0.10554127889870327</v>
      </c>
      <c r="H5" s="127">
        <v>0</v>
      </c>
      <c r="I5" s="125">
        <v>1054.064047933073</v>
      </c>
      <c r="J5" s="125">
        <v>0</v>
      </c>
      <c r="K5" s="44">
        <v>0</v>
      </c>
      <c r="L5" s="44">
        <v>0</v>
      </c>
      <c r="M5" s="127">
        <v>0.999052051605822</v>
      </c>
      <c r="N5" s="128">
        <v>0</v>
      </c>
    </row>
    <row r="6" spans="1:14" x14ac:dyDescent="0.2">
      <c r="A6" s="44">
        <v>4</v>
      </c>
      <c r="B6" t="s">
        <v>184</v>
      </c>
      <c r="C6" s="44">
        <v>20230518</v>
      </c>
      <c r="D6" s="44">
        <v>202</v>
      </c>
      <c r="E6" s="40">
        <v>28717.930873246092</v>
      </c>
      <c r="F6" s="125">
        <v>185.595337</v>
      </c>
      <c r="G6" s="126">
        <v>0.10611050158578307</v>
      </c>
      <c r="H6" s="127">
        <v>0</v>
      </c>
      <c r="I6" s="125">
        <v>520.41245562746326</v>
      </c>
      <c r="J6" s="125">
        <v>0</v>
      </c>
      <c r="K6" s="44">
        <v>0</v>
      </c>
      <c r="L6" s="44">
        <v>0</v>
      </c>
      <c r="M6" s="127">
        <v>0.99841944672559768</v>
      </c>
      <c r="N6" s="128">
        <v>0</v>
      </c>
    </row>
    <row r="7" spans="1:14" x14ac:dyDescent="0.2">
      <c r="A7" s="44">
        <v>5</v>
      </c>
      <c r="B7" t="s">
        <v>184</v>
      </c>
      <c r="C7" s="44">
        <v>20230518</v>
      </c>
      <c r="D7" s="44">
        <v>212</v>
      </c>
      <c r="E7" s="40">
        <v>29314.871775121483</v>
      </c>
      <c r="F7" s="125">
        <v>184.94162000000003</v>
      </c>
      <c r="G7" s="126">
        <v>0.10394976559481676</v>
      </c>
      <c r="H7" s="127">
        <v>0</v>
      </c>
      <c r="I7" s="125">
        <v>509.81525830753196</v>
      </c>
      <c r="J7" s="125">
        <v>101.81536976429747</v>
      </c>
      <c r="K7" s="44">
        <v>0</v>
      </c>
      <c r="L7" s="44">
        <v>0</v>
      </c>
      <c r="M7" s="127">
        <v>0.99924958127601882</v>
      </c>
      <c r="N7" s="128">
        <v>0.56656825101668318</v>
      </c>
    </row>
    <row r="8" spans="1:14" x14ac:dyDescent="0.2">
      <c r="A8" s="44">
        <v>6</v>
      </c>
      <c r="B8" t="s">
        <v>184</v>
      </c>
      <c r="C8" s="44">
        <v>20230518</v>
      </c>
      <c r="D8" s="44">
        <v>219</v>
      </c>
      <c r="E8" s="40">
        <v>29911.81267699688</v>
      </c>
      <c r="F8" s="125">
        <v>184.19454999999996</v>
      </c>
      <c r="G8" s="126">
        <v>0.10187527189916636</v>
      </c>
      <c r="H8" s="127">
        <v>0</v>
      </c>
      <c r="I8" s="125">
        <v>499.64103104252996</v>
      </c>
      <c r="J8" s="125">
        <v>199.56694310754978</v>
      </c>
      <c r="K8" s="44">
        <v>0</v>
      </c>
      <c r="L8" s="44">
        <v>0</v>
      </c>
      <c r="M8" s="127">
        <v>0.9987566090851816</v>
      </c>
      <c r="N8" s="128">
        <v>0.34018386190048877</v>
      </c>
    </row>
    <row r="9" spans="1:14" x14ac:dyDescent="0.2">
      <c r="A9" s="44">
        <v>7</v>
      </c>
      <c r="B9" t="s">
        <v>184</v>
      </c>
      <c r="C9" s="44">
        <v>20230518</v>
      </c>
      <c r="D9" s="44">
        <v>230</v>
      </c>
      <c r="E9" s="40">
        <v>29762.360987734028</v>
      </c>
      <c r="F9" s="125">
        <v>181.20620699999998</v>
      </c>
      <c r="G9" s="126">
        <v>0.10238683855497428</v>
      </c>
      <c r="H9" s="127">
        <v>0</v>
      </c>
      <c r="I9" s="125">
        <v>0</v>
      </c>
      <c r="J9" s="125">
        <v>200.56906846920168</v>
      </c>
      <c r="K9" s="44">
        <v>0</v>
      </c>
      <c r="L9" s="44">
        <v>0</v>
      </c>
      <c r="M9" s="127">
        <v>0</v>
      </c>
      <c r="N9" s="128">
        <v>0.43312211648568866</v>
      </c>
    </row>
    <row r="10" spans="1:14" x14ac:dyDescent="0.2">
      <c r="A10" s="44">
        <v>8</v>
      </c>
      <c r="B10" t="s">
        <v>184</v>
      </c>
      <c r="C10" s="44">
        <v>20230518</v>
      </c>
      <c r="D10" s="44">
        <v>239</v>
      </c>
      <c r="E10" s="40">
        <v>29165.42008585863</v>
      </c>
      <c r="F10" s="125">
        <v>181.76654099999999</v>
      </c>
      <c r="G10" s="126">
        <v>0.10448243298040179</v>
      </c>
      <c r="H10" s="127">
        <v>0</v>
      </c>
      <c r="I10" s="125">
        <v>0</v>
      </c>
      <c r="J10" s="125">
        <v>102.33709991457137</v>
      </c>
      <c r="K10" s="44">
        <v>0</v>
      </c>
      <c r="L10" s="44">
        <v>0</v>
      </c>
      <c r="M10" s="127">
        <v>0</v>
      </c>
      <c r="N10" s="128">
        <v>0.62354807456326822</v>
      </c>
    </row>
    <row r="11" spans="1:14" x14ac:dyDescent="0.2">
      <c r="A11" s="44">
        <v>9</v>
      </c>
      <c r="B11" t="s">
        <v>184</v>
      </c>
      <c r="C11" s="44">
        <v>20230518</v>
      </c>
      <c r="D11" s="44">
        <v>246</v>
      </c>
      <c r="E11" s="40">
        <v>28568.479183983236</v>
      </c>
      <c r="F11" s="125">
        <v>182.295715</v>
      </c>
      <c r="G11" s="126">
        <v>0.10666560266793712</v>
      </c>
      <c r="H11" s="127">
        <v>0</v>
      </c>
      <c r="I11" s="125">
        <v>0</v>
      </c>
      <c r="J11" s="125">
        <v>0</v>
      </c>
      <c r="K11" s="44">
        <v>0</v>
      </c>
      <c r="L11" s="44">
        <v>0</v>
      </c>
      <c r="M11" s="127">
        <v>0</v>
      </c>
      <c r="N11" s="128">
        <v>0</v>
      </c>
    </row>
    <row r="12" spans="1:14" x14ac:dyDescent="0.2">
      <c r="A12" s="44">
        <v>10</v>
      </c>
      <c r="B12" t="s">
        <v>184</v>
      </c>
      <c r="C12" s="44">
        <v>20230518</v>
      </c>
      <c r="D12" s="44">
        <v>287</v>
      </c>
      <c r="E12" s="40">
        <v>30067.087159347906</v>
      </c>
      <c r="F12" s="125">
        <v>169.595337</v>
      </c>
      <c r="G12" s="126">
        <v>0.101349160738991</v>
      </c>
      <c r="H12" s="127">
        <v>0</v>
      </c>
      <c r="I12" s="125">
        <v>1013.4875054537441</v>
      </c>
      <c r="J12" s="125">
        <v>198.53632602046136</v>
      </c>
      <c r="K12" s="44">
        <v>0</v>
      </c>
      <c r="L12" s="44">
        <v>0</v>
      </c>
      <c r="M12" s="127">
        <v>0.9935402840484383</v>
      </c>
      <c r="N12" s="128">
        <v>0.16533430422969564</v>
      </c>
    </row>
    <row r="13" spans="1:14" x14ac:dyDescent="0.2">
      <c r="A13" s="44">
        <v>11</v>
      </c>
      <c r="B13" t="s">
        <v>184</v>
      </c>
      <c r="C13" s="44">
        <v>20230518</v>
      </c>
      <c r="D13" s="44">
        <v>302</v>
      </c>
      <c r="E13" s="40">
        <v>29475.524103435349</v>
      </c>
      <c r="F13" s="125">
        <v>170.16601600000001</v>
      </c>
      <c r="G13" s="126">
        <v>0.10338320155979283</v>
      </c>
      <c r="H13" s="127">
        <v>0</v>
      </c>
      <c r="I13" s="125">
        <v>1033.8278313373994</v>
      </c>
      <c r="J13" s="125">
        <v>102.17269516982633</v>
      </c>
      <c r="K13" s="44">
        <v>0</v>
      </c>
      <c r="L13" s="44">
        <v>0</v>
      </c>
      <c r="M13" s="127">
        <v>0.99752006613806188</v>
      </c>
      <c r="N13" s="128">
        <v>0.34614113845074912</v>
      </c>
    </row>
    <row r="14" spans="1:14" x14ac:dyDescent="0.2">
      <c r="A14" s="44">
        <v>12</v>
      </c>
      <c r="B14" t="s">
        <v>184</v>
      </c>
      <c r="C14" s="44">
        <v>20230518</v>
      </c>
      <c r="D14" s="44">
        <v>316</v>
      </c>
      <c r="E14" s="40">
        <v>28873.205355597118</v>
      </c>
      <c r="F14" s="125">
        <v>167.26587416666666</v>
      </c>
      <c r="G14" s="126">
        <v>0.10553985994752985</v>
      </c>
      <c r="H14" s="127">
        <v>0</v>
      </c>
      <c r="I14" s="125">
        <v>1055.3943279276627</v>
      </c>
      <c r="J14" s="125">
        <v>0</v>
      </c>
      <c r="K14" s="44">
        <v>0</v>
      </c>
      <c r="L14" s="44">
        <v>0</v>
      </c>
      <c r="M14" s="127">
        <v>0.99947551507242849</v>
      </c>
      <c r="N14" s="128">
        <v>0</v>
      </c>
    </row>
    <row r="15" spans="1:14" x14ac:dyDescent="0.2">
      <c r="A15" s="44">
        <v>13</v>
      </c>
      <c r="B15" t="s">
        <v>184</v>
      </c>
      <c r="C15" s="44">
        <v>20230518</v>
      </c>
      <c r="D15" s="44">
        <v>340</v>
      </c>
      <c r="E15" s="40">
        <v>28722.58910771662</v>
      </c>
      <c r="F15" s="125">
        <v>166.74188199999998</v>
      </c>
      <c r="G15" s="126">
        <v>0.10609329256627865</v>
      </c>
      <c r="H15" s="127">
        <v>0</v>
      </c>
      <c r="I15" s="125">
        <v>536.54607234549349</v>
      </c>
      <c r="J15" s="125">
        <v>0</v>
      </c>
      <c r="K15" s="44">
        <v>0</v>
      </c>
      <c r="L15" s="44">
        <v>0</v>
      </c>
      <c r="M15" s="127">
        <v>0.99914447411431084</v>
      </c>
      <c r="N15" s="128">
        <v>0</v>
      </c>
    </row>
    <row r="16" spans="1:14" x14ac:dyDescent="0.2">
      <c r="A16" s="44">
        <v>14</v>
      </c>
      <c r="B16" t="s">
        <v>184</v>
      </c>
      <c r="C16" s="44">
        <v>20230518</v>
      </c>
      <c r="D16" s="44">
        <v>350</v>
      </c>
      <c r="E16" s="40">
        <v>29324.907855554851</v>
      </c>
      <c r="F16" s="125">
        <v>166.368347</v>
      </c>
      <c r="G16" s="126">
        <v>0.10391419009655166</v>
      </c>
      <c r="H16" s="127">
        <v>0</v>
      </c>
      <c r="I16" s="125">
        <v>525.52568789809811</v>
      </c>
      <c r="J16" s="125">
        <v>102.69746640041697</v>
      </c>
      <c r="K16" s="44">
        <v>0</v>
      </c>
      <c r="L16" s="44">
        <v>0</v>
      </c>
      <c r="M16" s="127">
        <v>0.99822769407233269</v>
      </c>
      <c r="N16" s="128">
        <v>0.37378462545171742</v>
      </c>
    </row>
    <row r="17" spans="1:17" x14ac:dyDescent="0.2">
      <c r="A17" s="44">
        <v>15</v>
      </c>
      <c r="B17" t="s">
        <v>184</v>
      </c>
      <c r="C17" s="44">
        <v>20230518</v>
      </c>
      <c r="D17" s="44">
        <v>358</v>
      </c>
      <c r="E17" s="40">
        <v>29916.470911467411</v>
      </c>
      <c r="F17" s="125">
        <v>165.91180399999999</v>
      </c>
      <c r="G17" s="126">
        <v>0.10185940910222552</v>
      </c>
      <c r="H17" s="127">
        <v>0</v>
      </c>
      <c r="I17" s="125">
        <v>515.13403499179276</v>
      </c>
      <c r="J17" s="125">
        <v>199.53586893385085</v>
      </c>
      <c r="K17" s="44">
        <v>0</v>
      </c>
      <c r="L17" s="44">
        <v>0</v>
      </c>
      <c r="M17" s="127">
        <v>0.99901466524250049</v>
      </c>
      <c r="N17" s="128">
        <v>0.1896242540601164</v>
      </c>
    </row>
    <row r="18" spans="1:17" x14ac:dyDescent="0.2">
      <c r="A18" s="44">
        <v>16</v>
      </c>
      <c r="B18" t="s">
        <v>184</v>
      </c>
      <c r="C18" s="44">
        <v>20230518</v>
      </c>
      <c r="D18" s="44">
        <v>367</v>
      </c>
      <c r="E18" s="40">
        <v>29762.360987734028</v>
      </c>
      <c r="F18" s="125">
        <v>162.52917500000001</v>
      </c>
      <c r="G18" s="126">
        <v>0.10238683855497428</v>
      </c>
      <c r="H18" s="127">
        <v>0</v>
      </c>
      <c r="I18" s="125">
        <v>0</v>
      </c>
      <c r="J18" s="125">
        <v>200.56906846920168</v>
      </c>
      <c r="K18" s="44">
        <v>0</v>
      </c>
      <c r="L18" s="44">
        <v>0</v>
      </c>
      <c r="M18" s="127">
        <v>0</v>
      </c>
      <c r="N18" s="128">
        <v>0.275639949824521</v>
      </c>
    </row>
    <row r="19" spans="1:17" x14ac:dyDescent="0.2">
      <c r="A19" s="44">
        <v>17</v>
      </c>
      <c r="B19" t="s">
        <v>184</v>
      </c>
      <c r="C19" s="44">
        <v>20230518</v>
      </c>
      <c r="D19" s="44">
        <v>376</v>
      </c>
      <c r="E19" s="40">
        <v>29165.42008585863</v>
      </c>
      <c r="F19" s="125">
        <v>163.05316200000001</v>
      </c>
      <c r="G19" s="126">
        <v>0.10448243298040179</v>
      </c>
      <c r="H19" s="127">
        <v>0</v>
      </c>
      <c r="I19" s="125">
        <v>0</v>
      </c>
      <c r="J19" s="125">
        <v>102.33709991457137</v>
      </c>
      <c r="K19" s="44">
        <v>0</v>
      </c>
      <c r="L19" s="44">
        <v>0</v>
      </c>
      <c r="M19" s="127">
        <v>0</v>
      </c>
      <c r="N19" s="128">
        <v>0.59952187473001328</v>
      </c>
    </row>
    <row r="20" spans="1:17" x14ac:dyDescent="0.2">
      <c r="A20" s="44">
        <v>18</v>
      </c>
      <c r="B20" t="s">
        <v>184</v>
      </c>
      <c r="C20" s="44">
        <v>20230518</v>
      </c>
      <c r="D20" s="44">
        <v>386</v>
      </c>
      <c r="E20" s="40">
        <v>28568.479183983236</v>
      </c>
      <c r="F20" s="125">
        <v>163.40078700000001</v>
      </c>
      <c r="G20" s="126">
        <v>0.10666560266793712</v>
      </c>
      <c r="H20" s="127">
        <v>0</v>
      </c>
      <c r="I20" s="125">
        <v>0</v>
      </c>
      <c r="J20" s="125">
        <v>0</v>
      </c>
      <c r="K20" s="44">
        <v>0</v>
      </c>
      <c r="L20" s="44">
        <v>0</v>
      </c>
      <c r="M20" s="127">
        <v>0</v>
      </c>
      <c r="N20" s="128">
        <v>0</v>
      </c>
    </row>
    <row r="21" spans="1:17" x14ac:dyDescent="0.2">
      <c r="A21" s="44">
        <v>19</v>
      </c>
      <c r="B21" t="s">
        <v>184</v>
      </c>
      <c r="C21" s="44">
        <v>20230518</v>
      </c>
      <c r="D21" s="44">
        <v>429</v>
      </c>
      <c r="E21" s="40">
        <v>30069.416276583168</v>
      </c>
      <c r="F21" s="125">
        <v>144.936432</v>
      </c>
      <c r="G21" s="126">
        <v>0.10134131043438581</v>
      </c>
      <c r="H21" s="127">
        <v>0</v>
      </c>
      <c r="I21" s="125">
        <v>1021.1548040201413</v>
      </c>
      <c r="J21" s="125">
        <v>198.52094779115001</v>
      </c>
      <c r="K21" s="44">
        <v>0</v>
      </c>
      <c r="L21" s="44">
        <v>0</v>
      </c>
      <c r="M21" s="127">
        <v>0.33875363356588262</v>
      </c>
      <c r="N21" s="128">
        <v>3.3240703847675412E-2</v>
      </c>
    </row>
    <row r="22" spans="1:17" x14ac:dyDescent="0.2">
      <c r="A22" s="44">
        <v>20</v>
      </c>
      <c r="B22" t="s">
        <v>184</v>
      </c>
      <c r="C22" s="44">
        <v>20230518</v>
      </c>
      <c r="D22" s="44">
        <v>446</v>
      </c>
      <c r="E22" s="40">
        <v>28875.53447283238</v>
      </c>
      <c r="F22" s="125">
        <v>147.74319499999999</v>
      </c>
      <c r="G22" s="126">
        <v>0.10553134704166338</v>
      </c>
      <c r="H22" s="127">
        <v>0</v>
      </c>
      <c r="I22" s="125">
        <v>1063.37525678715</v>
      </c>
      <c r="J22" s="125">
        <v>0</v>
      </c>
      <c r="K22" s="44">
        <v>0</v>
      </c>
      <c r="L22" s="44">
        <v>0</v>
      </c>
      <c r="M22" s="127">
        <v>0.58375062981917702</v>
      </c>
      <c r="N22" s="128">
        <v>0</v>
      </c>
    </row>
    <row r="23" spans="1:17" x14ac:dyDescent="0.2">
      <c r="A23" s="44">
        <v>21</v>
      </c>
      <c r="B23" t="s">
        <v>184</v>
      </c>
      <c r="C23" s="44">
        <v>20230518</v>
      </c>
      <c r="D23" s="44">
        <v>457</v>
      </c>
      <c r="E23" s="40">
        <v>28875.53447283238</v>
      </c>
      <c r="F23" s="125">
        <v>148.72891200000001</v>
      </c>
      <c r="G23" s="126">
        <v>0.10553134704166338</v>
      </c>
      <c r="H23" s="127">
        <v>0</v>
      </c>
      <c r="I23" s="125">
        <v>1063.37525678715</v>
      </c>
      <c r="J23" s="125">
        <v>0</v>
      </c>
      <c r="K23" s="44">
        <v>0</v>
      </c>
      <c r="L23" s="44">
        <v>0</v>
      </c>
      <c r="M23" s="127">
        <v>0.99934878684020856</v>
      </c>
      <c r="N23" s="128">
        <v>0</v>
      </c>
      <c r="O23" s="8"/>
      <c r="P23" s="8"/>
      <c r="Q23" s="8"/>
    </row>
    <row r="24" spans="1:17" x14ac:dyDescent="0.2">
      <c r="A24" s="44">
        <v>22</v>
      </c>
      <c r="B24" t="s">
        <v>184</v>
      </c>
      <c r="C24" s="44">
        <v>20230518</v>
      </c>
      <c r="D24" s="44">
        <v>467</v>
      </c>
      <c r="E24" s="40">
        <v>28716.766314628458</v>
      </c>
      <c r="F24" s="125">
        <v>148.39688100000001</v>
      </c>
      <c r="G24" s="126">
        <v>0.10611480471301157</v>
      </c>
      <c r="H24" s="127">
        <v>0</v>
      </c>
      <c r="I24" s="125">
        <v>516.37823360942468</v>
      </c>
      <c r="J24" s="125">
        <v>0</v>
      </c>
      <c r="K24" s="44">
        <v>0</v>
      </c>
      <c r="L24" s="44">
        <v>0</v>
      </c>
      <c r="M24" s="127">
        <v>0.99872525999309902</v>
      </c>
      <c r="N24" s="128">
        <v>0</v>
      </c>
      <c r="O24" s="8"/>
      <c r="P24" s="8"/>
      <c r="Q24" s="8"/>
    </row>
    <row r="25" spans="1:17" x14ac:dyDescent="0.2">
      <c r="A25" s="44">
        <v>23</v>
      </c>
      <c r="B25" t="s">
        <v>184</v>
      </c>
      <c r="C25" s="44">
        <v>20230518</v>
      </c>
      <c r="D25" s="44">
        <v>476</v>
      </c>
      <c r="E25" s="40">
        <v>29319.085062466689</v>
      </c>
      <c r="F25" s="125">
        <v>148.63552866666669</v>
      </c>
      <c r="G25" s="126">
        <v>0.10393482753549517</v>
      </c>
      <c r="H25" s="127">
        <v>0</v>
      </c>
      <c r="I25" s="125">
        <v>505.76997996113101</v>
      </c>
      <c r="J25" s="125">
        <v>102.71786219708845</v>
      </c>
      <c r="K25" s="44">
        <v>0</v>
      </c>
      <c r="L25" s="44">
        <v>0</v>
      </c>
      <c r="M25" s="127">
        <v>0.99419644859972356</v>
      </c>
      <c r="N25" s="128">
        <v>0.16177562910966259</v>
      </c>
      <c r="O25" s="8"/>
      <c r="P25" s="8"/>
      <c r="Q25" s="8"/>
    </row>
    <row r="26" spans="1:17" x14ac:dyDescent="0.2">
      <c r="A26" s="44">
        <v>24</v>
      </c>
      <c r="B26" t="s">
        <v>184</v>
      </c>
      <c r="C26" s="44">
        <v>20230518</v>
      </c>
      <c r="D26" s="44">
        <v>483</v>
      </c>
      <c r="E26" s="40">
        <v>29910.648118379249</v>
      </c>
      <c r="F26" s="125">
        <v>148.36575300000001</v>
      </c>
      <c r="G26" s="126">
        <v>0.10187923837041581</v>
      </c>
      <c r="H26" s="127">
        <v>0</v>
      </c>
      <c r="I26" s="125">
        <v>495.76702603815016</v>
      </c>
      <c r="J26" s="125">
        <v>199.57471316329952</v>
      </c>
      <c r="K26" s="44">
        <v>0</v>
      </c>
      <c r="L26" s="44">
        <v>0</v>
      </c>
      <c r="M26" s="127">
        <v>0.97847212803400563</v>
      </c>
      <c r="N26" s="128">
        <v>6.3076351106305828E-2</v>
      </c>
      <c r="O26" s="8"/>
      <c r="P26" s="8"/>
      <c r="Q26" s="8"/>
    </row>
    <row r="27" spans="1:17" x14ac:dyDescent="0.2">
      <c r="A27" s="44">
        <v>25</v>
      </c>
      <c r="B27" t="s">
        <v>184</v>
      </c>
      <c r="C27" s="44">
        <v>20230518</v>
      </c>
      <c r="D27" s="44">
        <v>492</v>
      </c>
      <c r="E27" s="40">
        <v>29762.360987734028</v>
      </c>
      <c r="F27" s="125">
        <v>145.08169600000002</v>
      </c>
      <c r="G27" s="126">
        <v>0.10238683855497428</v>
      </c>
      <c r="H27" s="127">
        <v>0</v>
      </c>
      <c r="I27" s="125">
        <v>0</v>
      </c>
      <c r="J27" s="125">
        <v>200.56906846920168</v>
      </c>
      <c r="K27" s="44">
        <v>0</v>
      </c>
      <c r="L27" s="44">
        <v>0</v>
      </c>
      <c r="M27" s="127">
        <v>0</v>
      </c>
      <c r="N27" s="128">
        <v>0.19507011704926913</v>
      </c>
      <c r="O27" s="8"/>
      <c r="P27" s="8"/>
      <c r="Q27" s="8"/>
    </row>
    <row r="28" spans="1:17" x14ac:dyDescent="0.2">
      <c r="A28" s="44">
        <v>26</v>
      </c>
      <c r="B28" t="s">
        <v>184</v>
      </c>
      <c r="C28" s="44">
        <v>20230518</v>
      </c>
      <c r="D28" s="44">
        <v>503</v>
      </c>
      <c r="E28" s="40">
        <v>29170.797931821468</v>
      </c>
      <c r="F28" s="125">
        <v>145.37224799999998</v>
      </c>
      <c r="G28" s="126">
        <v>0.10446317089399247</v>
      </c>
      <c r="H28" s="127">
        <v>0</v>
      </c>
      <c r="I28" s="125">
        <v>0</v>
      </c>
      <c r="J28" s="125">
        <v>103.24001922161749</v>
      </c>
      <c r="K28" s="44">
        <v>0</v>
      </c>
      <c r="L28" s="44">
        <v>0</v>
      </c>
      <c r="M28" s="127">
        <v>0</v>
      </c>
      <c r="N28" s="128">
        <v>0.33618955520016736</v>
      </c>
      <c r="O28" s="8"/>
      <c r="P28" s="8"/>
      <c r="Q28" s="8"/>
    </row>
    <row r="29" spans="1:17" x14ac:dyDescent="0.2">
      <c r="A29" s="44">
        <v>27</v>
      </c>
      <c r="B29" t="s">
        <v>184</v>
      </c>
      <c r="C29" s="44">
        <v>20230518</v>
      </c>
      <c r="D29" s="44">
        <v>509</v>
      </c>
      <c r="E29" s="40">
        <v>28568.479183983236</v>
      </c>
      <c r="F29" s="125">
        <v>145.54864000000001</v>
      </c>
      <c r="G29" s="126">
        <v>0.10666560266793712</v>
      </c>
      <c r="H29" s="127">
        <v>0</v>
      </c>
      <c r="I29" s="125">
        <v>0</v>
      </c>
      <c r="J29" s="125">
        <v>0</v>
      </c>
      <c r="K29" s="44">
        <v>0</v>
      </c>
      <c r="L29" s="44">
        <v>0</v>
      </c>
      <c r="M29" s="127">
        <v>0</v>
      </c>
      <c r="N29" s="128">
        <v>0</v>
      </c>
      <c r="O29" s="8"/>
      <c r="P29" s="8"/>
      <c r="Q29" s="8"/>
    </row>
    <row r="30" spans="1:17" x14ac:dyDescent="0.2">
      <c r="A30" s="44">
        <v>28</v>
      </c>
      <c r="B30" t="s">
        <v>184</v>
      </c>
      <c r="C30" s="44">
        <v>20230518</v>
      </c>
      <c r="D30" s="44">
        <v>653</v>
      </c>
      <c r="E30" s="40">
        <v>30070.192648994926</v>
      </c>
      <c r="F30" s="125">
        <v>169.97094720000001</v>
      </c>
      <c r="G30" s="126">
        <v>0.10133869393643014</v>
      </c>
      <c r="H30" s="127">
        <v>0</v>
      </c>
      <c r="I30" s="125">
        <v>1023.7103062629945</v>
      </c>
      <c r="J30" s="125">
        <v>198.51582224410674</v>
      </c>
      <c r="K30" s="44">
        <v>0</v>
      </c>
      <c r="L30" s="44">
        <v>0</v>
      </c>
      <c r="M30" s="127">
        <v>0.99482094879745775</v>
      </c>
      <c r="N30" s="128">
        <v>0.14523590864862579</v>
      </c>
      <c r="O30" s="8"/>
      <c r="P30" s="8"/>
      <c r="Q30" s="8"/>
    </row>
    <row r="31" spans="1:17" x14ac:dyDescent="0.2">
      <c r="A31" s="44">
        <v>29</v>
      </c>
      <c r="B31" t="s">
        <v>184</v>
      </c>
      <c r="C31" s="44">
        <v>20230518</v>
      </c>
      <c r="D31" s="44">
        <v>681</v>
      </c>
      <c r="E31" s="40">
        <v>30070.192648994926</v>
      </c>
      <c r="F31" s="125">
        <v>157.77587923333328</v>
      </c>
      <c r="G31" s="126">
        <v>0.10133869393643014</v>
      </c>
      <c r="H31" s="127">
        <v>0</v>
      </c>
      <c r="I31" s="125">
        <v>1023.7103062629945</v>
      </c>
      <c r="J31" s="125">
        <v>198.51582224410674</v>
      </c>
      <c r="K31" s="44">
        <v>0</v>
      </c>
      <c r="L31" s="44">
        <v>0</v>
      </c>
      <c r="M31" s="127">
        <v>0.87815814682409155</v>
      </c>
      <c r="N31" s="128">
        <v>5.18106396342074E-2</v>
      </c>
      <c r="O31" s="8"/>
      <c r="P31" s="8"/>
      <c r="Q31" s="8"/>
    </row>
    <row r="32" spans="1:17" x14ac:dyDescent="0.2">
      <c r="A32" s="44">
        <v>30</v>
      </c>
      <c r="B32" t="s">
        <v>184</v>
      </c>
      <c r="C32" s="44">
        <v>20230518</v>
      </c>
      <c r="D32" s="44">
        <v>690</v>
      </c>
      <c r="E32" s="40">
        <v>29473.251747119532</v>
      </c>
      <c r="F32" s="125">
        <v>159.79299879999999</v>
      </c>
      <c r="G32" s="126">
        <v>0.10339117229451289</v>
      </c>
      <c r="H32" s="127">
        <v>0</v>
      </c>
      <c r="I32" s="125">
        <v>1044.4441756956232</v>
      </c>
      <c r="J32" s="125">
        <v>101.26824603493782</v>
      </c>
      <c r="K32" s="44">
        <v>0</v>
      </c>
      <c r="L32" s="44">
        <v>0</v>
      </c>
      <c r="M32" s="127">
        <v>0.96944460951266986</v>
      </c>
      <c r="N32" s="128">
        <v>0.13015140101179157</v>
      </c>
      <c r="O32" s="8"/>
      <c r="P32" s="8"/>
      <c r="Q32" s="8"/>
    </row>
    <row r="33" spans="1:17" x14ac:dyDescent="0.2">
      <c r="A33" s="44">
        <v>31</v>
      </c>
      <c r="B33" t="s">
        <v>184</v>
      </c>
      <c r="C33" s="44">
        <v>20230518</v>
      </c>
      <c r="D33" s="44">
        <v>700</v>
      </c>
      <c r="E33" s="40">
        <v>28876.310845244137</v>
      </c>
      <c r="F33" s="125">
        <v>159.354095</v>
      </c>
      <c r="G33" s="126">
        <v>0.10552850971154673</v>
      </c>
      <c r="H33" s="127">
        <v>0</v>
      </c>
      <c r="I33" s="125">
        <v>1066.0352803051971</v>
      </c>
      <c r="J33" s="125">
        <v>0</v>
      </c>
      <c r="K33" s="44">
        <v>0</v>
      </c>
      <c r="L33" s="44">
        <v>0</v>
      </c>
      <c r="M33" s="127">
        <v>0.99942810580413044</v>
      </c>
      <c r="N33" s="128">
        <v>0</v>
      </c>
      <c r="O33" s="8"/>
      <c r="P33" s="8"/>
      <c r="Q33" s="8"/>
    </row>
    <row r="34" spans="1:17" x14ac:dyDescent="0.2">
      <c r="A34" s="44">
        <v>32</v>
      </c>
      <c r="B34" t="s">
        <v>184</v>
      </c>
      <c r="C34" s="44">
        <v>20230518</v>
      </c>
      <c r="D34" s="44">
        <v>708</v>
      </c>
      <c r="E34" s="40">
        <v>28719.095431863727</v>
      </c>
      <c r="F34" s="125">
        <v>156.0378724</v>
      </c>
      <c r="G34" s="126">
        <v>0.10610619880753798</v>
      </c>
      <c r="H34" s="127">
        <v>0</v>
      </c>
      <c r="I34" s="125">
        <v>524.44635047029328</v>
      </c>
      <c r="J34" s="125">
        <v>0</v>
      </c>
      <c r="K34" s="44">
        <v>0</v>
      </c>
      <c r="L34" s="44">
        <v>0</v>
      </c>
      <c r="M34" s="127">
        <v>0.99733851996233813</v>
      </c>
      <c r="N34" s="128">
        <v>0</v>
      </c>
      <c r="O34" s="8"/>
      <c r="P34" s="8"/>
      <c r="Q34" s="8"/>
    </row>
    <row r="35" spans="1:17" x14ac:dyDescent="0.2">
      <c r="A35" s="44">
        <v>33</v>
      </c>
      <c r="B35" t="s">
        <v>184</v>
      </c>
      <c r="C35" s="44">
        <v>20230518</v>
      </c>
      <c r="D35" s="44">
        <v>719</v>
      </c>
      <c r="E35" s="40">
        <v>29316.036333739117</v>
      </c>
      <c r="F35" s="125">
        <v>156.08352680000007</v>
      </c>
      <c r="G35" s="126">
        <v>0.10394563626457763</v>
      </c>
      <c r="H35" s="127">
        <v>0</v>
      </c>
      <c r="I35" s="125">
        <v>513.7674348805109</v>
      </c>
      <c r="J35" s="125">
        <v>101.81132522140919</v>
      </c>
      <c r="K35" s="44">
        <v>0</v>
      </c>
      <c r="L35" s="44">
        <v>0</v>
      </c>
      <c r="M35" s="127">
        <v>0.99748052289126787</v>
      </c>
      <c r="N35" s="128">
        <v>0.26858268025722398</v>
      </c>
      <c r="O35" s="8"/>
      <c r="P35" s="8"/>
      <c r="Q35" s="8"/>
    </row>
    <row r="36" spans="1:17" x14ac:dyDescent="0.2">
      <c r="A36" s="44">
        <v>34</v>
      </c>
      <c r="B36" t="s">
        <v>184</v>
      </c>
      <c r="C36" s="44">
        <v>20230518</v>
      </c>
      <c r="D36" s="44">
        <v>739</v>
      </c>
      <c r="E36" s="40">
        <v>29912.977235614515</v>
      </c>
      <c r="F36" s="125">
        <v>155.87185640000001</v>
      </c>
      <c r="G36" s="126">
        <v>0.10187130573675868</v>
      </c>
      <c r="H36" s="127">
        <v>0</v>
      </c>
      <c r="I36" s="125">
        <v>503.51473440485796</v>
      </c>
      <c r="J36" s="125">
        <v>199.55917365680071</v>
      </c>
      <c r="K36" s="44">
        <v>0</v>
      </c>
      <c r="L36" s="44">
        <v>0</v>
      </c>
      <c r="M36" s="127">
        <v>0.99540399994108431</v>
      </c>
      <c r="N36" s="128">
        <v>0.12603421251491487</v>
      </c>
    </row>
    <row r="37" spans="1:17" x14ac:dyDescent="0.2">
      <c r="A37" s="44">
        <v>35</v>
      </c>
      <c r="B37" t="s">
        <v>184</v>
      </c>
      <c r="C37" s="44">
        <v>20230518</v>
      </c>
      <c r="D37" s="44">
        <v>755</v>
      </c>
      <c r="E37" s="40">
        <v>29762.360987734028</v>
      </c>
      <c r="F37" s="125">
        <v>152.21945160000001</v>
      </c>
      <c r="G37" s="126">
        <v>0.10238683855497428</v>
      </c>
      <c r="H37" s="127">
        <v>0</v>
      </c>
      <c r="I37" s="125">
        <v>0</v>
      </c>
      <c r="J37" s="125">
        <v>200.56906846920168</v>
      </c>
      <c r="K37" s="44">
        <v>0</v>
      </c>
      <c r="L37" s="44">
        <v>0</v>
      </c>
      <c r="M37" s="127">
        <v>0</v>
      </c>
      <c r="N37" s="128">
        <v>0.22022972049321354</v>
      </c>
    </row>
    <row r="38" spans="1:17" x14ac:dyDescent="0.2">
      <c r="A38" s="44">
        <v>36</v>
      </c>
      <c r="B38" t="s">
        <v>184</v>
      </c>
      <c r="C38" s="44">
        <v>20230518</v>
      </c>
      <c r="D38" s="44">
        <v>764</v>
      </c>
      <c r="E38" s="40">
        <v>29165.42008585863</v>
      </c>
      <c r="F38" s="125">
        <v>152.59506260000001</v>
      </c>
      <c r="G38" s="126">
        <v>0.10448243298040179</v>
      </c>
      <c r="H38" s="127">
        <v>0</v>
      </c>
      <c r="I38" s="125">
        <v>0</v>
      </c>
      <c r="J38" s="125">
        <v>102.33709991457137</v>
      </c>
      <c r="K38" s="44">
        <v>0</v>
      </c>
      <c r="L38" s="44">
        <v>0</v>
      </c>
      <c r="M38" s="127">
        <v>0</v>
      </c>
      <c r="N38" s="128">
        <v>0.39226477049727049</v>
      </c>
    </row>
    <row r="39" spans="1:17" x14ac:dyDescent="0.2">
      <c r="A39" s="44">
        <v>37</v>
      </c>
      <c r="B39" t="s">
        <v>184</v>
      </c>
      <c r="C39" s="44">
        <v>20230518</v>
      </c>
      <c r="D39" s="44">
        <v>806</v>
      </c>
      <c r="E39" s="40">
        <v>30067.475345553783</v>
      </c>
      <c r="F39" s="125">
        <v>138.41607659999994</v>
      </c>
      <c r="G39" s="126">
        <v>0.10134785227043025</v>
      </c>
      <c r="H39" s="127">
        <v>0</v>
      </c>
      <c r="I39" s="125">
        <v>1014.765471038706</v>
      </c>
      <c r="J39" s="125">
        <v>198.53376281679223</v>
      </c>
      <c r="K39" s="44">
        <v>0</v>
      </c>
      <c r="L39" s="44">
        <v>0</v>
      </c>
      <c r="M39" s="127">
        <v>0.30126648807845302</v>
      </c>
      <c r="N39" s="128">
        <v>2.7891778413166368E-2</v>
      </c>
    </row>
    <row r="40" spans="1:17" x14ac:dyDescent="0.2">
      <c r="A40" s="44">
        <v>38</v>
      </c>
      <c r="B40" t="s">
        <v>184</v>
      </c>
      <c r="C40" s="44">
        <v>20230518</v>
      </c>
      <c r="D40" s="44">
        <v>820</v>
      </c>
      <c r="E40" s="40">
        <v>29470.534443678385</v>
      </c>
      <c r="F40" s="125">
        <v>140.05239880000002</v>
      </c>
      <c r="G40" s="126">
        <v>0.10340070538217361</v>
      </c>
      <c r="H40" s="127">
        <v>0</v>
      </c>
      <c r="I40" s="125">
        <v>1035.3200699595882</v>
      </c>
      <c r="J40" s="125">
        <v>101.27758338014122</v>
      </c>
      <c r="K40" s="44">
        <v>0</v>
      </c>
      <c r="L40" s="44">
        <v>0</v>
      </c>
      <c r="M40" s="127">
        <v>0.44709147839817609</v>
      </c>
      <c r="N40" s="128">
        <v>2.9161753727591444E-2</v>
      </c>
    </row>
    <row r="41" spans="1:17" x14ac:dyDescent="0.2">
      <c r="A41" s="44">
        <v>39</v>
      </c>
      <c r="B41" t="s">
        <v>184</v>
      </c>
      <c r="C41" s="44">
        <v>20230518</v>
      </c>
      <c r="D41" s="44">
        <v>827</v>
      </c>
      <c r="E41" s="40">
        <v>28873.593541802995</v>
      </c>
      <c r="F41" s="125">
        <v>145.64514179999995</v>
      </c>
      <c r="G41" s="126">
        <v>0.10553844103451016</v>
      </c>
      <c r="H41" s="127">
        <v>0</v>
      </c>
      <c r="I41" s="125">
        <v>1056.7245721527979</v>
      </c>
      <c r="J41" s="125">
        <v>0</v>
      </c>
      <c r="K41" s="44">
        <v>0</v>
      </c>
      <c r="L41" s="44">
        <v>0</v>
      </c>
      <c r="M41" s="127">
        <v>0.98588992251706298</v>
      </c>
      <c r="N41" s="128">
        <v>0</v>
      </c>
    </row>
    <row r="42" spans="1:17" x14ac:dyDescent="0.2">
      <c r="A42" s="44">
        <v>40</v>
      </c>
      <c r="B42" t="s">
        <v>184</v>
      </c>
      <c r="C42" s="44">
        <v>20230518</v>
      </c>
      <c r="D42" s="44">
        <v>833</v>
      </c>
      <c r="E42" s="40">
        <v>28721.424549098996</v>
      </c>
      <c r="F42" s="125">
        <v>142.18261760000007</v>
      </c>
      <c r="G42" s="126">
        <v>0.1060975942978282</v>
      </c>
      <c r="H42" s="127">
        <v>0</v>
      </c>
      <c r="I42" s="125">
        <v>532.51315878951868</v>
      </c>
      <c r="J42" s="125">
        <v>0</v>
      </c>
      <c r="K42" s="44">
        <v>0</v>
      </c>
      <c r="L42" s="44">
        <v>0</v>
      </c>
      <c r="M42" s="127">
        <v>0.99839420431317016</v>
      </c>
      <c r="N42" s="128">
        <v>0</v>
      </c>
    </row>
    <row r="43" spans="1:17" x14ac:dyDescent="0.2">
      <c r="A43" s="44">
        <v>41</v>
      </c>
      <c r="B43" t="s">
        <v>184</v>
      </c>
      <c r="C43" s="44">
        <v>20230518</v>
      </c>
      <c r="D43" s="44">
        <v>842</v>
      </c>
      <c r="E43" s="40">
        <v>29323.743296937228</v>
      </c>
      <c r="F43" s="125">
        <v>142.42541500000004</v>
      </c>
      <c r="G43" s="126">
        <v>0.1039183169286667</v>
      </c>
      <c r="H43" s="127">
        <v>0</v>
      </c>
      <c r="I43" s="125">
        <v>521.57517397081438</v>
      </c>
      <c r="J43" s="125">
        <v>102.70154491175482</v>
      </c>
      <c r="K43" s="44">
        <v>0</v>
      </c>
      <c r="L43" s="44">
        <v>0</v>
      </c>
      <c r="M43" s="127">
        <v>0.97294786248704235</v>
      </c>
      <c r="N43" s="128">
        <v>0.11327459914167393</v>
      </c>
    </row>
    <row r="44" spans="1:17" s="157" customFormat="1" x14ac:dyDescent="0.2">
      <c r="A44" s="156">
        <v>42</v>
      </c>
      <c r="B44" s="157" t="s">
        <v>184</v>
      </c>
      <c r="C44" s="156">
        <v>20230518</v>
      </c>
      <c r="D44" s="156">
        <v>851</v>
      </c>
      <c r="E44" s="158">
        <v>29915.306352849784</v>
      </c>
      <c r="F44" s="159">
        <v>141.70324739999992</v>
      </c>
      <c r="G44" s="160">
        <v>0.10186337433832429</v>
      </c>
      <c r="H44" s="161">
        <v>0</v>
      </c>
      <c r="I44" s="159">
        <v>511.26123634426864</v>
      </c>
      <c r="J44" s="159">
        <v>199.54363657002185</v>
      </c>
      <c r="K44" s="156">
        <v>0</v>
      </c>
      <c r="L44" s="156">
        <v>0</v>
      </c>
      <c r="M44" s="161">
        <v>0.89461536134032194</v>
      </c>
      <c r="N44" s="162">
        <v>3.8625355623184254E-2</v>
      </c>
    </row>
    <row r="45" spans="1:17" x14ac:dyDescent="0.2">
      <c r="A45" s="44">
        <v>43</v>
      </c>
      <c r="B45" t="s">
        <v>184</v>
      </c>
      <c r="C45" s="44">
        <v>20230518</v>
      </c>
      <c r="D45" s="44">
        <v>859</v>
      </c>
      <c r="E45" s="40">
        <v>29762.360987734028</v>
      </c>
      <c r="F45" s="125">
        <v>138.81970200000004</v>
      </c>
      <c r="G45" s="126">
        <v>0.10238683855497428</v>
      </c>
      <c r="H45" s="127">
        <v>0</v>
      </c>
      <c r="I45" s="125">
        <v>0</v>
      </c>
      <c r="J45" s="125">
        <v>200.56906846920168</v>
      </c>
      <c r="K45" s="44">
        <v>0</v>
      </c>
      <c r="L45" s="44">
        <v>0</v>
      </c>
      <c r="M45" s="127">
        <v>0</v>
      </c>
      <c r="N45" s="128">
        <v>0.17455221267273391</v>
      </c>
    </row>
    <row r="46" spans="1:17" x14ac:dyDescent="0.2">
      <c r="A46" s="44">
        <v>44</v>
      </c>
      <c r="B46" t="s">
        <v>184</v>
      </c>
      <c r="C46" s="44">
        <v>20230518</v>
      </c>
      <c r="D46" s="44">
        <v>865</v>
      </c>
      <c r="E46" s="40">
        <v>29170.797931821468</v>
      </c>
      <c r="F46" s="125">
        <v>139.05108679999995</v>
      </c>
      <c r="G46" s="126">
        <v>0.10446317089399247</v>
      </c>
      <c r="H46" s="127">
        <v>0</v>
      </c>
      <c r="I46" s="125">
        <v>0</v>
      </c>
      <c r="J46" s="125">
        <v>103.24001922161749</v>
      </c>
      <c r="K46" s="44">
        <v>0</v>
      </c>
      <c r="L46" s="44">
        <v>0</v>
      </c>
      <c r="M46" s="127">
        <v>0</v>
      </c>
      <c r="N46" s="128">
        <v>0.33115607902167266</v>
      </c>
    </row>
    <row r="47" spans="1:17" x14ac:dyDescent="0.2">
      <c r="A47" s="44">
        <v>45</v>
      </c>
      <c r="B47" t="s">
        <v>110</v>
      </c>
      <c r="C47" s="44">
        <v>20230522</v>
      </c>
      <c r="D47" s="44">
        <v>112</v>
      </c>
      <c r="E47" s="40">
        <v>30036.041020396293</v>
      </c>
      <c r="F47" s="40">
        <v>193.03352171428565</v>
      </c>
      <c r="G47" s="126">
        <v>0.100547639071438</v>
      </c>
      <c r="H47" s="126">
        <v>0</v>
      </c>
      <c r="I47" s="40">
        <v>1019.7046815504291</v>
      </c>
      <c r="J47" s="40">
        <v>197.84630687194712</v>
      </c>
      <c r="K47" s="44">
        <v>0</v>
      </c>
      <c r="L47" s="44">
        <v>0</v>
      </c>
      <c r="M47" s="126">
        <v>0.99975824053600859</v>
      </c>
      <c r="N47" s="126">
        <v>0.69490242810780989</v>
      </c>
    </row>
    <row r="48" spans="1:17" x14ac:dyDescent="0.2">
      <c r="A48" s="44">
        <v>46</v>
      </c>
      <c r="B48" t="s">
        <v>110</v>
      </c>
      <c r="C48" s="44">
        <v>20230522</v>
      </c>
      <c r="D48" s="44">
        <v>119</v>
      </c>
      <c r="E48" s="40">
        <v>29444.47796448374</v>
      </c>
      <c r="F48" s="40">
        <v>193.48416557142849</v>
      </c>
      <c r="G48" s="126">
        <v>0.10256772136685645</v>
      </c>
      <c r="H48" s="129">
        <v>0</v>
      </c>
      <c r="I48" s="40">
        <v>1040.1913622201942</v>
      </c>
      <c r="J48" s="40">
        <v>101.36720756187783</v>
      </c>
      <c r="K48" s="44">
        <v>0</v>
      </c>
      <c r="L48" s="44">
        <v>0</v>
      </c>
      <c r="M48" s="129">
        <v>0.99939098178795471</v>
      </c>
      <c r="N48" s="129">
        <v>0.89754696559180425</v>
      </c>
    </row>
    <row r="49" spans="1:14" x14ac:dyDescent="0.2">
      <c r="A49" s="44">
        <v>47</v>
      </c>
      <c r="B49" t="s">
        <v>110</v>
      </c>
      <c r="C49" s="44">
        <v>20230522</v>
      </c>
      <c r="D49" s="44">
        <v>129</v>
      </c>
      <c r="E49" s="40">
        <v>28847.53706260835</v>
      </c>
      <c r="F49" s="40">
        <v>193.15952861904756</v>
      </c>
      <c r="G49" s="126">
        <v>0.10469015102049216</v>
      </c>
      <c r="H49" s="126">
        <v>0</v>
      </c>
      <c r="I49" s="40">
        <v>1061.7159994375445</v>
      </c>
      <c r="J49" s="40">
        <v>0</v>
      </c>
      <c r="K49" s="44">
        <v>0</v>
      </c>
      <c r="L49" s="44">
        <v>0</v>
      </c>
      <c r="M49" s="126">
        <v>0.99929801168938737</v>
      </c>
      <c r="N49" s="126">
        <v>0</v>
      </c>
    </row>
    <row r="50" spans="1:14" x14ac:dyDescent="0.2">
      <c r="A50" s="44">
        <v>48</v>
      </c>
      <c r="B50" t="s">
        <v>110</v>
      </c>
      <c r="C50" s="44">
        <v>20230522</v>
      </c>
      <c r="D50" s="44">
        <v>134</v>
      </c>
      <c r="E50" s="40">
        <v>28694.20351128672</v>
      </c>
      <c r="F50" s="40">
        <v>190.91827400000005</v>
      </c>
      <c r="G50" s="126">
        <v>0.10524958500645576</v>
      </c>
      <c r="H50" s="126">
        <v>0</v>
      </c>
      <c r="I50" s="40">
        <v>533.01833262454932</v>
      </c>
      <c r="J50" s="40">
        <v>0</v>
      </c>
      <c r="K50" s="44">
        <v>0</v>
      </c>
      <c r="L50" s="44">
        <v>0</v>
      </c>
      <c r="M50" s="126">
        <v>0.99914518803983676</v>
      </c>
      <c r="N50" s="126">
        <v>0</v>
      </c>
    </row>
    <row r="51" spans="1:14" x14ac:dyDescent="0.2">
      <c r="A51" s="44">
        <v>49</v>
      </c>
      <c r="B51" t="s">
        <v>110</v>
      </c>
      <c r="C51" s="44">
        <v>20230522</v>
      </c>
      <c r="D51" s="44">
        <v>145</v>
      </c>
      <c r="E51" s="40">
        <v>29291.14441316211</v>
      </c>
      <c r="F51" s="40">
        <v>190.29719728571439</v>
      </c>
      <c r="G51" s="126">
        <v>0.10310464381503094</v>
      </c>
      <c r="H51" s="126">
        <v>0</v>
      </c>
      <c r="I51" s="40">
        <v>522.15564867799651</v>
      </c>
      <c r="J51" s="40">
        <v>101.89784554937944</v>
      </c>
      <c r="K51" s="44">
        <v>0</v>
      </c>
      <c r="L51" s="44">
        <v>0</v>
      </c>
      <c r="M51" s="126">
        <v>0.99934557781816369</v>
      </c>
      <c r="N51" s="126">
        <v>0.79796442150290414</v>
      </c>
    </row>
    <row r="52" spans="1:14" x14ac:dyDescent="0.2">
      <c r="A52" s="44">
        <v>50</v>
      </c>
      <c r="B52" t="s">
        <v>110</v>
      </c>
      <c r="C52" s="44">
        <v>20230522</v>
      </c>
      <c r="D52" s="44">
        <v>151</v>
      </c>
      <c r="E52" s="40">
        <v>29888.085315037508</v>
      </c>
      <c r="F52" s="40">
        <v>189.6227592857143</v>
      </c>
      <c r="G52" s="126">
        <v>0.10104538245995444</v>
      </c>
      <c r="H52" s="126">
        <v>0</v>
      </c>
      <c r="I52" s="40">
        <v>511.72687545429477</v>
      </c>
      <c r="J52" s="40">
        <v>199.72537403560446</v>
      </c>
      <c r="K52" s="44">
        <v>0</v>
      </c>
      <c r="L52" s="44">
        <v>0</v>
      </c>
      <c r="M52" s="126">
        <v>0.99949859337570368</v>
      </c>
      <c r="N52" s="126">
        <v>0.55029895880423463</v>
      </c>
    </row>
    <row r="53" spans="1:14" x14ac:dyDescent="0.2">
      <c r="A53" s="44">
        <v>51</v>
      </c>
      <c r="B53" t="s">
        <v>110</v>
      </c>
      <c r="C53" s="44">
        <v>20230522</v>
      </c>
      <c r="D53" s="44">
        <v>163</v>
      </c>
      <c r="E53" s="40">
        <v>29735.139949921751</v>
      </c>
      <c r="F53" s="40">
        <v>186.71594199999993</v>
      </c>
      <c r="G53" s="126">
        <v>0.1015651184672383</v>
      </c>
      <c r="H53" s="126">
        <v>0</v>
      </c>
      <c r="I53" s="40">
        <v>0</v>
      </c>
      <c r="J53" s="40">
        <v>200.7526794495424</v>
      </c>
      <c r="K53" s="44">
        <v>0</v>
      </c>
      <c r="L53" s="44">
        <v>0</v>
      </c>
      <c r="M53" s="126">
        <v>0</v>
      </c>
      <c r="N53" s="126">
        <v>0.63074509252156141</v>
      </c>
    </row>
    <row r="54" spans="1:14" x14ac:dyDescent="0.2">
      <c r="A54" s="44">
        <v>52</v>
      </c>
      <c r="B54" t="s">
        <v>110</v>
      </c>
      <c r="C54" s="44">
        <v>20230522</v>
      </c>
      <c r="D54" s="44">
        <v>169</v>
      </c>
      <c r="E54" s="40">
        <v>29138.199048046354</v>
      </c>
      <c r="F54" s="40">
        <v>187.18286100000009</v>
      </c>
      <c r="G54" s="126">
        <v>0.10364583640443627</v>
      </c>
      <c r="H54" s="126">
        <v>0</v>
      </c>
      <c r="I54" s="40">
        <v>0</v>
      </c>
      <c r="J54" s="40">
        <v>102.43270369783127</v>
      </c>
      <c r="K54" s="44">
        <v>0</v>
      </c>
      <c r="L54" s="44">
        <v>0</v>
      </c>
      <c r="M54" s="126">
        <v>0</v>
      </c>
      <c r="N54" s="126">
        <v>0.88897523565042913</v>
      </c>
    </row>
    <row r="55" spans="1:14" x14ac:dyDescent="0.2">
      <c r="A55" s="44">
        <v>53</v>
      </c>
      <c r="B55" t="s">
        <v>110</v>
      </c>
      <c r="C55" s="44">
        <v>20230522</v>
      </c>
      <c r="D55" s="44">
        <v>232</v>
      </c>
      <c r="E55" s="40">
        <v>30041.418866359138</v>
      </c>
      <c r="F55" s="40">
        <v>181.39300499999993</v>
      </c>
      <c r="G55" s="126">
        <v>0.10052963959820209</v>
      </c>
      <c r="H55" s="126">
        <v>0</v>
      </c>
      <c r="I55" s="40">
        <v>1019.5221397494123</v>
      </c>
      <c r="J55" s="40">
        <v>198.70596143641413</v>
      </c>
      <c r="K55" s="44">
        <v>0</v>
      </c>
      <c r="L55" s="44">
        <v>0</v>
      </c>
      <c r="M55" s="126">
        <v>0.99878645424811119</v>
      </c>
      <c r="N55" s="126">
        <v>0.33055698611883833</v>
      </c>
    </row>
    <row r="56" spans="1:14" x14ac:dyDescent="0.2">
      <c r="A56" s="44">
        <v>54</v>
      </c>
      <c r="B56" t="s">
        <v>110</v>
      </c>
      <c r="C56" s="44">
        <v>20230522</v>
      </c>
      <c r="D56" s="44">
        <v>240</v>
      </c>
      <c r="E56" s="40">
        <v>29444.47796448374</v>
      </c>
      <c r="F56" s="40">
        <v>181.80063257142859</v>
      </c>
      <c r="G56" s="126">
        <v>0.10256772136685645</v>
      </c>
      <c r="H56" s="126">
        <v>0</v>
      </c>
      <c r="I56" s="40">
        <v>1040.1913622201942</v>
      </c>
      <c r="J56" s="40">
        <v>101.36720756187783</v>
      </c>
      <c r="K56" s="44">
        <v>0</v>
      </c>
      <c r="L56" s="44">
        <v>0</v>
      </c>
      <c r="M56" s="126">
        <v>1.0000096541640977</v>
      </c>
      <c r="N56" s="126">
        <v>0.71907258726937051</v>
      </c>
    </row>
    <row r="57" spans="1:14" x14ac:dyDescent="0.2">
      <c r="A57" s="44">
        <v>55</v>
      </c>
      <c r="B57" t="s">
        <v>110</v>
      </c>
      <c r="C57" s="44">
        <v>20230522</v>
      </c>
      <c r="D57" s="44">
        <v>247</v>
      </c>
      <c r="E57" s="40">
        <v>28847.53706260835</v>
      </c>
      <c r="F57" s="40">
        <v>181.57977299999996</v>
      </c>
      <c r="G57" s="126">
        <v>0.10469015102049216</v>
      </c>
      <c r="H57" s="126">
        <v>0</v>
      </c>
      <c r="I57" s="40">
        <v>1061.7159994375445</v>
      </c>
      <c r="J57" s="40">
        <v>0</v>
      </c>
      <c r="K57" s="44">
        <v>0</v>
      </c>
      <c r="L57" s="44">
        <v>0</v>
      </c>
      <c r="M57" s="126">
        <v>0.99930295655091728</v>
      </c>
      <c r="N57" s="126">
        <v>0</v>
      </c>
    </row>
    <row r="58" spans="1:14" x14ac:dyDescent="0.2">
      <c r="A58" s="44">
        <v>56</v>
      </c>
      <c r="B58" t="s">
        <v>110</v>
      </c>
      <c r="C58" s="44">
        <v>20230522</v>
      </c>
      <c r="D58" s="44">
        <v>255</v>
      </c>
      <c r="E58" s="40">
        <v>28690.709835433816</v>
      </c>
      <c r="F58" s="40">
        <v>178.83156028571429</v>
      </c>
      <c r="G58" s="126">
        <v>0.10526240127819578</v>
      </c>
      <c r="H58" s="126">
        <v>0</v>
      </c>
      <c r="I58" s="40">
        <v>520.90621012896804</v>
      </c>
      <c r="J58" s="40">
        <v>0</v>
      </c>
      <c r="K58" s="44">
        <v>0</v>
      </c>
      <c r="L58" s="44">
        <v>0</v>
      </c>
      <c r="M58" s="126">
        <v>0.9994581234725326</v>
      </c>
      <c r="N58" s="126">
        <v>0</v>
      </c>
    </row>
    <row r="59" spans="1:14" x14ac:dyDescent="0.2">
      <c r="A59" s="44">
        <v>57</v>
      </c>
      <c r="B59" t="s">
        <v>110</v>
      </c>
      <c r="C59" s="44">
        <v>20230522</v>
      </c>
      <c r="D59" s="44">
        <v>262</v>
      </c>
      <c r="E59" s="40">
        <v>29282.272891346365</v>
      </c>
      <c r="F59" s="40">
        <v>178.40466299999991</v>
      </c>
      <c r="G59" s="126">
        <v>0.10313588097685589</v>
      </c>
      <c r="H59" s="126">
        <v>0</v>
      </c>
      <c r="I59" s="40">
        <v>510.38281699445548</v>
      </c>
      <c r="J59" s="40">
        <v>101.01044036225964</v>
      </c>
      <c r="K59" s="44">
        <v>0</v>
      </c>
      <c r="L59" s="44">
        <v>0</v>
      </c>
      <c r="M59" s="126">
        <v>0.99914565936853816</v>
      </c>
      <c r="N59" s="126">
        <v>0.6619529512168365</v>
      </c>
    </row>
    <row r="60" spans="1:14" x14ac:dyDescent="0.2">
      <c r="A60" s="44">
        <v>58</v>
      </c>
      <c r="B60" t="s">
        <v>110</v>
      </c>
      <c r="C60" s="44">
        <v>20230522</v>
      </c>
      <c r="D60" s="44">
        <v>269</v>
      </c>
      <c r="E60" s="40">
        <v>29884.591639184604</v>
      </c>
      <c r="F60" s="40">
        <v>177.78062176190468</v>
      </c>
      <c r="G60" s="126">
        <v>0.10105719523012743</v>
      </c>
      <c r="H60" s="126">
        <v>0</v>
      </c>
      <c r="I60" s="40">
        <v>500.09614006870578</v>
      </c>
      <c r="J60" s="40">
        <v>199.74872304853074</v>
      </c>
      <c r="K60" s="44">
        <v>0</v>
      </c>
      <c r="L60" s="44">
        <v>0</v>
      </c>
      <c r="M60" s="126">
        <v>0.99893866253635688</v>
      </c>
      <c r="N60" s="126">
        <v>0.36058608939802805</v>
      </c>
    </row>
    <row r="61" spans="1:14" x14ac:dyDescent="0.2">
      <c r="A61" s="44">
        <v>59</v>
      </c>
      <c r="B61" t="s">
        <v>110</v>
      </c>
      <c r="C61" s="44">
        <v>20230522</v>
      </c>
      <c r="D61" s="44">
        <v>276</v>
      </c>
      <c r="E61" s="40">
        <v>29735.139949921751</v>
      </c>
      <c r="F61" s="40">
        <v>174.97015400000004</v>
      </c>
      <c r="G61" s="126">
        <v>0.1015651184672383</v>
      </c>
      <c r="H61" s="126">
        <v>0</v>
      </c>
      <c r="I61" s="40">
        <v>0</v>
      </c>
      <c r="J61" s="40">
        <v>200.7526794495424</v>
      </c>
      <c r="K61" s="44">
        <v>0</v>
      </c>
      <c r="L61" s="44">
        <v>0</v>
      </c>
      <c r="M61" s="126">
        <v>0</v>
      </c>
      <c r="N61" s="126">
        <v>0.50829854648465889</v>
      </c>
    </row>
    <row r="62" spans="1:14" x14ac:dyDescent="0.2">
      <c r="A62" s="44">
        <v>60</v>
      </c>
      <c r="B62" t="s">
        <v>110</v>
      </c>
      <c r="C62" s="44">
        <v>20230522</v>
      </c>
      <c r="D62" s="44">
        <v>285</v>
      </c>
      <c r="E62" s="40">
        <v>29138.199048046354</v>
      </c>
      <c r="F62" s="40">
        <v>175.22955300000007</v>
      </c>
      <c r="G62" s="126">
        <v>0.10364583640443627</v>
      </c>
      <c r="H62" s="126">
        <v>0</v>
      </c>
      <c r="I62" s="40">
        <v>0</v>
      </c>
      <c r="J62" s="40">
        <v>102.43270369783127</v>
      </c>
      <c r="K62" s="44">
        <v>0</v>
      </c>
      <c r="L62" s="44">
        <v>0</v>
      </c>
      <c r="M62" s="126">
        <v>0</v>
      </c>
      <c r="N62" s="126">
        <v>0.80703686955753451</v>
      </c>
    </row>
    <row r="63" spans="1:14" x14ac:dyDescent="0.2">
      <c r="A63" s="44">
        <v>61</v>
      </c>
      <c r="B63" t="s">
        <v>110</v>
      </c>
      <c r="C63" s="44">
        <v>20230522</v>
      </c>
      <c r="D63" s="44">
        <v>329</v>
      </c>
      <c r="E63" s="40">
        <v>30032.215919256967</v>
      </c>
      <c r="F63" s="40">
        <v>164.98386514285716</v>
      </c>
      <c r="G63" s="126">
        <v>0.10056044548205395</v>
      </c>
      <c r="H63" s="129">
        <v>0</v>
      </c>
      <c r="I63" s="40">
        <v>1025.0048217837752</v>
      </c>
      <c r="J63" s="40">
        <v>196.97615970229978</v>
      </c>
      <c r="K63" s="44">
        <v>0</v>
      </c>
      <c r="L63" s="44">
        <v>0</v>
      </c>
      <c r="M63" s="129">
        <v>0.92244467131295771</v>
      </c>
      <c r="N63" s="129">
        <v>5.9985062433417169E-2</v>
      </c>
    </row>
    <row r="64" spans="1:14" x14ac:dyDescent="0.2">
      <c r="A64" s="44">
        <v>62</v>
      </c>
      <c r="B64" t="s">
        <v>110</v>
      </c>
      <c r="C64" s="44">
        <v>20230522</v>
      </c>
      <c r="D64" s="44">
        <v>339</v>
      </c>
      <c r="E64" s="40">
        <v>29446.030709307255</v>
      </c>
      <c r="F64" s="40">
        <v>166.42467385714292</v>
      </c>
      <c r="G64" s="126">
        <v>0.10256231277715604</v>
      </c>
      <c r="H64" s="126">
        <v>0</v>
      </c>
      <c r="I64" s="40">
        <v>1045.4096998669484</v>
      </c>
      <c r="J64" s="40">
        <v>101.36186227753815</v>
      </c>
      <c r="K64" s="44">
        <v>0</v>
      </c>
      <c r="L64" s="44">
        <v>0</v>
      </c>
      <c r="M64" s="126">
        <v>0.98586453580251099</v>
      </c>
      <c r="N64" s="126">
        <v>0.3428512589452658</v>
      </c>
    </row>
    <row r="65" spans="1:14" x14ac:dyDescent="0.2">
      <c r="A65" s="44">
        <v>63</v>
      </c>
      <c r="B65" t="s">
        <v>110</v>
      </c>
      <c r="C65" s="44">
        <v>20230522</v>
      </c>
      <c r="D65" s="44">
        <v>345</v>
      </c>
      <c r="E65" s="40">
        <v>28849.089807431861</v>
      </c>
      <c r="F65" s="40">
        <v>165.60941871428571</v>
      </c>
      <c r="G65" s="126">
        <v>0.10468451628154007</v>
      </c>
      <c r="H65" s="126">
        <v>0</v>
      </c>
      <c r="I65" s="40">
        <v>1067.0411555985984</v>
      </c>
      <c r="J65" s="40">
        <v>0</v>
      </c>
      <c r="K65" s="44">
        <v>0</v>
      </c>
      <c r="L65" s="44">
        <v>0</v>
      </c>
      <c r="M65" s="126">
        <v>1.0000340996359804</v>
      </c>
      <c r="N65" s="126">
        <v>0</v>
      </c>
    </row>
    <row r="66" spans="1:14" x14ac:dyDescent="0.2">
      <c r="A66" s="44">
        <v>64</v>
      </c>
      <c r="B66" t="s">
        <v>110</v>
      </c>
      <c r="C66" s="44">
        <v>20230522</v>
      </c>
      <c r="D66" s="44">
        <v>350</v>
      </c>
      <c r="E66" s="40">
        <v>28693.038952669089</v>
      </c>
      <c r="F66" s="40">
        <v>163.12060509523812</v>
      </c>
      <c r="G66" s="126">
        <v>0.10525385675025478</v>
      </c>
      <c r="H66" s="126">
        <v>0</v>
      </c>
      <c r="I66" s="40">
        <v>528.98128618754674</v>
      </c>
      <c r="J66" s="40">
        <v>0</v>
      </c>
      <c r="K66" s="44">
        <v>0</v>
      </c>
      <c r="L66" s="44">
        <v>0</v>
      </c>
      <c r="M66" s="126">
        <v>0.99962748502041787</v>
      </c>
      <c r="N66" s="126">
        <v>0</v>
      </c>
    </row>
    <row r="67" spans="1:14" x14ac:dyDescent="0.2">
      <c r="A67" s="44">
        <v>65</v>
      </c>
      <c r="B67" t="s">
        <v>110</v>
      </c>
      <c r="C67" s="44">
        <v>20230522</v>
      </c>
      <c r="D67" s="44">
        <v>361</v>
      </c>
      <c r="E67" s="40">
        <v>29295.35770050732</v>
      </c>
      <c r="F67" s="40">
        <v>162.71594199999996</v>
      </c>
      <c r="G67" s="126">
        <v>0.10308981520308978</v>
      </c>
      <c r="H67" s="126">
        <v>0</v>
      </c>
      <c r="I67" s="40">
        <v>518.10531910827046</v>
      </c>
      <c r="J67" s="40">
        <v>102.80105708144384</v>
      </c>
      <c r="K67" s="44">
        <v>0</v>
      </c>
      <c r="L67" s="44">
        <v>0</v>
      </c>
      <c r="M67" s="126">
        <v>0.99926685191672027</v>
      </c>
      <c r="N67" s="126">
        <v>0.49751317221289149</v>
      </c>
    </row>
    <row r="68" spans="1:14" x14ac:dyDescent="0.2">
      <c r="A68" s="44">
        <v>66</v>
      </c>
      <c r="B68" t="s">
        <v>110</v>
      </c>
      <c r="C68" s="44">
        <v>20230522</v>
      </c>
      <c r="D68" s="44">
        <v>367</v>
      </c>
      <c r="E68" s="40">
        <v>29886.920756419877</v>
      </c>
      <c r="F68" s="40">
        <v>162.34537157142864</v>
      </c>
      <c r="G68" s="126">
        <v>0.10104931974315182</v>
      </c>
      <c r="H68" s="126">
        <v>0</v>
      </c>
      <c r="I68" s="40">
        <v>507.85026579066152</v>
      </c>
      <c r="J68" s="40">
        <v>199.733156433376</v>
      </c>
      <c r="K68" s="44">
        <v>0</v>
      </c>
      <c r="L68" s="44">
        <v>0</v>
      </c>
      <c r="M68" s="126">
        <v>0.99943145948584877</v>
      </c>
      <c r="N68" s="126">
        <v>0.21757960263872367</v>
      </c>
    </row>
    <row r="69" spans="1:14" x14ac:dyDescent="0.2">
      <c r="A69" s="44">
        <v>67</v>
      </c>
      <c r="B69" t="s">
        <v>110</v>
      </c>
      <c r="C69" s="44">
        <v>20230522</v>
      </c>
      <c r="D69" s="44">
        <v>380</v>
      </c>
      <c r="E69" s="40">
        <v>29735.139949921751</v>
      </c>
      <c r="F69" s="40">
        <v>159.10504200000003</v>
      </c>
      <c r="G69" s="126">
        <v>0.1015651184672383</v>
      </c>
      <c r="H69" s="126">
        <v>0</v>
      </c>
      <c r="I69" s="40">
        <v>0</v>
      </c>
      <c r="J69" s="40">
        <v>200.7526794495424</v>
      </c>
      <c r="K69" s="44">
        <v>0</v>
      </c>
      <c r="L69" s="44">
        <v>0</v>
      </c>
      <c r="M69" s="126">
        <v>0</v>
      </c>
      <c r="N69" s="126">
        <v>0.42195302030375048</v>
      </c>
    </row>
    <row r="70" spans="1:14" x14ac:dyDescent="0.2">
      <c r="A70" s="44">
        <v>68</v>
      </c>
      <c r="B70" t="s">
        <v>110</v>
      </c>
      <c r="C70" s="44">
        <v>20230522</v>
      </c>
      <c r="D70" s="44">
        <v>386</v>
      </c>
      <c r="E70" s="40">
        <v>29138.199048046354</v>
      </c>
      <c r="F70" s="40">
        <v>159.56606185714284</v>
      </c>
      <c r="G70" s="126">
        <v>0.10364583640443627</v>
      </c>
      <c r="H70" s="126">
        <v>0</v>
      </c>
      <c r="I70" s="40">
        <v>0</v>
      </c>
      <c r="J70" s="40">
        <v>102.43270369783127</v>
      </c>
      <c r="K70" s="44">
        <v>0</v>
      </c>
      <c r="L70" s="44">
        <v>0</v>
      </c>
      <c r="M70" s="126">
        <v>0</v>
      </c>
      <c r="N70" s="126">
        <v>0.76736944020568654</v>
      </c>
    </row>
    <row r="71" spans="1:14" x14ac:dyDescent="0.2">
      <c r="A71" s="44">
        <v>69</v>
      </c>
      <c r="B71" t="s">
        <v>110</v>
      </c>
      <c r="C71" s="44">
        <v>20230522</v>
      </c>
      <c r="D71" s="44">
        <v>436</v>
      </c>
      <c r="E71" s="40">
        <v>30042.195238770892</v>
      </c>
      <c r="F71" s="40">
        <v>136.8334131428571</v>
      </c>
      <c r="G71" s="126">
        <v>0.10052704163762938</v>
      </c>
      <c r="H71" s="126">
        <v>0</v>
      </c>
      <c r="I71" s="40">
        <v>1022.0800657499017</v>
      </c>
      <c r="J71" s="40">
        <v>198.70082633142982</v>
      </c>
      <c r="K71" s="44">
        <v>0</v>
      </c>
      <c r="L71" s="44">
        <v>0</v>
      </c>
      <c r="M71" s="126">
        <v>0.29377272132886401</v>
      </c>
      <c r="N71" s="126">
        <v>-6.347570620829579E-3</v>
      </c>
    </row>
    <row r="72" spans="1:14" x14ac:dyDescent="0.2">
      <c r="A72" s="44">
        <v>70</v>
      </c>
      <c r="B72" t="s">
        <v>110</v>
      </c>
      <c r="C72" s="44">
        <v>20230522</v>
      </c>
      <c r="D72" s="44">
        <v>455</v>
      </c>
      <c r="E72" s="40">
        <v>29450.632182858335</v>
      </c>
      <c r="F72" s="40">
        <v>142.29571499999997</v>
      </c>
      <c r="G72" s="126">
        <v>0.1025462880695487</v>
      </c>
      <c r="H72" s="126">
        <v>0</v>
      </c>
      <c r="I72" s="40">
        <v>1042.6101787650725</v>
      </c>
      <c r="J72" s="40">
        <v>102.25905238611681</v>
      </c>
      <c r="K72" s="44">
        <v>0</v>
      </c>
      <c r="L72" s="44">
        <v>0</v>
      </c>
      <c r="M72" s="126">
        <v>0.49902458699753527</v>
      </c>
      <c r="N72" s="126">
        <v>1.2537362874211366E-2</v>
      </c>
    </row>
    <row r="73" spans="1:14" x14ac:dyDescent="0.2">
      <c r="A73" s="44">
        <v>71</v>
      </c>
      <c r="B73" t="s">
        <v>110</v>
      </c>
      <c r="C73" s="44">
        <v>20230522</v>
      </c>
      <c r="D73" s="44">
        <v>463</v>
      </c>
      <c r="E73" s="40">
        <v>28848.313435020103</v>
      </c>
      <c r="F73" s="40">
        <v>147.87511771428566</v>
      </c>
      <c r="G73" s="126">
        <v>0.10468733357519443</v>
      </c>
      <c r="H73" s="126">
        <v>0</v>
      </c>
      <c r="I73" s="40">
        <v>1064.3786491739818</v>
      </c>
      <c r="J73" s="40">
        <v>0</v>
      </c>
      <c r="K73" s="44">
        <v>0</v>
      </c>
      <c r="L73" s="44">
        <v>0</v>
      </c>
      <c r="M73" s="126">
        <v>0.99916424644372681</v>
      </c>
      <c r="N73" s="126">
        <v>0</v>
      </c>
    </row>
    <row r="74" spans="1:14" x14ac:dyDescent="0.2">
      <c r="A74" s="44">
        <v>72</v>
      </c>
      <c r="B74" t="s">
        <v>110</v>
      </c>
      <c r="C74" s="44">
        <v>20230522</v>
      </c>
      <c r="D74" s="44">
        <v>468</v>
      </c>
      <c r="E74" s="40">
        <v>28687.6043457868</v>
      </c>
      <c r="F74" s="40">
        <v>145.7020615714286</v>
      </c>
      <c r="G74" s="126">
        <v>0.10527379614036167</v>
      </c>
      <c r="H74" s="126">
        <v>0</v>
      </c>
      <c r="I74" s="40">
        <v>510.13740238414186</v>
      </c>
      <c r="J74" s="40">
        <v>0</v>
      </c>
      <c r="K74" s="44">
        <v>0</v>
      </c>
      <c r="L74" s="44">
        <v>0</v>
      </c>
      <c r="M74" s="126">
        <v>0.99889691503750777</v>
      </c>
      <c r="N74" s="126">
        <v>0</v>
      </c>
    </row>
    <row r="75" spans="1:14" x14ac:dyDescent="0.2">
      <c r="A75" s="44">
        <v>73</v>
      </c>
      <c r="B75" t="s">
        <v>110</v>
      </c>
      <c r="C75" s="44">
        <v>20230522</v>
      </c>
      <c r="D75" s="44">
        <v>478</v>
      </c>
      <c r="E75" s="40">
        <v>29289.923093625031</v>
      </c>
      <c r="F75" s="40">
        <v>146.54103328571435</v>
      </c>
      <c r="G75" s="126">
        <v>0.10310894303136731</v>
      </c>
      <c r="H75" s="126">
        <v>0</v>
      </c>
      <c r="I75" s="40">
        <v>499.64692344203968</v>
      </c>
      <c r="J75" s="40">
        <v>102.82013133201581</v>
      </c>
      <c r="K75" s="44">
        <v>0</v>
      </c>
      <c r="L75" s="44">
        <v>0</v>
      </c>
      <c r="M75" s="126">
        <v>0.98711640539970902</v>
      </c>
      <c r="N75" s="126">
        <v>0.19949506509395154</v>
      </c>
    </row>
    <row r="76" spans="1:14" x14ac:dyDescent="0.2">
      <c r="A76" s="44">
        <v>74</v>
      </c>
      <c r="B76" t="s">
        <v>110</v>
      </c>
      <c r="C76" s="44">
        <v>20230522</v>
      </c>
      <c r="D76" s="44">
        <v>488</v>
      </c>
      <c r="E76" s="40">
        <v>29881.486149537588</v>
      </c>
      <c r="F76" s="40">
        <v>146.3513007142858</v>
      </c>
      <c r="G76" s="126">
        <v>0.10106769778920276</v>
      </c>
      <c r="H76" s="126">
        <v>0</v>
      </c>
      <c r="I76" s="40">
        <v>489.75542542786712</v>
      </c>
      <c r="J76" s="40">
        <v>199.76948231024645</v>
      </c>
      <c r="K76" s="44">
        <v>0</v>
      </c>
      <c r="L76" s="44">
        <v>0</v>
      </c>
      <c r="M76" s="126">
        <v>0.92653267461894784</v>
      </c>
      <c r="N76" s="126">
        <v>5.1677480884706584E-2</v>
      </c>
    </row>
    <row r="77" spans="1:14" x14ac:dyDescent="0.2">
      <c r="A77" s="44">
        <v>75</v>
      </c>
      <c r="B77" t="s">
        <v>110</v>
      </c>
      <c r="C77" s="44">
        <v>20230522</v>
      </c>
      <c r="D77" s="44">
        <v>497</v>
      </c>
      <c r="E77" s="40">
        <v>29735.139949921751</v>
      </c>
      <c r="F77" s="40">
        <v>143.9796185714286</v>
      </c>
      <c r="G77" s="126">
        <v>0.1015651184672383</v>
      </c>
      <c r="H77" s="126">
        <v>0</v>
      </c>
      <c r="I77" s="40">
        <v>0</v>
      </c>
      <c r="J77" s="40">
        <v>200.7526794495424</v>
      </c>
      <c r="K77" s="44">
        <v>0</v>
      </c>
      <c r="L77" s="44">
        <v>0</v>
      </c>
      <c r="M77" s="126">
        <v>0</v>
      </c>
      <c r="N77" s="126">
        <v>0.35570336056211138</v>
      </c>
    </row>
    <row r="78" spans="1:14" x14ac:dyDescent="0.2">
      <c r="A78" s="44">
        <v>76</v>
      </c>
      <c r="B78" t="s">
        <v>110</v>
      </c>
      <c r="C78" s="44">
        <v>20230522</v>
      </c>
      <c r="D78" s="44">
        <v>509</v>
      </c>
      <c r="E78" s="40">
        <v>29132.821202083513</v>
      </c>
      <c r="F78" s="40">
        <v>144.37983471428569</v>
      </c>
      <c r="G78" s="126">
        <v>0.10366496916672545</v>
      </c>
      <c r="H78" s="126">
        <v>0</v>
      </c>
      <c r="I78" s="40">
        <v>0</v>
      </c>
      <c r="J78" s="40">
        <v>101.52862501868576</v>
      </c>
      <c r="K78" s="44">
        <v>0</v>
      </c>
      <c r="L78" s="44">
        <v>0</v>
      </c>
      <c r="M78" s="126">
        <v>0</v>
      </c>
      <c r="N78" s="126">
        <v>0.64431096530289644</v>
      </c>
    </row>
    <row r="79" spans="1:14" x14ac:dyDescent="0.2">
      <c r="A79" s="44">
        <v>77</v>
      </c>
      <c r="B79" t="s">
        <v>110</v>
      </c>
      <c r="C79" s="44">
        <v>20230522</v>
      </c>
      <c r="D79" s="44">
        <v>627</v>
      </c>
      <c r="E79" s="40">
        <v>30041.418866359138</v>
      </c>
      <c r="F79" s="40">
        <v>153.94276464516125</v>
      </c>
      <c r="G79" s="126">
        <v>0.10052963959820209</v>
      </c>
      <c r="H79" s="126">
        <v>0</v>
      </c>
      <c r="I79" s="40">
        <v>1019.5221397494123</v>
      </c>
      <c r="J79" s="40">
        <v>198.70596143641413</v>
      </c>
      <c r="K79" s="44">
        <v>0</v>
      </c>
      <c r="L79" s="44">
        <v>0</v>
      </c>
      <c r="M79" s="126">
        <v>0.73932519316584133</v>
      </c>
      <c r="N79" s="126">
        <v>1.6830348859718236E-2</v>
      </c>
    </row>
    <row r="80" spans="1:14" x14ac:dyDescent="0.2">
      <c r="A80" s="44">
        <v>78</v>
      </c>
      <c r="B80" t="s">
        <v>110</v>
      </c>
      <c r="C80" s="44">
        <v>20230522</v>
      </c>
      <c r="D80" s="44">
        <v>636</v>
      </c>
      <c r="E80" s="40">
        <v>29444.47796448374</v>
      </c>
      <c r="F80" s="40">
        <v>156.50633106451613</v>
      </c>
      <c r="G80" s="126">
        <v>0.10256772136685645</v>
      </c>
      <c r="H80" s="126">
        <v>0</v>
      </c>
      <c r="I80" s="40">
        <v>1040.1913622201942</v>
      </c>
      <c r="J80" s="40">
        <v>101.36720756187783</v>
      </c>
      <c r="K80" s="44">
        <v>0</v>
      </c>
      <c r="L80" s="44">
        <v>0</v>
      </c>
      <c r="M80" s="126">
        <v>0.89155683484318127</v>
      </c>
      <c r="N80" s="126">
        <v>0.13955713559498095</v>
      </c>
    </row>
    <row r="81" spans="1:14" x14ac:dyDescent="0.2">
      <c r="A81" s="44">
        <v>79</v>
      </c>
      <c r="B81" t="s">
        <v>110</v>
      </c>
      <c r="C81" s="44">
        <v>20230522</v>
      </c>
      <c r="D81" s="44">
        <v>648</v>
      </c>
      <c r="E81" s="40">
        <v>29887.697128831631</v>
      </c>
      <c r="F81" s="40">
        <v>153.7308942903226</v>
      </c>
      <c r="G81" s="126">
        <v>0.10104669485359485</v>
      </c>
      <c r="H81" s="126">
        <v>0</v>
      </c>
      <c r="I81" s="40">
        <v>510.43470579976923</v>
      </c>
      <c r="J81" s="40">
        <v>199.72796810080897</v>
      </c>
      <c r="K81" s="44">
        <v>0</v>
      </c>
      <c r="L81" s="44">
        <v>0</v>
      </c>
      <c r="M81" s="126">
        <v>0.98587828201221039</v>
      </c>
      <c r="N81" s="126">
        <v>0.14776526819345281</v>
      </c>
    </row>
    <row r="82" spans="1:14" x14ac:dyDescent="0.2">
      <c r="A82" s="44">
        <v>80</v>
      </c>
      <c r="B82" t="s">
        <v>110</v>
      </c>
      <c r="C82" s="44">
        <v>20230522</v>
      </c>
      <c r="D82" s="44">
        <v>679</v>
      </c>
      <c r="E82" s="40">
        <v>30073.937808663253</v>
      </c>
      <c r="F82" s="40">
        <v>154.45587358064515</v>
      </c>
      <c r="G82" s="126">
        <v>0.10053724514912822</v>
      </c>
      <c r="H82" s="126">
        <v>2.9887507542742532E-2</v>
      </c>
      <c r="I82" s="40">
        <v>507.92113187267819</v>
      </c>
      <c r="J82" s="40">
        <v>198.74443189642318</v>
      </c>
      <c r="K82" s="44">
        <v>0</v>
      </c>
      <c r="L82" s="44">
        <v>0</v>
      </c>
      <c r="M82" s="126">
        <v>0.98730455190930655</v>
      </c>
      <c r="N82" s="126">
        <v>0.10040342704807936</v>
      </c>
    </row>
    <row r="83" spans="1:14" x14ac:dyDescent="0.2">
      <c r="A83" s="44">
        <v>81</v>
      </c>
      <c r="B83" t="s">
        <v>110</v>
      </c>
      <c r="C83" s="44">
        <v>20230522</v>
      </c>
      <c r="D83" s="44">
        <v>720</v>
      </c>
      <c r="E83" s="40">
        <v>30073.937808663253</v>
      </c>
      <c r="F83" s="40">
        <v>137.41357706451609</v>
      </c>
      <c r="G83" s="126">
        <v>0.10053724514912822</v>
      </c>
      <c r="H83" s="126">
        <v>2.9887507542742532E-2</v>
      </c>
      <c r="I83" s="40">
        <v>507.92113187267819</v>
      </c>
      <c r="J83" s="40">
        <v>198.74443189642318</v>
      </c>
      <c r="K83" s="44">
        <v>0</v>
      </c>
      <c r="L83" s="44">
        <v>0</v>
      </c>
      <c r="M83" s="126">
        <v>0.84666910426785069</v>
      </c>
      <c r="N83" s="126">
        <v>7.5442160202841002E-3</v>
      </c>
    </row>
    <row r="84" spans="1:14" x14ac:dyDescent="0.2">
      <c r="A84" s="44">
        <v>82</v>
      </c>
      <c r="B84" t="s">
        <v>110</v>
      </c>
      <c r="C84" s="44">
        <v>20230522</v>
      </c>
      <c r="D84" s="44">
        <v>1015</v>
      </c>
      <c r="E84" s="40">
        <v>26693.06904587859</v>
      </c>
      <c r="F84" s="40">
        <v>122.79326006451616</v>
      </c>
      <c r="G84" s="126">
        <v>0.11361401365531623</v>
      </c>
      <c r="H84" s="126">
        <v>0</v>
      </c>
      <c r="I84" s="40">
        <v>571.5235615944755</v>
      </c>
      <c r="J84" s="40">
        <v>0</v>
      </c>
      <c r="K84" s="44">
        <v>0</v>
      </c>
      <c r="L84" s="44">
        <v>0</v>
      </c>
      <c r="M84" s="126">
        <v>0.9897563995574965</v>
      </c>
      <c r="N84" s="126">
        <v>0</v>
      </c>
    </row>
    <row r="85" spans="1:14" x14ac:dyDescent="0.2">
      <c r="A85" s="44">
        <v>83</v>
      </c>
      <c r="B85" t="s">
        <v>110</v>
      </c>
      <c r="C85" s="44">
        <v>20230522</v>
      </c>
      <c r="D85" s="44">
        <v>1022</v>
      </c>
      <c r="E85" s="40">
        <v>27873.340330723244</v>
      </c>
      <c r="F85" s="40">
        <v>117.71131358064515</v>
      </c>
      <c r="G85" s="126">
        <v>0.10831483260895101</v>
      </c>
      <c r="H85" s="126">
        <v>0</v>
      </c>
      <c r="I85" s="40">
        <v>547.32291537273159</v>
      </c>
      <c r="J85" s="40">
        <v>214.16195360604749</v>
      </c>
      <c r="K85" s="44">
        <v>0</v>
      </c>
      <c r="L85" s="44">
        <v>0</v>
      </c>
      <c r="M85" s="126">
        <v>0.23950305186933851</v>
      </c>
      <c r="N85" s="126">
        <v>3.778065882809134E-2</v>
      </c>
    </row>
    <row r="86" spans="1:14" x14ac:dyDescent="0.2">
      <c r="A86" s="44">
        <v>84</v>
      </c>
      <c r="B86" t="s">
        <v>110</v>
      </c>
      <c r="C86" s="44">
        <v>20230522</v>
      </c>
      <c r="D86" s="44">
        <v>1050</v>
      </c>
      <c r="E86" s="40">
        <v>30073.937808663253</v>
      </c>
      <c r="F86" s="40">
        <v>117.70929351612904</v>
      </c>
      <c r="G86" s="126">
        <v>0.10040987835736169</v>
      </c>
      <c r="H86" s="129">
        <v>2.9473946901599438E-2</v>
      </c>
      <c r="I86" s="40">
        <v>507.27370615873048</v>
      </c>
      <c r="J86" s="40">
        <v>198.49110072424048</v>
      </c>
      <c r="K86" s="44">
        <v>0</v>
      </c>
      <c r="L86" s="44">
        <v>0</v>
      </c>
      <c r="M86" s="129">
        <v>0.37684118201731331</v>
      </c>
      <c r="N86" s="129">
        <v>3.7906775139107118E-4</v>
      </c>
    </row>
    <row r="87" spans="1:14" x14ac:dyDescent="0.2">
      <c r="A87" s="44">
        <v>85</v>
      </c>
      <c r="B87" t="s">
        <v>110</v>
      </c>
      <c r="C87" s="44">
        <v>20230522</v>
      </c>
      <c r="D87" s="44">
        <v>1128</v>
      </c>
      <c r="E87" s="40">
        <v>30073.937808663253</v>
      </c>
      <c r="F87" s="40">
        <v>149.04655148387099</v>
      </c>
      <c r="G87" s="126">
        <v>0.10040987835736169</v>
      </c>
      <c r="H87" s="129">
        <v>2.9473946901599438E-2</v>
      </c>
      <c r="I87" s="40">
        <v>507.27370615873048</v>
      </c>
      <c r="J87" s="40">
        <v>198.49110072424048</v>
      </c>
      <c r="K87" s="44">
        <v>0</v>
      </c>
      <c r="L87" s="44">
        <v>0</v>
      </c>
      <c r="M87" s="129">
        <v>0.94679016266752658</v>
      </c>
      <c r="N87" s="129">
        <v>8.7117218639410576E-2</v>
      </c>
    </row>
    <row r="88" spans="1:14" x14ac:dyDescent="0.2">
      <c r="A88" s="44">
        <v>86</v>
      </c>
      <c r="B88" t="s">
        <v>110</v>
      </c>
      <c r="C88" s="44">
        <v>20230522</v>
      </c>
      <c r="D88" s="44">
        <v>1154</v>
      </c>
      <c r="E88" s="40">
        <v>30073.937808663253</v>
      </c>
      <c r="F88" s="40">
        <v>162.20584606451612</v>
      </c>
      <c r="G88" s="126">
        <v>0.10040987835736169</v>
      </c>
      <c r="H88" s="129">
        <v>2.9473946901599438E-2</v>
      </c>
      <c r="I88" s="40">
        <v>507.27370615873048</v>
      </c>
      <c r="J88" s="40">
        <v>198.49110072424048</v>
      </c>
      <c r="K88" s="44">
        <v>0</v>
      </c>
      <c r="L88" s="44">
        <v>0</v>
      </c>
      <c r="M88" s="129">
        <v>0.99986105796309843</v>
      </c>
      <c r="N88" s="129">
        <v>0.25876398879211593</v>
      </c>
    </row>
    <row r="89" spans="1:14" x14ac:dyDescent="0.2">
      <c r="A89" s="44">
        <v>87</v>
      </c>
      <c r="B89" t="s">
        <v>110</v>
      </c>
      <c r="C89" s="44">
        <v>20230522</v>
      </c>
      <c r="D89" s="44">
        <v>1177</v>
      </c>
      <c r="E89" s="40">
        <v>30073.937808663253</v>
      </c>
      <c r="F89" s="40">
        <v>174.04970438709671</v>
      </c>
      <c r="G89" s="126">
        <v>0.10040987835736169</v>
      </c>
      <c r="H89" s="129">
        <v>2.9473946901599438E-2</v>
      </c>
      <c r="I89" s="40">
        <v>507.27370615873048</v>
      </c>
      <c r="J89" s="40">
        <v>198.49110072424048</v>
      </c>
      <c r="K89" s="44">
        <v>0</v>
      </c>
      <c r="L89" s="44">
        <v>0</v>
      </c>
      <c r="M89" s="129">
        <v>1.0033763474282413</v>
      </c>
      <c r="N89" s="129">
        <v>0.40507501420151171</v>
      </c>
    </row>
    <row r="90" spans="1:14" x14ac:dyDescent="0.2">
      <c r="A90" s="44">
        <v>88</v>
      </c>
      <c r="B90" t="s">
        <v>110</v>
      </c>
      <c r="C90" s="44">
        <v>20230522</v>
      </c>
      <c r="D90" s="44">
        <v>1198</v>
      </c>
      <c r="E90" s="40">
        <v>30073.937808663253</v>
      </c>
      <c r="F90" s="40">
        <v>156.3657530967742</v>
      </c>
      <c r="G90" s="126">
        <v>0.10040987835736169</v>
      </c>
      <c r="H90" s="129">
        <v>2.9473946901599438E-2</v>
      </c>
      <c r="I90" s="40">
        <v>507.27370615873048</v>
      </c>
      <c r="J90" s="40">
        <v>198.49110072424048</v>
      </c>
      <c r="K90" s="44">
        <v>0</v>
      </c>
      <c r="L90" s="44">
        <v>0</v>
      </c>
      <c r="M90" s="129">
        <v>0.98790264406465778</v>
      </c>
      <c r="N90" s="129">
        <v>0.11262385862747637</v>
      </c>
    </row>
    <row r="91" spans="1:14" x14ac:dyDescent="0.2">
      <c r="A91" s="44">
        <v>89</v>
      </c>
      <c r="B91" t="s">
        <v>110</v>
      </c>
      <c r="C91" s="44">
        <v>20230522</v>
      </c>
      <c r="D91" s="44">
        <v>1219</v>
      </c>
      <c r="E91" s="40">
        <v>30073.937808663253</v>
      </c>
      <c r="F91" s="40">
        <v>137.92167793548387</v>
      </c>
      <c r="G91" s="126">
        <v>0.10040987835736169</v>
      </c>
      <c r="H91" s="129">
        <v>2.9473946901599438E-2</v>
      </c>
      <c r="I91" s="40">
        <v>507.27370615873048</v>
      </c>
      <c r="J91" s="40">
        <v>198.49110072424048</v>
      </c>
      <c r="K91" s="44">
        <v>0</v>
      </c>
      <c r="L91" s="44">
        <v>0</v>
      </c>
      <c r="M91" s="129">
        <v>0.67262606428497396</v>
      </c>
      <c r="N91" s="129">
        <v>-5.1539253018069164E-3</v>
      </c>
    </row>
    <row r="92" spans="1:14" x14ac:dyDescent="0.2">
      <c r="A92" s="44">
        <v>90</v>
      </c>
      <c r="B92" t="s">
        <v>110</v>
      </c>
      <c r="C92" s="44">
        <v>20230522</v>
      </c>
      <c r="D92" s="44">
        <v>1240</v>
      </c>
      <c r="E92" s="40">
        <v>30073.937808663253</v>
      </c>
      <c r="F92" s="40">
        <v>122.41972493548386</v>
      </c>
      <c r="G92" s="126">
        <v>0.10040987835736169</v>
      </c>
      <c r="H92" s="129">
        <v>2.9473946901599438E-2</v>
      </c>
      <c r="I92" s="40">
        <v>507.27370615873048</v>
      </c>
      <c r="J92" s="40">
        <v>198.49110072424048</v>
      </c>
      <c r="K92" s="44">
        <v>0</v>
      </c>
      <c r="L92" s="44">
        <v>0</v>
      </c>
      <c r="M92" s="129">
        <v>0.28012218488626095</v>
      </c>
      <c r="N92" s="129">
        <v>1.38610846746412E-3</v>
      </c>
    </row>
    <row r="93" spans="1:14" x14ac:dyDescent="0.2">
      <c r="A93" s="44">
        <v>91</v>
      </c>
      <c r="B93" t="s">
        <v>110</v>
      </c>
      <c r="C93" s="44">
        <v>20230522</v>
      </c>
      <c r="D93" s="44">
        <f>+D92+1</f>
        <v>1241</v>
      </c>
      <c r="E93" s="40">
        <v>30073.937808663253</v>
      </c>
      <c r="F93" s="40">
        <v>135.40428403225806</v>
      </c>
      <c r="G93" s="126">
        <v>0.10040987835736169</v>
      </c>
      <c r="H93" s="129">
        <v>2.9473946901599438E-2</v>
      </c>
      <c r="I93" s="40">
        <v>507.27370615873048</v>
      </c>
      <c r="J93" s="40">
        <v>198.49110072424048</v>
      </c>
      <c r="K93" s="44">
        <v>0</v>
      </c>
      <c r="L93" s="44">
        <v>0</v>
      </c>
      <c r="M93" s="129">
        <v>0.73511897472689069</v>
      </c>
      <c r="N93" s="129">
        <v>3.1270239081751194E-2</v>
      </c>
    </row>
    <row r="94" spans="1:14" x14ac:dyDescent="0.2">
      <c r="A94" s="44">
        <v>92</v>
      </c>
      <c r="B94" t="s">
        <v>185</v>
      </c>
      <c r="C94" s="44">
        <v>20230627</v>
      </c>
      <c r="D94" s="44">
        <v>286</v>
      </c>
      <c r="E94" s="40">
        <v>30000</v>
      </c>
      <c r="F94" s="40">
        <v>104.661469</v>
      </c>
      <c r="G94" s="126">
        <v>0.1007341517288763</v>
      </c>
      <c r="H94" s="129">
        <v>3.0134664323283822E-2</v>
      </c>
      <c r="I94" s="40">
        <v>508.92066141212803</v>
      </c>
      <c r="J94" s="40">
        <v>198.23853082839383</v>
      </c>
      <c r="K94" s="44">
        <v>0</v>
      </c>
      <c r="L94" s="44">
        <v>0</v>
      </c>
      <c r="M94" s="129">
        <v>0.11401706226524977</v>
      </c>
      <c r="N94" s="129">
        <v>2.6118636391655459E-3</v>
      </c>
    </row>
    <row r="95" spans="1:14" x14ac:dyDescent="0.2">
      <c r="A95" s="44">
        <v>93</v>
      </c>
      <c r="B95" t="s">
        <v>185</v>
      </c>
      <c r="C95" s="44">
        <v>20230627</v>
      </c>
      <c r="D95" s="44">
        <v>317</v>
      </c>
      <c r="E95" s="40">
        <v>30000</v>
      </c>
      <c r="F95" s="40">
        <v>133.98443599999999</v>
      </c>
      <c r="G95" s="126">
        <v>0.1007341517288763</v>
      </c>
      <c r="H95" s="129">
        <v>3.0134664323283822E-2</v>
      </c>
      <c r="I95" s="40">
        <v>508.92066141212803</v>
      </c>
      <c r="J95" s="40">
        <v>198.23853082839383</v>
      </c>
      <c r="K95" s="44">
        <v>0</v>
      </c>
      <c r="L95" s="44">
        <v>0</v>
      </c>
      <c r="M95" s="129">
        <v>0.82647307000452552</v>
      </c>
      <c r="N95" s="129">
        <v>1.2725364069458234E-2</v>
      </c>
    </row>
    <row r="96" spans="1:14" x14ac:dyDescent="0.2">
      <c r="A96" s="44">
        <v>94</v>
      </c>
      <c r="B96" t="s">
        <v>185</v>
      </c>
      <c r="C96" s="44">
        <v>20230627</v>
      </c>
      <c r="D96" s="44">
        <v>333</v>
      </c>
      <c r="E96" s="40">
        <v>30000</v>
      </c>
      <c r="F96" s="40">
        <v>153.28402700000001</v>
      </c>
      <c r="G96" s="126">
        <v>0.1007341517288763</v>
      </c>
      <c r="H96" s="129">
        <v>3.0134664323283822E-2</v>
      </c>
      <c r="I96" s="40">
        <v>508.92066141212803</v>
      </c>
      <c r="J96" s="40">
        <v>198.23853082839383</v>
      </c>
      <c r="K96" s="44">
        <v>0</v>
      </c>
      <c r="L96" s="44">
        <v>0</v>
      </c>
      <c r="M96" s="129">
        <v>0.88450973186803428</v>
      </c>
      <c r="N96" s="129">
        <v>1.7678041427623192E-2</v>
      </c>
    </row>
    <row r="97" spans="1:14" x14ac:dyDescent="0.2">
      <c r="A97" s="44">
        <v>95</v>
      </c>
      <c r="B97" t="s">
        <v>185</v>
      </c>
      <c r="C97" s="44">
        <v>20230627</v>
      </c>
      <c r="D97" s="44">
        <v>368</v>
      </c>
      <c r="E97" s="40">
        <v>30000</v>
      </c>
      <c r="F97" s="40">
        <v>169.626465</v>
      </c>
      <c r="G97" s="126">
        <v>0.1007341517288763</v>
      </c>
      <c r="H97" s="126">
        <v>3.0134664323283822E-2</v>
      </c>
      <c r="I97" s="40">
        <v>508.92066141212803</v>
      </c>
      <c r="J97" s="40">
        <v>198.23853082839383</v>
      </c>
      <c r="K97" s="44">
        <v>0</v>
      </c>
      <c r="L97" s="44">
        <v>0</v>
      </c>
      <c r="M97" s="126">
        <v>0.9334365290727421</v>
      </c>
      <c r="N97" s="126">
        <v>1.6513436178743457E-2</v>
      </c>
    </row>
    <row r="98" spans="1:14" x14ac:dyDescent="0.2">
      <c r="A98" s="44">
        <v>96</v>
      </c>
      <c r="B98" t="s">
        <v>185</v>
      </c>
      <c r="C98" s="44">
        <v>20230627</v>
      </c>
      <c r="D98" s="44">
        <v>384</v>
      </c>
      <c r="E98" s="40">
        <v>30000</v>
      </c>
      <c r="F98" s="40">
        <v>187.276276</v>
      </c>
      <c r="G98" s="126">
        <v>0.1007341517288763</v>
      </c>
      <c r="H98" s="129">
        <v>3.0134664323283822E-2</v>
      </c>
      <c r="I98" s="40">
        <v>508.92066141212803</v>
      </c>
      <c r="J98" s="40">
        <v>198.23853082839383</v>
      </c>
      <c r="K98" s="44">
        <v>0</v>
      </c>
      <c r="L98" s="44">
        <v>0</v>
      </c>
      <c r="M98" s="129">
        <v>0.95656845305523153</v>
      </c>
      <c r="N98" s="129">
        <v>2.2892249874703285E-2</v>
      </c>
    </row>
    <row r="99" spans="1:14" x14ac:dyDescent="0.2">
      <c r="A99" s="44">
        <v>97</v>
      </c>
      <c r="B99" t="s">
        <v>185</v>
      </c>
      <c r="C99" s="44">
        <v>20230627</v>
      </c>
      <c r="D99" s="44">
        <v>401</v>
      </c>
      <c r="E99" s="40">
        <v>30000</v>
      </c>
      <c r="F99" s="40">
        <v>159.073914</v>
      </c>
      <c r="G99" s="126">
        <v>0.1007341517288763</v>
      </c>
      <c r="H99" s="129">
        <v>3.0134664323283822E-2</v>
      </c>
      <c r="I99" s="40">
        <v>508.92066141212803</v>
      </c>
      <c r="J99" s="40">
        <v>198.23853082839383</v>
      </c>
      <c r="K99" s="44">
        <v>0</v>
      </c>
      <c r="L99" s="44">
        <v>0</v>
      </c>
      <c r="M99" s="129">
        <v>0.89420714329688356</v>
      </c>
      <c r="N99" s="129">
        <v>1.094026386080027E-2</v>
      </c>
    </row>
    <row r="100" spans="1:14" x14ac:dyDescent="0.2">
      <c r="A100" s="44">
        <v>98</v>
      </c>
      <c r="B100" t="s">
        <v>185</v>
      </c>
      <c r="C100" s="44">
        <v>20230627</v>
      </c>
      <c r="D100" s="44">
        <v>414</v>
      </c>
      <c r="E100" s="40">
        <v>30000</v>
      </c>
      <c r="F100" s="40">
        <v>142.887146</v>
      </c>
      <c r="G100" s="126">
        <v>0.1007341517288763</v>
      </c>
      <c r="H100" s="126">
        <v>3.0134664323283822E-2</v>
      </c>
      <c r="I100" s="40">
        <v>508.92066141212803</v>
      </c>
      <c r="J100" s="40">
        <v>198.23853082839383</v>
      </c>
      <c r="K100" s="44">
        <v>0</v>
      </c>
      <c r="L100" s="44">
        <v>0</v>
      </c>
      <c r="M100" s="126">
        <v>0.85362323066166224</v>
      </c>
      <c r="N100" s="126">
        <v>1.3237698865951275E-2</v>
      </c>
    </row>
    <row r="101" spans="1:14" x14ac:dyDescent="0.2">
      <c r="A101" s="44">
        <v>99</v>
      </c>
      <c r="B101" t="s">
        <v>185</v>
      </c>
      <c r="C101" s="44">
        <v>20230627</v>
      </c>
      <c r="D101" s="44">
        <v>446</v>
      </c>
      <c r="E101" s="40">
        <v>30000</v>
      </c>
      <c r="F101" s="40">
        <v>126.108948</v>
      </c>
      <c r="G101" s="126">
        <v>0.1007341517288763</v>
      </c>
      <c r="H101" s="129">
        <v>3.0134664323283822E-2</v>
      </c>
      <c r="I101" s="40">
        <v>508.92066141212803</v>
      </c>
      <c r="J101" s="40">
        <v>198.23853082839383</v>
      </c>
      <c r="K101" s="44">
        <v>0</v>
      </c>
      <c r="L101" s="44">
        <v>0</v>
      </c>
      <c r="M101" s="129">
        <v>0.50279455235662973</v>
      </c>
      <c r="N101" s="129">
        <v>1.0759258555737006E-3</v>
      </c>
    </row>
    <row r="102" spans="1:14" x14ac:dyDescent="0.2">
      <c r="A102" s="44">
        <v>100</v>
      </c>
      <c r="B102" t="s">
        <v>185</v>
      </c>
      <c r="C102" s="44">
        <v>20230627</v>
      </c>
      <c r="D102" s="44">
        <v>620</v>
      </c>
      <c r="E102" s="40">
        <v>30000</v>
      </c>
      <c r="F102" s="40">
        <v>170.34240700000007</v>
      </c>
      <c r="G102" s="126">
        <v>0.10017346338736316</v>
      </c>
      <c r="H102" s="126">
        <v>0</v>
      </c>
      <c r="I102" s="40">
        <v>1010.7422989567643</v>
      </c>
      <c r="J102" s="40">
        <v>197.998555984674</v>
      </c>
      <c r="K102" s="44">
        <v>0</v>
      </c>
      <c r="L102" s="44">
        <v>0</v>
      </c>
      <c r="M102" s="126">
        <v>0.88535728861602214</v>
      </c>
      <c r="N102" s="126">
        <v>4.6944308058326945E-2</v>
      </c>
    </row>
    <row r="103" spans="1:14" x14ac:dyDescent="0.2">
      <c r="A103" s="44">
        <v>101</v>
      </c>
      <c r="B103" t="s">
        <v>185</v>
      </c>
      <c r="C103" s="44">
        <v>20230627</v>
      </c>
      <c r="D103" s="44">
        <v>630</v>
      </c>
      <c r="E103" s="40">
        <v>30000</v>
      </c>
      <c r="F103" s="40">
        <v>171.89883399999994</v>
      </c>
      <c r="G103" s="126">
        <v>0.10219694820441463</v>
      </c>
      <c r="H103" s="126">
        <v>0</v>
      </c>
      <c r="I103" s="40">
        <v>1031.1591002405733</v>
      </c>
      <c r="J103" s="40">
        <v>100.9990444887984</v>
      </c>
      <c r="K103" s="44">
        <v>0</v>
      </c>
      <c r="L103" s="44">
        <v>0</v>
      </c>
      <c r="M103" s="126">
        <v>0.89501490935131511</v>
      </c>
      <c r="N103" s="126">
        <v>4.9276204605624985E-2</v>
      </c>
    </row>
    <row r="104" spans="1:14" x14ac:dyDescent="0.2">
      <c r="A104" s="44">
        <v>102</v>
      </c>
      <c r="B104" t="s">
        <v>185</v>
      </c>
      <c r="C104" s="44">
        <v>20230627</v>
      </c>
      <c r="D104" s="44">
        <v>642</v>
      </c>
      <c r="E104" s="40">
        <v>30000</v>
      </c>
      <c r="F104" s="40">
        <v>173.56772345161284</v>
      </c>
      <c r="G104" s="126">
        <v>0.10430386637243529</v>
      </c>
      <c r="H104" s="129">
        <v>0</v>
      </c>
      <c r="I104" s="40">
        <v>1052.4177374170094</v>
      </c>
      <c r="J104" s="40">
        <v>0</v>
      </c>
      <c r="K104" s="44">
        <v>0</v>
      </c>
      <c r="L104" s="44">
        <v>0</v>
      </c>
      <c r="M104" s="129">
        <v>0.92001961877035798</v>
      </c>
      <c r="N104" s="129">
        <v>0</v>
      </c>
    </row>
    <row r="105" spans="1:14" x14ac:dyDescent="0.2">
      <c r="A105" s="44">
        <v>103</v>
      </c>
      <c r="B105" t="s">
        <v>185</v>
      </c>
      <c r="C105" s="44">
        <v>20230627</v>
      </c>
      <c r="D105" s="44">
        <v>648</v>
      </c>
      <c r="E105" s="40">
        <v>30000</v>
      </c>
      <c r="F105" s="40">
        <v>169.59031635483873</v>
      </c>
      <c r="G105" s="126">
        <v>0.10486057238553539</v>
      </c>
      <c r="H105" s="126">
        <v>0</v>
      </c>
      <c r="I105" s="40">
        <v>524.30007559796013</v>
      </c>
      <c r="J105" s="40">
        <v>0</v>
      </c>
      <c r="K105" s="44">
        <v>0</v>
      </c>
      <c r="L105" s="44">
        <v>0</v>
      </c>
      <c r="M105" s="126">
        <v>0.97353763229929668</v>
      </c>
      <c r="N105" s="126">
        <v>0</v>
      </c>
    </row>
    <row r="106" spans="1:14" x14ac:dyDescent="0.2">
      <c r="A106" s="44">
        <v>104</v>
      </c>
      <c r="B106" t="s">
        <v>185</v>
      </c>
      <c r="C106" s="44">
        <v>20230627</v>
      </c>
      <c r="D106" s="44">
        <v>661</v>
      </c>
      <c r="E106" s="40">
        <v>30000</v>
      </c>
      <c r="F106" s="40">
        <v>167.65834609677418</v>
      </c>
      <c r="G106" s="126">
        <v>0.1027313330475346</v>
      </c>
      <c r="H106" s="126">
        <v>0</v>
      </c>
      <c r="I106" s="40">
        <v>513.65393548558779</v>
      </c>
      <c r="J106" s="40">
        <v>101.52716552854274</v>
      </c>
      <c r="K106" s="44">
        <v>0</v>
      </c>
      <c r="L106" s="44">
        <v>0</v>
      </c>
      <c r="M106" s="126">
        <v>0.9251467203659286</v>
      </c>
      <c r="N106" s="126">
        <v>6.3094580657070076E-2</v>
      </c>
    </row>
    <row r="107" spans="1:14" x14ac:dyDescent="0.2">
      <c r="A107" s="44">
        <v>105</v>
      </c>
      <c r="B107" t="s">
        <v>185</v>
      </c>
      <c r="C107" s="44">
        <v>20230627</v>
      </c>
      <c r="D107" s="44">
        <v>667</v>
      </c>
      <c r="E107" s="40">
        <v>30000</v>
      </c>
      <c r="F107" s="40">
        <v>166.19229070967745</v>
      </c>
      <c r="G107" s="126">
        <v>0.10070489859702385</v>
      </c>
      <c r="H107" s="129">
        <v>0</v>
      </c>
      <c r="I107" s="40">
        <v>503.52181707895915</v>
      </c>
      <c r="J107" s="40">
        <v>198.15235097289954</v>
      </c>
      <c r="K107" s="44">
        <v>0</v>
      </c>
      <c r="L107" s="44">
        <v>0</v>
      </c>
      <c r="M107" s="129">
        <v>0.91372940362074506</v>
      </c>
      <c r="N107" s="129">
        <v>4.1137467940109973E-2</v>
      </c>
    </row>
    <row r="108" spans="1:14" x14ac:dyDescent="0.2">
      <c r="A108" s="44">
        <v>106</v>
      </c>
      <c r="B108" t="s">
        <v>185</v>
      </c>
      <c r="C108" s="44">
        <v>20230627</v>
      </c>
      <c r="D108" s="44">
        <v>675</v>
      </c>
      <c r="E108" s="40">
        <v>30000</v>
      </c>
      <c r="F108" s="40">
        <v>161.98795045161293</v>
      </c>
      <c r="G108" s="126">
        <v>0.10121453586717025</v>
      </c>
      <c r="H108" s="126">
        <v>0</v>
      </c>
      <c r="I108" s="40">
        <v>0</v>
      </c>
      <c r="J108" s="40">
        <v>199.15514055543036</v>
      </c>
      <c r="K108" s="44">
        <v>0</v>
      </c>
      <c r="L108" s="44">
        <v>0</v>
      </c>
      <c r="M108" s="126">
        <v>0</v>
      </c>
      <c r="N108" s="126">
        <v>5.4589741071980891E-2</v>
      </c>
    </row>
    <row r="109" spans="1:14" x14ac:dyDescent="0.2">
      <c r="A109" s="44">
        <v>107</v>
      </c>
      <c r="B109" t="s">
        <v>185</v>
      </c>
      <c r="C109" s="44">
        <v>20230627</v>
      </c>
      <c r="D109" s="44">
        <v>682</v>
      </c>
      <c r="E109" s="40">
        <v>30000</v>
      </c>
      <c r="F109" s="40">
        <v>163.342547516129</v>
      </c>
      <c r="G109" s="126">
        <v>0.10328073192493752</v>
      </c>
      <c r="H109" s="126">
        <v>0</v>
      </c>
      <c r="I109" s="40">
        <v>0</v>
      </c>
      <c r="J109" s="40">
        <v>101.15057394303642</v>
      </c>
      <c r="K109" s="44">
        <v>0</v>
      </c>
      <c r="L109" s="44">
        <v>0</v>
      </c>
      <c r="M109" s="126">
        <v>0</v>
      </c>
      <c r="N109" s="126">
        <v>3.1512458099261176E-2</v>
      </c>
    </row>
    <row r="110" spans="1:14" x14ac:dyDescent="0.2">
      <c r="A110" s="44">
        <v>108</v>
      </c>
      <c r="B110" t="s">
        <v>185</v>
      </c>
      <c r="C110" s="44">
        <v>20230627</v>
      </c>
      <c r="D110" s="44">
        <v>770</v>
      </c>
      <c r="E110" s="40">
        <v>30000</v>
      </c>
      <c r="F110" s="40">
        <v>158.20132787096767</v>
      </c>
      <c r="G110" s="126">
        <v>0.10016443557815004</v>
      </c>
      <c r="H110" s="126">
        <v>0</v>
      </c>
      <c r="I110" s="40">
        <v>1019.6633854646499</v>
      </c>
      <c r="J110" s="40">
        <v>197.98071200556558</v>
      </c>
      <c r="K110" s="44">
        <v>0</v>
      </c>
      <c r="L110" s="44">
        <v>0</v>
      </c>
      <c r="M110" s="126">
        <v>0.86419054595241074</v>
      </c>
      <c r="N110" s="126">
        <v>4.7213295885350837E-2</v>
      </c>
    </row>
    <row r="111" spans="1:14" x14ac:dyDescent="0.2">
      <c r="A111" s="44">
        <v>109</v>
      </c>
      <c r="B111" t="s">
        <v>185</v>
      </c>
      <c r="C111" s="44">
        <v>20230627</v>
      </c>
      <c r="D111" s="44">
        <v>777</v>
      </c>
      <c r="E111" s="40">
        <v>30000</v>
      </c>
      <c r="F111" s="40">
        <v>159.58404054838704</v>
      </c>
      <c r="G111" s="126">
        <v>0.10220614980030035</v>
      </c>
      <c r="H111" s="126">
        <v>0</v>
      </c>
      <c r="I111" s="40">
        <v>1040.4478208173036</v>
      </c>
      <c r="J111" s="40">
        <v>100.09815500070191</v>
      </c>
      <c r="K111" s="44">
        <v>0</v>
      </c>
      <c r="L111" s="44">
        <v>0</v>
      </c>
      <c r="M111" s="126">
        <v>0.87093001342650955</v>
      </c>
      <c r="N111" s="126">
        <v>3.2699342060963699E-2</v>
      </c>
    </row>
    <row r="112" spans="1:14" x14ac:dyDescent="0.2">
      <c r="A112" s="44">
        <v>110</v>
      </c>
      <c r="B112" t="s">
        <v>185</v>
      </c>
      <c r="C112" s="44">
        <v>20230627</v>
      </c>
      <c r="D112" s="44">
        <v>786</v>
      </c>
      <c r="E112" s="40">
        <v>30000</v>
      </c>
      <c r="F112" s="40">
        <v>160.81811212903236</v>
      </c>
      <c r="G112" s="126">
        <v>0.10429407877283202</v>
      </c>
      <c r="H112" s="126">
        <v>0</v>
      </c>
      <c r="I112" s="40">
        <v>1061.7027174525499</v>
      </c>
      <c r="J112" s="40">
        <v>0</v>
      </c>
      <c r="K112" s="44">
        <v>0</v>
      </c>
      <c r="L112" s="44">
        <v>0</v>
      </c>
      <c r="M112" s="126">
        <v>0.88376644975446117</v>
      </c>
      <c r="N112" s="126">
        <v>0</v>
      </c>
    </row>
    <row r="113" spans="1:14" x14ac:dyDescent="0.2">
      <c r="A113" s="44">
        <v>111</v>
      </c>
      <c r="B113" t="s">
        <v>185</v>
      </c>
      <c r="C113" s="44">
        <v>20230627</v>
      </c>
      <c r="D113" s="44">
        <v>794</v>
      </c>
      <c r="E113" s="40">
        <v>30000</v>
      </c>
      <c r="F113" s="40">
        <v>156.30349699999991</v>
      </c>
      <c r="G113" s="126">
        <v>0.10485068003241785</v>
      </c>
      <c r="H113" s="126">
        <v>0</v>
      </c>
      <c r="I113" s="40">
        <v>533.68442977303573</v>
      </c>
      <c r="J113" s="40">
        <v>0</v>
      </c>
      <c r="K113" s="44">
        <v>0</v>
      </c>
      <c r="L113" s="44">
        <v>0</v>
      </c>
      <c r="M113" s="126">
        <v>0.94804021337889099</v>
      </c>
      <c r="N113" s="126">
        <v>0</v>
      </c>
    </row>
    <row r="114" spans="1:14" x14ac:dyDescent="0.2">
      <c r="A114" s="44">
        <v>112</v>
      </c>
      <c r="B114" t="s">
        <v>185</v>
      </c>
      <c r="C114" s="44">
        <v>20230627</v>
      </c>
      <c r="D114" s="44">
        <v>807</v>
      </c>
      <c r="E114" s="40">
        <v>30000</v>
      </c>
      <c r="F114" s="40">
        <v>154.74707000000001</v>
      </c>
      <c r="G114" s="126">
        <v>0.10272183833453599</v>
      </c>
      <c r="H114" s="126">
        <v>0</v>
      </c>
      <c r="I114" s="40">
        <v>522.84873784180672</v>
      </c>
      <c r="J114" s="40">
        <v>101.51778210802574</v>
      </c>
      <c r="K114" s="44">
        <v>0</v>
      </c>
      <c r="L114" s="44">
        <v>0</v>
      </c>
      <c r="M114" s="126">
        <v>0.89320294456264338</v>
      </c>
      <c r="N114" s="126">
        <v>6.5486017592518153E-2</v>
      </c>
    </row>
    <row r="115" spans="1:14" x14ac:dyDescent="0.2">
      <c r="A115" s="44">
        <v>113</v>
      </c>
      <c r="B115" t="s">
        <v>185</v>
      </c>
      <c r="C115" s="44">
        <v>20230627</v>
      </c>
      <c r="D115" s="44">
        <v>812</v>
      </c>
      <c r="E115" s="40">
        <v>30000</v>
      </c>
      <c r="F115" s="40">
        <v>153.4125855161291</v>
      </c>
      <c r="G115" s="126">
        <v>0.1006777225150529</v>
      </c>
      <c r="H115" s="126">
        <v>0</v>
      </c>
      <c r="I115" s="40">
        <v>512.44429616175671</v>
      </c>
      <c r="J115" s="40">
        <v>198.99525287173856</v>
      </c>
      <c r="K115" s="44">
        <v>0</v>
      </c>
      <c r="L115" s="44">
        <v>0</v>
      </c>
      <c r="M115" s="126">
        <v>0.88718901433692454</v>
      </c>
      <c r="N115" s="126">
        <v>4.3173437715706475E-2</v>
      </c>
    </row>
    <row r="116" spans="1:14" x14ac:dyDescent="0.2">
      <c r="A116" s="44">
        <v>114</v>
      </c>
      <c r="B116" t="s">
        <v>185</v>
      </c>
      <c r="C116" s="44">
        <v>20230627</v>
      </c>
      <c r="D116" s="44">
        <v>823</v>
      </c>
      <c r="E116" s="40">
        <v>30000</v>
      </c>
      <c r="F116" s="40">
        <v>148.82263070967741</v>
      </c>
      <c r="G116" s="126">
        <v>0.10119629716781627</v>
      </c>
      <c r="H116" s="126">
        <v>0</v>
      </c>
      <c r="I116" s="40">
        <v>0</v>
      </c>
      <c r="J116" s="40">
        <v>200.02024520948328</v>
      </c>
      <c r="K116" s="44">
        <v>0</v>
      </c>
      <c r="L116" s="44">
        <v>0</v>
      </c>
      <c r="M116" s="126">
        <v>0</v>
      </c>
      <c r="N116" s="126">
        <v>5.1954793212362738E-2</v>
      </c>
    </row>
    <row r="117" spans="1:14" x14ac:dyDescent="0.2">
      <c r="A117" s="44">
        <v>115</v>
      </c>
      <c r="B117" t="s">
        <v>185</v>
      </c>
      <c r="C117" s="44">
        <v>20230627</v>
      </c>
      <c r="D117" s="44">
        <v>830</v>
      </c>
      <c r="E117" s="40">
        <v>30000</v>
      </c>
      <c r="F117" s="40">
        <v>150.0707910967742</v>
      </c>
      <c r="G117" s="126">
        <v>0.10326174104425936</v>
      </c>
      <c r="H117" s="126">
        <v>0</v>
      </c>
      <c r="I117" s="40">
        <v>0</v>
      </c>
      <c r="J117" s="40">
        <v>102.051356336582</v>
      </c>
      <c r="K117" s="44">
        <v>0</v>
      </c>
      <c r="L117" s="44">
        <v>0</v>
      </c>
      <c r="M117" s="126">
        <v>0</v>
      </c>
      <c r="N117" s="126">
        <v>4.8050992928188152E-2</v>
      </c>
    </row>
    <row r="118" spans="1:14" x14ac:dyDescent="0.2">
      <c r="A118" s="44">
        <v>116</v>
      </c>
      <c r="B118" t="s">
        <v>185</v>
      </c>
      <c r="C118" s="44">
        <v>20230627</v>
      </c>
      <c r="D118" s="44">
        <v>852</v>
      </c>
      <c r="E118" s="40">
        <v>30000</v>
      </c>
      <c r="F118" s="40">
        <v>131.3967501612903</v>
      </c>
      <c r="G118" s="126">
        <v>0.10326174104425936</v>
      </c>
      <c r="H118" s="126">
        <v>0</v>
      </c>
      <c r="I118" s="40">
        <v>0</v>
      </c>
      <c r="J118" s="40">
        <v>102.051356336582</v>
      </c>
      <c r="K118" s="44">
        <v>0</v>
      </c>
      <c r="L118" s="44">
        <v>0</v>
      </c>
      <c r="M118" s="126">
        <v>0</v>
      </c>
      <c r="N118" s="126">
        <v>4.0090709763205168E-2</v>
      </c>
    </row>
    <row r="119" spans="1:14" x14ac:dyDescent="0.2">
      <c r="A119" s="44">
        <v>117</v>
      </c>
      <c r="B119" t="s">
        <v>185</v>
      </c>
      <c r="C119" s="44">
        <v>20230627</v>
      </c>
      <c r="D119" s="44">
        <v>862</v>
      </c>
      <c r="E119" s="40">
        <v>30000</v>
      </c>
      <c r="F119" s="40">
        <v>131.35960235483873</v>
      </c>
      <c r="G119" s="126">
        <v>0.10119629716781627</v>
      </c>
      <c r="H119" s="126">
        <v>0</v>
      </c>
      <c r="I119" s="40">
        <v>0</v>
      </c>
      <c r="J119" s="40">
        <v>200.02024520948328</v>
      </c>
      <c r="K119" s="44">
        <v>0</v>
      </c>
      <c r="L119" s="44">
        <v>0</v>
      </c>
      <c r="M119" s="126">
        <v>0</v>
      </c>
      <c r="N119" s="126">
        <v>1.9303926925739123E-2</v>
      </c>
    </row>
    <row r="120" spans="1:14" x14ac:dyDescent="0.2">
      <c r="A120" s="44">
        <v>118</v>
      </c>
      <c r="B120" t="s">
        <v>185</v>
      </c>
      <c r="C120" s="44">
        <v>20230627</v>
      </c>
      <c r="D120" s="44">
        <v>883</v>
      </c>
      <c r="E120" s="40">
        <v>30000</v>
      </c>
      <c r="F120" s="40">
        <v>135.7537381290322</v>
      </c>
      <c r="G120" s="126">
        <v>0.1006777225150529</v>
      </c>
      <c r="H120" s="126">
        <v>0</v>
      </c>
      <c r="I120" s="40">
        <v>512.44429616175671</v>
      </c>
      <c r="J120" s="40">
        <v>198.99525287173856</v>
      </c>
      <c r="K120" s="44">
        <v>0</v>
      </c>
      <c r="L120" s="44">
        <v>0</v>
      </c>
      <c r="M120" s="126">
        <v>0.81614784865327206</v>
      </c>
      <c r="N120" s="126">
        <v>1.7672307141770927E-2</v>
      </c>
    </row>
    <row r="121" spans="1:14" x14ac:dyDescent="0.2">
      <c r="A121" s="44">
        <v>119</v>
      </c>
      <c r="B121" t="s">
        <v>185</v>
      </c>
      <c r="C121" s="44">
        <v>20230627</v>
      </c>
      <c r="D121" s="44">
        <v>890</v>
      </c>
      <c r="E121" s="40">
        <v>30000</v>
      </c>
      <c r="F121" s="40">
        <v>137.4296528064516</v>
      </c>
      <c r="G121" s="126">
        <v>0.10271995943319186</v>
      </c>
      <c r="H121" s="126">
        <v>0</v>
      </c>
      <c r="I121" s="40">
        <v>522.83917433309</v>
      </c>
      <c r="J121" s="40">
        <v>101.60738101875967</v>
      </c>
      <c r="K121" s="44">
        <v>0</v>
      </c>
      <c r="L121" s="44">
        <v>0</v>
      </c>
      <c r="M121" s="126">
        <v>0.84578134909943936</v>
      </c>
      <c r="N121" s="126">
        <v>8.2945221563428539E-3</v>
      </c>
    </row>
    <row r="122" spans="1:14" x14ac:dyDescent="0.2">
      <c r="A122" s="44">
        <v>120</v>
      </c>
      <c r="B122" t="s">
        <v>185</v>
      </c>
      <c r="C122" s="44">
        <v>20230627</v>
      </c>
      <c r="D122" s="44">
        <v>897</v>
      </c>
      <c r="E122" s="40">
        <v>30000</v>
      </c>
      <c r="F122" s="40">
        <v>139.39574993548388</v>
      </c>
      <c r="G122" s="126">
        <v>0.10485068003241785</v>
      </c>
      <c r="H122" s="126">
        <v>0</v>
      </c>
      <c r="I122" s="40">
        <v>533.68442977303573</v>
      </c>
      <c r="J122" s="40">
        <v>0</v>
      </c>
      <c r="K122" s="44">
        <v>0</v>
      </c>
      <c r="L122" s="44">
        <v>0</v>
      </c>
      <c r="M122" s="126">
        <v>0.86892364854634818</v>
      </c>
      <c r="N122" s="126">
        <v>0</v>
      </c>
    </row>
    <row r="123" spans="1:14" x14ac:dyDescent="0.2">
      <c r="A123" s="44">
        <v>121</v>
      </c>
      <c r="B123" t="s">
        <v>185</v>
      </c>
      <c r="C123" s="44">
        <v>20230627</v>
      </c>
      <c r="D123" s="44">
        <v>908</v>
      </c>
      <c r="E123" s="40">
        <v>30000</v>
      </c>
      <c r="F123" s="40">
        <v>141.74846667741932</v>
      </c>
      <c r="G123" s="126">
        <v>0.10429827323344253</v>
      </c>
      <c r="H123" s="126">
        <v>0</v>
      </c>
      <c r="I123" s="40">
        <v>1057.7236536772532</v>
      </c>
      <c r="J123" s="40">
        <v>0</v>
      </c>
      <c r="K123" s="44">
        <v>0</v>
      </c>
      <c r="L123" s="44">
        <v>0</v>
      </c>
      <c r="M123" s="126">
        <v>0.75457592675662999</v>
      </c>
      <c r="N123" s="126">
        <v>0</v>
      </c>
    </row>
    <row r="124" spans="1:14" x14ac:dyDescent="0.2">
      <c r="A124" s="44">
        <v>122</v>
      </c>
      <c r="B124" t="s">
        <v>185</v>
      </c>
      <c r="C124" s="44">
        <v>20230627</v>
      </c>
      <c r="D124" s="44">
        <v>916</v>
      </c>
      <c r="E124" s="40">
        <v>30000</v>
      </c>
      <c r="F124" s="40">
        <v>136.07405451612905</v>
      </c>
      <c r="G124" s="126">
        <v>0.10218971918463872</v>
      </c>
      <c r="H124" s="126">
        <v>0</v>
      </c>
      <c r="I124" s="40">
        <v>1036.340102221086</v>
      </c>
      <c r="J124" s="40">
        <v>101.0828838980101</v>
      </c>
      <c r="K124" s="44">
        <v>0</v>
      </c>
      <c r="L124" s="44">
        <v>0</v>
      </c>
      <c r="M124" s="126">
        <v>0.47403075649595905</v>
      </c>
      <c r="N124" s="126">
        <v>4.5471742384235125E-2</v>
      </c>
    </row>
    <row r="125" spans="1:14" x14ac:dyDescent="0.2">
      <c r="A125" s="44">
        <v>123</v>
      </c>
      <c r="B125" t="s">
        <v>185</v>
      </c>
      <c r="C125" s="44">
        <v>20230627</v>
      </c>
      <c r="D125" s="44">
        <v>924</v>
      </c>
      <c r="E125" s="40">
        <v>30000</v>
      </c>
      <c r="F125" s="40">
        <v>136.99886490322581</v>
      </c>
      <c r="G125" s="126">
        <v>0.10018617443662775</v>
      </c>
      <c r="H125" s="126">
        <v>0</v>
      </c>
      <c r="I125" s="40">
        <v>1016.0214851867577</v>
      </c>
      <c r="J125" s="40">
        <v>197.13168153853331</v>
      </c>
      <c r="K125" s="44">
        <v>0</v>
      </c>
      <c r="L125" s="44">
        <v>0</v>
      </c>
      <c r="M125" s="126">
        <v>0.38524215733563316</v>
      </c>
      <c r="N125" s="126">
        <v>1.3767134362973943E-2</v>
      </c>
    </row>
    <row r="126" spans="1:14" x14ac:dyDescent="0.2">
      <c r="A126" s="44">
        <v>124</v>
      </c>
      <c r="B126" t="s">
        <v>185</v>
      </c>
      <c r="C126" s="44">
        <v>20230627</v>
      </c>
      <c r="D126" s="44">
        <v>946</v>
      </c>
      <c r="E126" s="40">
        <v>30000</v>
      </c>
      <c r="F126" s="40">
        <v>112.7387860322581</v>
      </c>
      <c r="G126" s="126">
        <v>0.10018617443662775</v>
      </c>
      <c r="H126" s="126">
        <v>0</v>
      </c>
      <c r="I126" s="40">
        <v>1016.0214851867577</v>
      </c>
      <c r="J126" s="40">
        <v>197.13168153853331</v>
      </c>
      <c r="K126" s="44">
        <v>0</v>
      </c>
      <c r="L126" s="44">
        <v>0</v>
      </c>
      <c r="M126" s="126">
        <v>3.5189783701410127E-2</v>
      </c>
      <c r="N126" s="126">
        <v>-1.3906926152590593E-2</v>
      </c>
    </row>
    <row r="127" spans="1:14" x14ac:dyDescent="0.2">
      <c r="A127" s="44">
        <v>125</v>
      </c>
      <c r="B127" t="s">
        <v>185</v>
      </c>
      <c r="C127" s="44">
        <v>20230627</v>
      </c>
      <c r="D127" s="44">
        <v>952</v>
      </c>
      <c r="E127" s="40">
        <v>30000</v>
      </c>
      <c r="F127" s="40">
        <v>114.29521306451615</v>
      </c>
      <c r="G127" s="126">
        <v>0.10219157873810208</v>
      </c>
      <c r="H127" s="126">
        <v>0</v>
      </c>
      <c r="I127" s="40">
        <v>1036.3589605743691</v>
      </c>
      <c r="J127" s="40">
        <v>100.99373796080016</v>
      </c>
      <c r="K127" s="44">
        <v>0</v>
      </c>
      <c r="L127" s="44">
        <v>0</v>
      </c>
      <c r="M127" s="126">
        <v>5.552658771484642E-2</v>
      </c>
      <c r="N127" s="126">
        <v>-2.2679316769736779E-2</v>
      </c>
    </row>
    <row r="128" spans="1:14" x14ac:dyDescent="0.2">
      <c r="A128" s="44">
        <v>126</v>
      </c>
      <c r="B128" t="s">
        <v>185</v>
      </c>
      <c r="C128" s="44">
        <v>20230627</v>
      </c>
      <c r="D128" s="44">
        <v>958</v>
      </c>
      <c r="E128" s="40">
        <v>30000</v>
      </c>
      <c r="F128" s="40">
        <v>115.84360690322578</v>
      </c>
      <c r="G128" s="126">
        <v>0.10429827323344253</v>
      </c>
      <c r="H128" s="126">
        <v>0</v>
      </c>
      <c r="I128" s="40">
        <v>1057.7236536772532</v>
      </c>
      <c r="J128" s="40">
        <v>0</v>
      </c>
      <c r="K128" s="44">
        <v>0</v>
      </c>
      <c r="L128" s="44">
        <v>0</v>
      </c>
      <c r="M128" s="126">
        <v>8.8605746603428348E-2</v>
      </c>
      <c r="N128" s="126">
        <v>0</v>
      </c>
    </row>
    <row r="129" spans="1:14" x14ac:dyDescent="0.2">
      <c r="A129" s="44">
        <v>127</v>
      </c>
      <c r="B129" t="s">
        <v>185</v>
      </c>
      <c r="C129" s="44">
        <v>20230627</v>
      </c>
      <c r="D129" s="44">
        <v>969</v>
      </c>
      <c r="E129" s="40">
        <v>30000</v>
      </c>
      <c r="F129" s="40">
        <v>118.46742106451606</v>
      </c>
      <c r="G129" s="126">
        <v>0.10485350622856335</v>
      </c>
      <c r="H129" s="126">
        <v>0</v>
      </c>
      <c r="I129" s="40">
        <v>531.00336640189937</v>
      </c>
      <c r="J129" s="40">
        <v>0</v>
      </c>
      <c r="K129" s="44">
        <v>0</v>
      </c>
      <c r="L129" s="44">
        <v>0</v>
      </c>
      <c r="M129" s="126">
        <v>0.56751364691947948</v>
      </c>
      <c r="N129" s="126">
        <v>0</v>
      </c>
    </row>
    <row r="130" spans="1:14" x14ac:dyDescent="0.2">
      <c r="A130" s="44">
        <v>128</v>
      </c>
      <c r="B130" t="s">
        <v>185</v>
      </c>
      <c r="C130" s="44">
        <v>20230627</v>
      </c>
      <c r="D130" s="44">
        <v>979</v>
      </c>
      <c r="E130" s="40">
        <v>30000</v>
      </c>
      <c r="F130" s="40">
        <v>116.3476786774193</v>
      </c>
      <c r="G130" s="126">
        <v>0.10272455093058645</v>
      </c>
      <c r="H130" s="126">
        <v>0</v>
      </c>
      <c r="I130" s="40">
        <v>520.22182488929957</v>
      </c>
      <c r="J130" s="40">
        <v>101.52046290832355</v>
      </c>
      <c r="K130" s="44">
        <v>0</v>
      </c>
      <c r="L130" s="44">
        <v>0</v>
      </c>
      <c r="M130" s="126">
        <v>0.37338555520003069</v>
      </c>
      <c r="N130" s="126">
        <v>2.9309454471053265E-2</v>
      </c>
    </row>
    <row r="131" spans="1:14" x14ac:dyDescent="0.2">
      <c r="A131" s="44">
        <v>129</v>
      </c>
      <c r="B131" t="s">
        <v>185</v>
      </c>
      <c r="C131" s="44">
        <v>20230627</v>
      </c>
      <c r="D131" s="44">
        <v>986</v>
      </c>
      <c r="E131" s="40">
        <v>30000</v>
      </c>
      <c r="F131" s="40">
        <v>115.02320548387091</v>
      </c>
      <c r="G131" s="126">
        <v>0.10068032822515059</v>
      </c>
      <c r="H131" s="126">
        <v>0</v>
      </c>
      <c r="I131" s="40">
        <v>509.86938959833799</v>
      </c>
      <c r="J131" s="40">
        <v>199.00040320616057</v>
      </c>
      <c r="K131" s="44">
        <v>0</v>
      </c>
      <c r="L131" s="44">
        <v>0</v>
      </c>
      <c r="M131" s="126">
        <v>0.28066510874279182</v>
      </c>
      <c r="N131" s="126">
        <v>6.1982554752937347E-3</v>
      </c>
    </row>
    <row r="132" spans="1:14" x14ac:dyDescent="0.2">
      <c r="A132" s="44">
        <v>130</v>
      </c>
      <c r="B132" t="s">
        <v>185</v>
      </c>
      <c r="C132" s="44">
        <v>20230627</v>
      </c>
      <c r="D132" s="44">
        <v>996</v>
      </c>
      <c r="E132" s="40">
        <v>30000</v>
      </c>
      <c r="F132" s="40">
        <v>114.28015099999996</v>
      </c>
      <c r="G132" s="126">
        <v>0.10119629716781627</v>
      </c>
      <c r="H132" s="126">
        <v>0</v>
      </c>
      <c r="I132" s="40">
        <v>0</v>
      </c>
      <c r="J132" s="40">
        <v>200.02024520948328</v>
      </c>
      <c r="K132" s="44">
        <v>0</v>
      </c>
      <c r="L132" s="44">
        <v>0</v>
      </c>
      <c r="M132" s="126">
        <v>0</v>
      </c>
      <c r="N132" s="126">
        <v>6.4633066849353216E-2</v>
      </c>
    </row>
    <row r="133" spans="1:14" x14ac:dyDescent="0.2">
      <c r="A133" s="44">
        <v>131</v>
      </c>
      <c r="B133" t="s">
        <v>185</v>
      </c>
      <c r="C133" s="44">
        <v>20230627</v>
      </c>
      <c r="D133" s="44">
        <v>1002</v>
      </c>
      <c r="E133" s="40">
        <v>30000</v>
      </c>
      <c r="F133" s="40">
        <v>115.28026151612904</v>
      </c>
      <c r="G133" s="126">
        <v>0.10326174104425936</v>
      </c>
      <c r="H133" s="126">
        <v>0</v>
      </c>
      <c r="I133" s="40">
        <v>0</v>
      </c>
      <c r="J133" s="40">
        <v>102.051356336582</v>
      </c>
      <c r="K133" s="44">
        <v>0</v>
      </c>
      <c r="L133" s="44">
        <v>0</v>
      </c>
      <c r="M133" s="126">
        <v>0</v>
      </c>
      <c r="N133" s="126">
        <v>5.3079441675065619E-2</v>
      </c>
    </row>
    <row r="134" spans="1:14" x14ac:dyDescent="0.2">
      <c r="A134" s="44">
        <v>132</v>
      </c>
      <c r="B134" t="s">
        <v>185</v>
      </c>
      <c r="C134" s="44">
        <v>20230627</v>
      </c>
      <c r="D134" s="44">
        <v>1068</v>
      </c>
      <c r="E134" s="40">
        <v>30000</v>
      </c>
      <c r="F134" s="40">
        <v>98.324767799999961</v>
      </c>
      <c r="G134" s="126">
        <v>0.10014915162319186</v>
      </c>
      <c r="H134" s="126">
        <v>0</v>
      </c>
      <c r="I134" s="40">
        <v>1016.9332817784287</v>
      </c>
      <c r="J134" s="40">
        <v>198.84217132778051</v>
      </c>
      <c r="K134" s="44">
        <v>0</v>
      </c>
      <c r="L134" s="44">
        <v>0</v>
      </c>
      <c r="M134" s="126">
        <v>7.8067920567822524E-3</v>
      </c>
      <c r="N134" s="126">
        <v>-4.1560209260713687E-3</v>
      </c>
    </row>
    <row r="135" spans="1:14" x14ac:dyDescent="0.2">
      <c r="A135" s="44">
        <v>133</v>
      </c>
      <c r="B135" t="s">
        <v>185</v>
      </c>
      <c r="C135" s="44">
        <v>20230627</v>
      </c>
      <c r="D135" s="44">
        <v>1074</v>
      </c>
      <c r="E135" s="40">
        <v>30000</v>
      </c>
      <c r="F135" s="40">
        <v>97.452118200000044</v>
      </c>
      <c r="G135" s="126">
        <v>0.10220883522858019</v>
      </c>
      <c r="H135" s="129">
        <v>0</v>
      </c>
      <c r="I135" s="40">
        <v>1037.8476956731515</v>
      </c>
      <c r="J135" s="40">
        <v>100.10078504220846</v>
      </c>
      <c r="K135" s="44">
        <v>0</v>
      </c>
      <c r="L135" s="44">
        <v>0</v>
      </c>
      <c r="M135" s="129">
        <v>2.5095006288211597E-3</v>
      </c>
      <c r="N135" s="129">
        <v>-1.9072179037181725E-2</v>
      </c>
    </row>
    <row r="136" spans="1:14" x14ac:dyDescent="0.2">
      <c r="A136" s="44">
        <v>134</v>
      </c>
      <c r="B136" t="s">
        <v>185</v>
      </c>
      <c r="C136" s="44">
        <v>20230627</v>
      </c>
      <c r="D136" s="44">
        <v>1080</v>
      </c>
      <c r="E136" s="40">
        <v>30000</v>
      </c>
      <c r="F136" s="40">
        <v>97.378448599999956</v>
      </c>
      <c r="G136" s="126">
        <v>0.10429687504241925</v>
      </c>
      <c r="H136" s="126">
        <v>0</v>
      </c>
      <c r="I136" s="40">
        <v>1059.0500438304339</v>
      </c>
      <c r="J136" s="40">
        <v>0</v>
      </c>
      <c r="K136" s="44">
        <v>0</v>
      </c>
      <c r="L136" s="44">
        <v>0</v>
      </c>
      <c r="M136" s="126">
        <v>8.1813052172963197E-3</v>
      </c>
      <c r="N136" s="126">
        <v>0</v>
      </c>
    </row>
    <row r="137" spans="1:14" x14ac:dyDescent="0.2">
      <c r="A137" s="44">
        <v>135</v>
      </c>
      <c r="B137" t="s">
        <v>185</v>
      </c>
      <c r="C137" s="44">
        <v>20230627</v>
      </c>
      <c r="D137" s="44">
        <v>1095</v>
      </c>
      <c r="E137" s="40">
        <v>30000</v>
      </c>
      <c r="F137" s="40">
        <v>114.12658719999993</v>
      </c>
      <c r="G137" s="126">
        <v>0.10429687504241925</v>
      </c>
      <c r="H137" s="126">
        <v>0</v>
      </c>
      <c r="I137" s="40">
        <v>1059.0500438304339</v>
      </c>
      <c r="J137" s="40">
        <v>0</v>
      </c>
      <c r="K137" s="44">
        <v>0</v>
      </c>
      <c r="L137" s="44">
        <v>0</v>
      </c>
      <c r="M137" s="126">
        <v>6.1279240252464451E-2</v>
      </c>
      <c r="N137" s="126">
        <v>0</v>
      </c>
    </row>
    <row r="138" spans="1:14" x14ac:dyDescent="0.2">
      <c r="A138" s="44">
        <v>136</v>
      </c>
      <c r="B138" t="s">
        <v>185</v>
      </c>
      <c r="C138" s="44">
        <v>20230627</v>
      </c>
      <c r="D138" s="44">
        <v>1101</v>
      </c>
      <c r="E138" s="40">
        <v>30000</v>
      </c>
      <c r="F138" s="40">
        <v>114.73565639999991</v>
      </c>
      <c r="G138" s="126">
        <v>0.10486763949495889</v>
      </c>
      <c r="H138" s="126">
        <v>0</v>
      </c>
      <c r="I138" s="40">
        <v>517.59588125347068</v>
      </c>
      <c r="J138" s="40">
        <v>0</v>
      </c>
      <c r="K138" s="44">
        <v>0</v>
      </c>
      <c r="L138" s="44">
        <v>0</v>
      </c>
      <c r="M138" s="126">
        <v>0.42821162710937677</v>
      </c>
      <c r="N138" s="126">
        <v>0</v>
      </c>
    </row>
    <row r="139" spans="1:14" x14ac:dyDescent="0.2">
      <c r="A139" s="44">
        <v>137</v>
      </c>
      <c r="B139" t="s">
        <v>185</v>
      </c>
      <c r="C139" s="44">
        <v>20230627</v>
      </c>
      <c r="D139" s="44">
        <v>1111</v>
      </c>
      <c r="E139" s="40">
        <v>30000</v>
      </c>
      <c r="F139" s="40">
        <v>111.98703</v>
      </c>
      <c r="G139" s="126">
        <v>0.10275691481167158</v>
      </c>
      <c r="H139" s="126">
        <v>0</v>
      </c>
      <c r="I139" s="40">
        <v>507.17796388839014</v>
      </c>
      <c r="J139" s="40">
        <v>100.63756052165071</v>
      </c>
      <c r="K139" s="44">
        <v>0</v>
      </c>
      <c r="L139" s="44">
        <v>0</v>
      </c>
      <c r="M139" s="126">
        <v>0.19733505185475009</v>
      </c>
      <c r="N139" s="126">
        <v>3.3002666759837318E-2</v>
      </c>
    </row>
    <row r="140" spans="1:14" x14ac:dyDescent="0.2">
      <c r="A140" s="44">
        <v>138</v>
      </c>
      <c r="B140" t="s">
        <v>185</v>
      </c>
      <c r="C140" s="44">
        <v>20230627</v>
      </c>
      <c r="D140" s="44">
        <v>1120</v>
      </c>
      <c r="E140" s="40">
        <v>30000</v>
      </c>
      <c r="F140" s="40">
        <v>110.19299360000004</v>
      </c>
      <c r="G140" s="126">
        <v>0.10065726253185479</v>
      </c>
      <c r="H140" s="126">
        <v>0</v>
      </c>
      <c r="I140" s="40">
        <v>496.81469665617715</v>
      </c>
      <c r="J140" s="40">
        <v>200.7471982482493</v>
      </c>
      <c r="K140" s="44">
        <v>0</v>
      </c>
      <c r="L140" s="44">
        <v>0</v>
      </c>
      <c r="M140" s="126">
        <v>0.12898701147241398</v>
      </c>
      <c r="N140" s="126">
        <v>6.753050942449379E-3</v>
      </c>
    </row>
    <row r="141" spans="1:14" x14ac:dyDescent="0.2">
      <c r="A141" s="44">
        <v>139</v>
      </c>
      <c r="B141" t="s">
        <v>185</v>
      </c>
      <c r="C141" s="44">
        <v>20230627</v>
      </c>
      <c r="D141" s="44">
        <v>1132</v>
      </c>
      <c r="E141" s="40">
        <v>30000</v>
      </c>
      <c r="F141" s="40">
        <v>109.45211819999993</v>
      </c>
      <c r="G141" s="126">
        <v>0.10115983948151276</v>
      </c>
      <c r="H141" s="126">
        <v>0</v>
      </c>
      <c r="I141" s="40">
        <v>0</v>
      </c>
      <c r="J141" s="40">
        <v>201.74951951161628</v>
      </c>
      <c r="K141" s="44">
        <v>0</v>
      </c>
      <c r="L141" s="44">
        <v>0</v>
      </c>
      <c r="M141" s="126">
        <v>0</v>
      </c>
      <c r="N141" s="126">
        <v>5.2000990153417526E-2</v>
      </c>
    </row>
    <row r="142" spans="1:14" x14ac:dyDescent="0.2">
      <c r="A142" s="44">
        <v>140</v>
      </c>
      <c r="B142" t="s">
        <v>185</v>
      </c>
      <c r="C142" s="44">
        <v>20230627</v>
      </c>
      <c r="D142" s="44">
        <v>1138</v>
      </c>
      <c r="E142" s="40">
        <v>30000</v>
      </c>
      <c r="F142" s="40">
        <v>110.10894800000004</v>
      </c>
      <c r="G142" s="126">
        <v>0.10326174104425936</v>
      </c>
      <c r="H142" s="126">
        <v>0</v>
      </c>
      <c r="I142" s="40">
        <v>0</v>
      </c>
      <c r="J142" s="40">
        <v>102.051356336582</v>
      </c>
      <c r="K142" s="44">
        <v>0</v>
      </c>
      <c r="L142" s="44">
        <v>0</v>
      </c>
      <c r="M142" s="126">
        <v>0</v>
      </c>
      <c r="N142" s="126">
        <v>5.0146084570909077E-2</v>
      </c>
    </row>
    <row r="143" spans="1:14" x14ac:dyDescent="0.2">
      <c r="A143" s="44">
        <v>141</v>
      </c>
      <c r="B143" t="s">
        <v>185</v>
      </c>
      <c r="C143" s="44">
        <v>20230627</v>
      </c>
      <c r="D143" s="44">
        <v>1150</v>
      </c>
      <c r="E143" s="40">
        <v>30000</v>
      </c>
      <c r="F143" s="40">
        <v>128.39480579999992</v>
      </c>
      <c r="G143" s="126">
        <v>0.10326174104425936</v>
      </c>
      <c r="H143" s="126">
        <v>0</v>
      </c>
      <c r="I143" s="40">
        <v>0</v>
      </c>
      <c r="J143" s="40">
        <v>102.051356336582</v>
      </c>
      <c r="K143" s="44">
        <v>0</v>
      </c>
      <c r="L143" s="44">
        <v>0</v>
      </c>
      <c r="M143" s="126">
        <v>0</v>
      </c>
      <c r="N143" s="126">
        <v>6.4619633645335961E-2</v>
      </c>
    </row>
    <row r="144" spans="1:14" x14ac:dyDescent="0.2">
      <c r="A144" s="44">
        <v>142</v>
      </c>
      <c r="B144" t="s">
        <v>185</v>
      </c>
      <c r="C144" s="44">
        <v>20230627</v>
      </c>
      <c r="D144" s="44">
        <v>1156</v>
      </c>
      <c r="E144" s="40">
        <v>30000</v>
      </c>
      <c r="F144" s="40">
        <v>126.5789798</v>
      </c>
      <c r="G144" s="126">
        <v>0.1011780650404476</v>
      </c>
      <c r="H144" s="126">
        <v>0</v>
      </c>
      <c r="I144" s="40">
        <v>0</v>
      </c>
      <c r="J144" s="40">
        <v>200.88503813872651</v>
      </c>
      <c r="K144" s="44">
        <v>0</v>
      </c>
      <c r="L144" s="44">
        <v>0</v>
      </c>
      <c r="M144" s="126">
        <v>0</v>
      </c>
      <c r="N144" s="126">
        <v>4.4105681300734445E-2</v>
      </c>
    </row>
    <row r="145" spans="1:14" x14ac:dyDescent="0.2">
      <c r="A145" s="44">
        <v>143</v>
      </c>
      <c r="B145" t="s">
        <v>185</v>
      </c>
      <c r="C145" s="44">
        <v>20230627</v>
      </c>
      <c r="D145" s="44">
        <v>1165</v>
      </c>
      <c r="E145" s="40">
        <v>30000</v>
      </c>
      <c r="F145" s="40">
        <v>128.27029380000002</v>
      </c>
      <c r="G145" s="126">
        <v>0.10067530742997921</v>
      </c>
      <c r="H145" s="126">
        <v>0</v>
      </c>
      <c r="I145" s="40">
        <v>496.90376097565468</v>
      </c>
      <c r="J145" s="40">
        <v>199.88683282897779</v>
      </c>
      <c r="K145" s="44">
        <v>0</v>
      </c>
      <c r="L145" s="44">
        <v>0</v>
      </c>
      <c r="M145" s="126">
        <v>0.60269083544295809</v>
      </c>
      <c r="N145" s="126">
        <v>-5.3228360871431235E-3</v>
      </c>
    </row>
    <row r="146" spans="1:14" x14ac:dyDescent="0.2">
      <c r="A146" s="44">
        <v>144</v>
      </c>
      <c r="B146" t="s">
        <v>185</v>
      </c>
      <c r="C146" s="44">
        <v>20230627</v>
      </c>
      <c r="D146" s="44">
        <v>1173</v>
      </c>
      <c r="E146" s="40">
        <v>30000</v>
      </c>
      <c r="F146" s="40">
        <v>129.56524660000008</v>
      </c>
      <c r="G146" s="126">
        <v>0.10273811606008454</v>
      </c>
      <c r="H146" s="126">
        <v>0</v>
      </c>
      <c r="I146" s="40">
        <v>507.08517876953908</v>
      </c>
      <c r="J146" s="40">
        <v>101.5338690338659</v>
      </c>
      <c r="K146" s="44">
        <v>0</v>
      </c>
      <c r="L146" s="44">
        <v>0</v>
      </c>
      <c r="M146" s="126">
        <v>0.6903231441281632</v>
      </c>
      <c r="N146" s="126">
        <v>-8.3650636134628975E-3</v>
      </c>
    </row>
    <row r="147" spans="1:14" x14ac:dyDescent="0.2">
      <c r="A147" s="44">
        <v>145</v>
      </c>
      <c r="B147" t="s">
        <v>185</v>
      </c>
      <c r="C147" s="44">
        <v>20230627</v>
      </c>
      <c r="D147" s="44">
        <v>1186</v>
      </c>
      <c r="E147" s="40">
        <v>30000</v>
      </c>
      <c r="F147" s="40">
        <v>131.36962899999992</v>
      </c>
      <c r="G147" s="126">
        <v>0.10486763949495889</v>
      </c>
      <c r="H147" s="126">
        <v>0</v>
      </c>
      <c r="I147" s="40">
        <v>517.59588125347068</v>
      </c>
      <c r="J147" s="40">
        <v>0</v>
      </c>
      <c r="K147" s="44">
        <v>0</v>
      </c>
      <c r="L147" s="44">
        <v>0</v>
      </c>
      <c r="M147" s="126">
        <v>0.8285385046363194</v>
      </c>
      <c r="N147" s="126">
        <v>0</v>
      </c>
    </row>
    <row r="148" spans="1:14" x14ac:dyDescent="0.2">
      <c r="A148" s="44">
        <v>146</v>
      </c>
      <c r="B148" t="s">
        <v>185</v>
      </c>
      <c r="C148" s="44">
        <v>20230627</v>
      </c>
      <c r="D148" s="44">
        <v>1196</v>
      </c>
      <c r="E148" s="40">
        <v>30000</v>
      </c>
      <c r="F148" s="40">
        <v>129.84436000000002</v>
      </c>
      <c r="G148" s="126">
        <v>0.10429547688888291</v>
      </c>
      <c r="H148" s="126">
        <v>0</v>
      </c>
      <c r="I148" s="40">
        <v>1060.3763984217223</v>
      </c>
      <c r="J148" s="40">
        <v>0</v>
      </c>
      <c r="K148" s="44">
        <v>0</v>
      </c>
      <c r="L148" s="44">
        <v>0</v>
      </c>
      <c r="M148" s="126">
        <v>0.35225186535378672</v>
      </c>
      <c r="N148" s="126">
        <v>0</v>
      </c>
    </row>
    <row r="149" spans="1:14" x14ac:dyDescent="0.2">
      <c r="A149" s="44">
        <v>147</v>
      </c>
      <c r="B149" t="s">
        <v>185</v>
      </c>
      <c r="C149" s="44">
        <v>20230627</v>
      </c>
      <c r="D149" s="44">
        <v>1203</v>
      </c>
      <c r="E149" s="40">
        <v>30000</v>
      </c>
      <c r="F149" s="40">
        <v>127.10400423333336</v>
      </c>
      <c r="G149" s="126">
        <v>0.10217030270352526</v>
      </c>
      <c r="H149" s="126">
        <v>0</v>
      </c>
      <c r="I149" s="40">
        <v>1038.7696651681867</v>
      </c>
      <c r="J149" s="40">
        <v>101.88237537960732</v>
      </c>
      <c r="K149" s="44">
        <v>0</v>
      </c>
      <c r="L149" s="44">
        <v>0</v>
      </c>
      <c r="M149" s="126">
        <v>0.17517733796120438</v>
      </c>
      <c r="N149" s="126">
        <v>2.4161074754828538E-2</v>
      </c>
    </row>
    <row r="150" spans="1:14" x14ac:dyDescent="0.2">
      <c r="A150" s="44">
        <v>148</v>
      </c>
      <c r="B150" t="s">
        <v>185</v>
      </c>
      <c r="C150" s="44">
        <v>20230627</v>
      </c>
      <c r="D150" s="44">
        <v>1209</v>
      </c>
      <c r="E150" s="40">
        <v>30000</v>
      </c>
      <c r="F150" s="40">
        <v>125.5330810000001</v>
      </c>
      <c r="G150" s="126">
        <v>0.10014786246250279</v>
      </c>
      <c r="H150" s="126">
        <v>0</v>
      </c>
      <c r="I150" s="40">
        <v>1018.2074321474456</v>
      </c>
      <c r="J150" s="40">
        <v>198.83961175032576</v>
      </c>
      <c r="K150" s="44">
        <v>0</v>
      </c>
      <c r="L150" s="44">
        <v>0</v>
      </c>
      <c r="M150" s="126">
        <v>0.12712397062325587</v>
      </c>
      <c r="N150" s="126">
        <v>1.110422993511273E-3</v>
      </c>
    </row>
    <row r="151" spans="1:14" x14ac:dyDescent="0.2">
      <c r="A151" s="44">
        <v>149</v>
      </c>
      <c r="B151" t="s">
        <v>184</v>
      </c>
      <c r="C151" s="44">
        <v>20230707</v>
      </c>
      <c r="D151" s="44">
        <v>96</v>
      </c>
      <c r="E151" s="40">
        <v>30066.634722571234</v>
      </c>
      <c r="F151" s="125">
        <v>295.64666733333337</v>
      </c>
      <c r="G151" s="45"/>
      <c r="H151" s="129">
        <v>2.9856661516555062E-2</v>
      </c>
      <c r="I151" s="40">
        <v>1021.2492740952973</v>
      </c>
      <c r="J151" s="44"/>
      <c r="K151" s="44">
        <v>0</v>
      </c>
      <c r="L151" s="44">
        <v>0</v>
      </c>
      <c r="M151" s="129">
        <v>0.99960913714553867</v>
      </c>
      <c r="N151" s="44"/>
    </row>
    <row r="152" spans="1:14" x14ac:dyDescent="0.2">
      <c r="A152" s="44">
        <v>150</v>
      </c>
      <c r="B152" t="s">
        <v>184</v>
      </c>
      <c r="C152" s="44">
        <v>20230707</v>
      </c>
      <c r="D152" s="44">
        <v>112</v>
      </c>
      <c r="E152" s="40">
        <v>30066.634722571234</v>
      </c>
      <c r="F152" s="125">
        <v>271.85418719999996</v>
      </c>
      <c r="G152" s="45"/>
      <c r="H152" s="129">
        <v>2.9856661516555062E-2</v>
      </c>
      <c r="I152" s="40">
        <v>1021.2492740952973</v>
      </c>
      <c r="J152" s="44"/>
      <c r="K152" s="44">
        <v>0</v>
      </c>
      <c r="L152" s="44">
        <v>0</v>
      </c>
      <c r="M152" s="129">
        <v>1.0000322957734873</v>
      </c>
      <c r="N152" s="44"/>
    </row>
    <row r="153" spans="1:14" x14ac:dyDescent="0.2">
      <c r="A153" s="44">
        <v>151</v>
      </c>
      <c r="B153" t="s">
        <v>184</v>
      </c>
      <c r="C153" s="44">
        <v>20230707</v>
      </c>
      <c r="D153" s="44">
        <v>125</v>
      </c>
      <c r="E153" s="40">
        <v>30066.634722571234</v>
      </c>
      <c r="F153" s="125">
        <v>248.32940700000003</v>
      </c>
      <c r="G153" s="45"/>
      <c r="H153" s="129">
        <v>2.9856661516555062E-2</v>
      </c>
      <c r="I153" s="40">
        <v>1021.2492740952973</v>
      </c>
      <c r="J153" s="44"/>
      <c r="K153" s="44">
        <v>0</v>
      </c>
      <c r="L153" s="44">
        <v>0</v>
      </c>
      <c r="M153" s="129">
        <v>0.99961506872411743</v>
      </c>
      <c r="N153" s="44"/>
    </row>
    <row r="154" spans="1:14" x14ac:dyDescent="0.2">
      <c r="A154" s="44">
        <v>152</v>
      </c>
      <c r="B154" t="s">
        <v>184</v>
      </c>
      <c r="C154" s="44">
        <v>20230707</v>
      </c>
      <c r="D154" s="44">
        <v>146</v>
      </c>
      <c r="E154" s="40">
        <v>30066.634722571234</v>
      </c>
      <c r="F154" s="125">
        <v>226.8176268</v>
      </c>
      <c r="G154" s="45"/>
      <c r="H154" s="129">
        <v>2.9856661516555062E-2</v>
      </c>
      <c r="I154" s="40">
        <v>1021.2492740952973</v>
      </c>
      <c r="J154" s="44"/>
      <c r="K154" s="44">
        <v>0</v>
      </c>
      <c r="L154" s="44">
        <v>0</v>
      </c>
      <c r="M154" s="129">
        <v>0.97013819840115556</v>
      </c>
      <c r="N154" s="44"/>
    </row>
    <row r="155" spans="1:14" x14ac:dyDescent="0.2">
      <c r="A155" s="44">
        <v>153</v>
      </c>
      <c r="B155" t="s">
        <v>184</v>
      </c>
      <c r="C155" s="44">
        <v>20230707</v>
      </c>
      <c r="D155" s="44">
        <v>166</v>
      </c>
      <c r="E155" s="40">
        <v>30066.634722571234</v>
      </c>
      <c r="F155" s="125">
        <v>213.45733620000004</v>
      </c>
      <c r="G155" s="45"/>
      <c r="H155" s="129">
        <v>2.9856661516555062E-2</v>
      </c>
      <c r="I155" s="40">
        <v>1021.2492740952973</v>
      </c>
      <c r="J155" s="44"/>
      <c r="K155" s="44">
        <v>0</v>
      </c>
      <c r="L155" s="44">
        <v>0</v>
      </c>
      <c r="M155" s="129">
        <v>0.81481808847528359</v>
      </c>
      <c r="N155" s="44"/>
    </row>
    <row r="156" spans="1:14" x14ac:dyDescent="0.2">
      <c r="A156" s="44">
        <v>154</v>
      </c>
      <c r="B156" t="s">
        <v>184</v>
      </c>
      <c r="C156" s="44">
        <v>20230707</v>
      </c>
      <c r="D156" s="44">
        <v>180</v>
      </c>
      <c r="E156" s="40">
        <v>30066.634722571234</v>
      </c>
      <c r="F156" s="125">
        <v>197.18029593333341</v>
      </c>
      <c r="G156" s="45"/>
      <c r="H156" s="129">
        <v>2.9856661516555062E-2</v>
      </c>
      <c r="I156" s="40">
        <v>1021.2492740952973</v>
      </c>
      <c r="J156" s="44"/>
      <c r="K156" s="44">
        <v>0</v>
      </c>
      <c r="L156" s="44">
        <v>0</v>
      </c>
      <c r="M156" s="129">
        <v>0.55963982976300608</v>
      </c>
      <c r="N156" s="44"/>
    </row>
    <row r="157" spans="1:14" x14ac:dyDescent="0.2">
      <c r="A157" s="44">
        <v>155</v>
      </c>
      <c r="B157" t="s">
        <v>184</v>
      </c>
      <c r="C157" s="44">
        <v>20230707</v>
      </c>
      <c r="D157" s="44">
        <v>190</v>
      </c>
      <c r="E157" s="40">
        <v>30066.634722571234</v>
      </c>
      <c r="F157" s="125">
        <v>181.77587900000006</v>
      </c>
      <c r="G157" s="45"/>
      <c r="H157" s="129">
        <v>2.9856661516555062E-2</v>
      </c>
      <c r="I157" s="40">
        <v>1021.2492740952973</v>
      </c>
      <c r="J157" s="44"/>
      <c r="K157" s="44">
        <v>0</v>
      </c>
      <c r="L157" s="44">
        <v>0</v>
      </c>
      <c r="M157" s="129">
        <v>0.32372032395198669</v>
      </c>
      <c r="N157" s="44"/>
    </row>
    <row r="158" spans="1:14" x14ac:dyDescent="0.2">
      <c r="A158" s="44">
        <v>156</v>
      </c>
      <c r="B158" t="s">
        <v>184</v>
      </c>
      <c r="C158" s="44">
        <v>20230707</v>
      </c>
      <c r="D158" s="44">
        <v>204</v>
      </c>
      <c r="E158" s="40">
        <v>30066.634722571234</v>
      </c>
      <c r="F158" s="125">
        <v>168.62100259999994</v>
      </c>
      <c r="G158" s="45"/>
      <c r="H158" s="129">
        <v>2.9856661516555062E-2</v>
      </c>
      <c r="I158" s="40">
        <v>1021.2492740952973</v>
      </c>
      <c r="J158" s="44"/>
      <c r="K158" s="44">
        <v>0</v>
      </c>
      <c r="L158" s="44">
        <v>0</v>
      </c>
      <c r="M158" s="129">
        <v>0.18564799955534672</v>
      </c>
      <c r="N158" s="44"/>
    </row>
    <row r="159" spans="1:14" x14ac:dyDescent="0.2">
      <c r="A159" s="44">
        <v>157</v>
      </c>
      <c r="B159" t="s">
        <v>184</v>
      </c>
      <c r="C159" s="44">
        <v>20230707</v>
      </c>
      <c r="D159" s="44">
        <v>223</v>
      </c>
      <c r="E159" s="40">
        <v>30066.634722571234</v>
      </c>
      <c r="F159" s="125">
        <v>157.06509436666678</v>
      </c>
      <c r="G159" s="45"/>
      <c r="H159" s="129">
        <v>2.9856661516555062E-2</v>
      </c>
      <c r="I159" s="40">
        <v>1021.2492740952973</v>
      </c>
      <c r="J159" s="44"/>
      <c r="K159" s="44">
        <v>0</v>
      </c>
      <c r="L159" s="44">
        <v>0</v>
      </c>
      <c r="M159" s="129">
        <v>0.1172346126249556</v>
      </c>
      <c r="N159" s="44"/>
    </row>
    <row r="160" spans="1:14" x14ac:dyDescent="0.2">
      <c r="A160" s="44">
        <v>158</v>
      </c>
      <c r="B160" t="s">
        <v>184</v>
      </c>
      <c r="C160" s="44">
        <v>20230707</v>
      </c>
      <c r="D160" s="44">
        <v>268</v>
      </c>
      <c r="E160" s="40">
        <v>29890.302888742834</v>
      </c>
      <c r="F160" s="40">
        <v>168.09182760000004</v>
      </c>
      <c r="G160" s="126">
        <v>0.10105444457646556</v>
      </c>
      <c r="H160" s="126">
        <v>0</v>
      </c>
      <c r="I160" s="40">
        <v>1027.2739289128624</v>
      </c>
      <c r="J160" s="40">
        <v>0</v>
      </c>
      <c r="K160" s="44">
        <v>0</v>
      </c>
      <c r="L160" s="44">
        <v>0</v>
      </c>
      <c r="M160" s="126">
        <v>1.0000994513308314</v>
      </c>
      <c r="N160" s="126">
        <v>0</v>
      </c>
    </row>
    <row r="161" spans="1:14" x14ac:dyDescent="0.2">
      <c r="A161" s="44">
        <v>159</v>
      </c>
      <c r="B161" t="s">
        <v>184</v>
      </c>
      <c r="C161" s="44">
        <v>20230707</v>
      </c>
      <c r="D161" s="44">
        <v>294</v>
      </c>
      <c r="E161" s="40">
        <v>29890.302888742834</v>
      </c>
      <c r="F161" s="40">
        <v>143.21710180000005</v>
      </c>
      <c r="G161" s="126">
        <v>0.10105444457646556</v>
      </c>
      <c r="H161" s="126">
        <v>0</v>
      </c>
      <c r="I161" s="40">
        <v>1027.2739289128624</v>
      </c>
      <c r="J161" s="40">
        <v>0</v>
      </c>
      <c r="K161" s="44">
        <v>0</v>
      </c>
      <c r="L161" s="44">
        <v>0</v>
      </c>
      <c r="M161" s="126">
        <v>0.96534872692563567</v>
      </c>
      <c r="N161" s="126">
        <v>0</v>
      </c>
    </row>
    <row r="162" spans="1:14" x14ac:dyDescent="0.2">
      <c r="A162" s="44">
        <v>160</v>
      </c>
      <c r="B162" t="s">
        <v>184</v>
      </c>
      <c r="C162" s="44">
        <v>20230707</v>
      </c>
      <c r="D162" s="44">
        <v>314</v>
      </c>
      <c r="E162" s="40">
        <v>29890.302888742834</v>
      </c>
      <c r="F162" s="40">
        <v>111.22747780000005</v>
      </c>
      <c r="G162" s="126">
        <v>0.10105444457646556</v>
      </c>
      <c r="H162" s="126">
        <v>0</v>
      </c>
      <c r="I162" s="40">
        <v>1027.2739289128624</v>
      </c>
      <c r="J162" s="40">
        <v>0</v>
      </c>
      <c r="K162" s="44">
        <v>0</v>
      </c>
      <c r="L162" s="44">
        <v>0</v>
      </c>
      <c r="M162" s="126">
        <v>0.14930041957456663</v>
      </c>
      <c r="N162" s="126">
        <v>0</v>
      </c>
    </row>
    <row r="163" spans="1:14" x14ac:dyDescent="0.2">
      <c r="A163" s="44">
        <v>161</v>
      </c>
      <c r="B163" t="s">
        <v>184</v>
      </c>
      <c r="C163" s="44">
        <v>20230707</v>
      </c>
      <c r="D163" s="44">
        <v>328</v>
      </c>
      <c r="E163" s="40">
        <v>29890.302888742834</v>
      </c>
      <c r="F163" s="40">
        <v>100.40414436666667</v>
      </c>
      <c r="G163" s="126">
        <v>0.10105444457646556</v>
      </c>
      <c r="H163" s="126">
        <v>0</v>
      </c>
      <c r="I163" s="40">
        <v>1027.2739289128624</v>
      </c>
      <c r="J163" s="40">
        <v>0</v>
      </c>
      <c r="K163" s="44">
        <v>0</v>
      </c>
      <c r="L163" s="44">
        <v>0</v>
      </c>
      <c r="M163" s="126">
        <v>8.632887825964064E-2</v>
      </c>
      <c r="N163" s="126">
        <v>0</v>
      </c>
    </row>
    <row r="164" spans="1:14" x14ac:dyDescent="0.2">
      <c r="A164" s="44">
        <v>162</v>
      </c>
      <c r="B164" t="s">
        <v>184</v>
      </c>
      <c r="C164" s="44">
        <v>20230707</v>
      </c>
      <c r="D164" s="44">
        <v>354</v>
      </c>
      <c r="E164" s="40">
        <v>29890.302888742834</v>
      </c>
      <c r="F164" s="40">
        <v>79.399719400000023</v>
      </c>
      <c r="G164" s="126">
        <v>0.10105444457646556</v>
      </c>
      <c r="H164" s="126">
        <v>0</v>
      </c>
      <c r="I164" s="40">
        <v>1027.2739289128624</v>
      </c>
      <c r="J164" s="40">
        <v>0</v>
      </c>
      <c r="K164" s="44">
        <v>0</v>
      </c>
      <c r="L164" s="44">
        <v>0</v>
      </c>
      <c r="M164" s="126">
        <v>7.4169513981755975E-2</v>
      </c>
      <c r="N164" s="126">
        <v>0</v>
      </c>
    </row>
    <row r="165" spans="1:14" x14ac:dyDescent="0.2">
      <c r="A165" s="44">
        <v>163</v>
      </c>
      <c r="B165" t="s">
        <v>184</v>
      </c>
      <c r="C165" s="44">
        <v>20230707</v>
      </c>
      <c r="D165" s="44">
        <v>395</v>
      </c>
      <c r="E165" s="40">
        <v>30074.085620290865</v>
      </c>
      <c r="F165" s="40">
        <v>79.390381000000005</v>
      </c>
      <c r="G165" s="126">
        <v>0.10040938485116718</v>
      </c>
      <c r="H165" s="129">
        <v>2.9849264485968061E-2</v>
      </c>
      <c r="I165" s="40">
        <v>505.98044650552066</v>
      </c>
      <c r="J165" s="40">
        <v>196.70192583126311</v>
      </c>
      <c r="K165" s="44">
        <v>0</v>
      </c>
      <c r="L165" s="44">
        <v>0</v>
      </c>
      <c r="M165" s="129">
        <v>0.1423878782398933</v>
      </c>
      <c r="N165" s="129">
        <v>1.458405695612397E-4</v>
      </c>
    </row>
    <row r="166" spans="1:14" x14ac:dyDescent="0.2">
      <c r="A166" s="44">
        <v>164</v>
      </c>
      <c r="B166" t="s">
        <v>184</v>
      </c>
      <c r="C166" s="44">
        <v>20230707</v>
      </c>
      <c r="D166" s="44">
        <v>409</v>
      </c>
      <c r="E166" s="40">
        <v>30074.085620290865</v>
      </c>
      <c r="F166" s="40">
        <v>98.355895800000056</v>
      </c>
      <c r="G166" s="126">
        <v>0.10040938485116718</v>
      </c>
      <c r="H166" s="129">
        <v>2.9849264485968061E-2</v>
      </c>
      <c r="I166" s="40">
        <v>505.98044650552066</v>
      </c>
      <c r="J166" s="40">
        <v>196.70192583126311</v>
      </c>
      <c r="K166" s="44">
        <v>0</v>
      </c>
      <c r="L166" s="44">
        <v>0</v>
      </c>
      <c r="M166" s="129">
        <v>0.21416868387384524</v>
      </c>
      <c r="N166" s="129">
        <v>2.5278848499054041E-3</v>
      </c>
    </row>
    <row r="167" spans="1:14" x14ac:dyDescent="0.2">
      <c r="A167" s="44">
        <v>165</v>
      </c>
      <c r="B167" t="s">
        <v>184</v>
      </c>
      <c r="C167" s="44">
        <v>20230707</v>
      </c>
      <c r="D167" s="44">
        <v>426</v>
      </c>
      <c r="E167" s="40">
        <v>30074.085620290865</v>
      </c>
      <c r="F167" s="40">
        <v>115.32293700000005</v>
      </c>
      <c r="G167" s="126">
        <v>0.10040938485116718</v>
      </c>
      <c r="H167" s="129">
        <v>2.9849264485968061E-2</v>
      </c>
      <c r="I167" s="40">
        <v>505.98044650552066</v>
      </c>
      <c r="J167" s="40">
        <v>196.70192583126311</v>
      </c>
      <c r="K167" s="44">
        <v>0</v>
      </c>
      <c r="L167" s="44">
        <v>0</v>
      </c>
      <c r="M167" s="129">
        <v>0.30704478680233316</v>
      </c>
      <c r="N167" s="129">
        <v>3.4321971694893927E-3</v>
      </c>
    </row>
    <row r="168" spans="1:14" x14ac:dyDescent="0.2">
      <c r="A168" s="44">
        <v>166</v>
      </c>
      <c r="B168" t="s">
        <v>184</v>
      </c>
      <c r="C168" s="44">
        <v>20230707</v>
      </c>
      <c r="D168" s="44">
        <v>442</v>
      </c>
      <c r="E168" s="40">
        <v>30074.085620290865</v>
      </c>
      <c r="F168" s="40">
        <v>132.29208339999988</v>
      </c>
      <c r="G168" s="126">
        <v>0.10040938485116718</v>
      </c>
      <c r="H168" s="126">
        <v>2.9849264485968061E-2</v>
      </c>
      <c r="I168" s="40">
        <v>505.98044650552066</v>
      </c>
      <c r="J168" s="40">
        <v>196.70192583126311</v>
      </c>
      <c r="K168" s="44">
        <v>0</v>
      </c>
      <c r="L168" s="44">
        <v>0</v>
      </c>
      <c r="M168" s="126">
        <v>0.51269564550380575</v>
      </c>
      <c r="N168" s="126">
        <v>1.0019357013103525E-2</v>
      </c>
    </row>
    <row r="169" spans="1:14" x14ac:dyDescent="0.2">
      <c r="A169" s="44">
        <v>167</v>
      </c>
      <c r="B169" t="s">
        <v>184</v>
      </c>
      <c r="C169" s="44">
        <v>20230707</v>
      </c>
      <c r="D169" s="44">
        <v>458</v>
      </c>
      <c r="E169" s="40">
        <v>30074.085620290865</v>
      </c>
      <c r="F169" s="40">
        <v>149.40338099999997</v>
      </c>
      <c r="G169" s="126">
        <v>0.10040938485116718</v>
      </c>
      <c r="H169" s="129">
        <v>2.9849264485968061E-2</v>
      </c>
      <c r="I169" s="40">
        <v>505.98044650552066</v>
      </c>
      <c r="J169" s="40">
        <v>196.70192583126311</v>
      </c>
      <c r="K169" s="44">
        <v>0</v>
      </c>
      <c r="L169" s="44">
        <v>0</v>
      </c>
      <c r="M169" s="129">
        <v>0.80829747562158971</v>
      </c>
      <c r="N169" s="129">
        <v>2.1914526868540674E-2</v>
      </c>
    </row>
    <row r="170" spans="1:14" x14ac:dyDescent="0.2">
      <c r="A170" s="44">
        <v>168</v>
      </c>
      <c r="B170" t="s">
        <v>184</v>
      </c>
      <c r="C170" s="44">
        <v>20230707</v>
      </c>
      <c r="D170" s="44">
        <v>478</v>
      </c>
      <c r="E170" s="40">
        <v>30074.085620290865</v>
      </c>
      <c r="F170" s="40">
        <v>165.74786420000001</v>
      </c>
      <c r="G170" s="126">
        <v>0.10040938485116718</v>
      </c>
      <c r="H170" s="129">
        <v>2.9849264485968061E-2</v>
      </c>
      <c r="I170" s="40">
        <v>505.98044650552066</v>
      </c>
      <c r="J170" s="40">
        <v>196.70192583126311</v>
      </c>
      <c r="K170" s="44">
        <v>0</v>
      </c>
      <c r="L170" s="44">
        <v>0</v>
      </c>
      <c r="M170" s="129">
        <v>0.97172972736119811</v>
      </c>
      <c r="N170" s="129">
        <v>9.0059746809261099E-2</v>
      </c>
    </row>
    <row r="171" spans="1:14" x14ac:dyDescent="0.2">
      <c r="A171" s="44">
        <v>169</v>
      </c>
      <c r="B171" t="s">
        <v>184</v>
      </c>
      <c r="C171" s="44">
        <v>20230707</v>
      </c>
      <c r="D171" s="44">
        <v>490</v>
      </c>
      <c r="E171" s="40">
        <v>30074.085620290865</v>
      </c>
      <c r="F171" s="40">
        <v>183.25448640000002</v>
      </c>
      <c r="G171" s="126">
        <v>0.10040938485116718</v>
      </c>
      <c r="H171" s="126">
        <v>2.9849264485968061E-2</v>
      </c>
      <c r="I171" s="40">
        <v>505.98044650552066</v>
      </c>
      <c r="J171" s="40">
        <v>196.70192583126311</v>
      </c>
      <c r="K171" s="44">
        <v>0</v>
      </c>
      <c r="L171" s="44">
        <v>0</v>
      </c>
      <c r="M171" s="126">
        <v>0.99918105246313049</v>
      </c>
      <c r="N171" s="126">
        <v>0.22894490524705169</v>
      </c>
    </row>
    <row r="172" spans="1:14" x14ac:dyDescent="0.2">
      <c r="A172" s="44">
        <v>170</v>
      </c>
      <c r="B172" t="s">
        <v>184</v>
      </c>
      <c r="C172" s="44">
        <v>20230707</v>
      </c>
      <c r="D172" s="44">
        <v>513</v>
      </c>
      <c r="E172" s="40">
        <v>30074.085620290865</v>
      </c>
      <c r="F172" s="40">
        <v>196.30868933333338</v>
      </c>
      <c r="G172" s="126">
        <v>0.10040938485116718</v>
      </c>
      <c r="H172" s="129">
        <v>2.9849264485968061E-2</v>
      </c>
      <c r="I172" s="40">
        <v>505.98044650552066</v>
      </c>
      <c r="J172" s="40">
        <v>196.70192583126311</v>
      </c>
      <c r="K172" s="44">
        <v>0</v>
      </c>
      <c r="L172" s="44">
        <v>0</v>
      </c>
      <c r="M172" s="129">
        <v>1.0004020596659737</v>
      </c>
      <c r="N172" s="129">
        <v>0.26506238774477131</v>
      </c>
    </row>
    <row r="173" spans="1:14" x14ac:dyDescent="0.2">
      <c r="A173" s="44">
        <v>171</v>
      </c>
      <c r="B173" t="s">
        <v>186</v>
      </c>
      <c r="C173" s="44">
        <v>20230801</v>
      </c>
      <c r="D173" s="44">
        <v>233</v>
      </c>
      <c r="E173" s="40">
        <v>30130.025197608411</v>
      </c>
      <c r="F173" s="40">
        <v>280.76934840000007</v>
      </c>
      <c r="G173" s="126">
        <v>0</v>
      </c>
      <c r="H173" s="126">
        <v>2.9793846170595484E-2</v>
      </c>
      <c r="I173" s="40">
        <v>993.33327061189698</v>
      </c>
      <c r="J173" s="40"/>
      <c r="K173" s="44">
        <v>0</v>
      </c>
      <c r="L173" s="44">
        <v>0</v>
      </c>
      <c r="M173" s="126">
        <v>4.7515125247648796E-2</v>
      </c>
      <c r="N173" s="126"/>
    </row>
    <row r="174" spans="1:14" x14ac:dyDescent="0.2">
      <c r="A174" s="44">
        <v>172</v>
      </c>
      <c r="B174" t="s">
        <v>186</v>
      </c>
      <c r="C174" s="44">
        <v>20230801</v>
      </c>
      <c r="D174" s="44">
        <v>241</v>
      </c>
      <c r="E174" s="40">
        <v>30130.025197608411</v>
      </c>
      <c r="F174" s="40">
        <v>229.81322733333337</v>
      </c>
      <c r="G174" s="126">
        <v>0</v>
      </c>
      <c r="H174" s="126">
        <v>2.9793846170595484E-2</v>
      </c>
      <c r="I174" s="40">
        <v>993.33327061189698</v>
      </c>
      <c r="J174" s="40"/>
      <c r="K174" s="44">
        <v>0</v>
      </c>
      <c r="L174" s="44">
        <v>0</v>
      </c>
      <c r="M174" s="126">
        <v>1.045688466080835E-2</v>
      </c>
      <c r="N174" s="126"/>
    </row>
    <row r="175" spans="1:14" x14ac:dyDescent="0.2">
      <c r="A175" s="44">
        <v>173</v>
      </c>
      <c r="B175" t="s">
        <v>186</v>
      </c>
      <c r="C175" s="44">
        <v>20230801</v>
      </c>
      <c r="D175" s="44">
        <v>290</v>
      </c>
      <c r="E175" s="40">
        <v>30024.664855736544</v>
      </c>
      <c r="F175" s="125">
        <v>141.6119386</v>
      </c>
      <c r="G175" s="126">
        <v>0.10015137310894343</v>
      </c>
      <c r="H175" s="129">
        <v>0</v>
      </c>
      <c r="I175" s="125">
        <v>996.81900254220272</v>
      </c>
      <c r="J175" s="125">
        <v>0</v>
      </c>
      <c r="K175" s="44">
        <v>0</v>
      </c>
      <c r="L175" s="44">
        <v>0</v>
      </c>
      <c r="M175" s="129">
        <v>2.3269639842906583E-2</v>
      </c>
      <c r="N175" s="129">
        <v>0</v>
      </c>
    </row>
    <row r="176" spans="1:14" x14ac:dyDescent="0.2">
      <c r="A176" s="44">
        <v>174</v>
      </c>
      <c r="B176" t="s">
        <v>186</v>
      </c>
      <c r="C176" s="44">
        <v>20230801</v>
      </c>
      <c r="D176" s="44">
        <v>329</v>
      </c>
      <c r="E176" s="40">
        <v>30024.664855736544</v>
      </c>
      <c r="F176" s="125">
        <v>195.82101443333329</v>
      </c>
      <c r="G176" s="126">
        <v>0.10015137310894343</v>
      </c>
      <c r="H176" s="129">
        <v>0</v>
      </c>
      <c r="I176" s="125">
        <v>996.81900254220272</v>
      </c>
      <c r="J176" s="125">
        <v>0</v>
      </c>
      <c r="K176" s="44">
        <v>0</v>
      </c>
      <c r="L176" s="44">
        <v>0</v>
      </c>
      <c r="M176" s="129">
        <v>2.8624508052085204E-2</v>
      </c>
      <c r="N176" s="44">
        <v>0</v>
      </c>
    </row>
    <row r="177" spans="1:14" x14ac:dyDescent="0.2">
      <c r="A177" s="44">
        <v>175</v>
      </c>
      <c r="B177" t="s">
        <v>186</v>
      </c>
      <c r="C177" s="44">
        <v>20230801</v>
      </c>
      <c r="D177" s="44">
        <v>343</v>
      </c>
      <c r="E177" s="40">
        <v>30024.664855736544</v>
      </c>
      <c r="F177" s="125">
        <v>203.60623180000005</v>
      </c>
      <c r="G177" s="126">
        <v>0.10015137310894343</v>
      </c>
      <c r="H177" s="129">
        <v>0</v>
      </c>
      <c r="I177" s="125">
        <v>996.81900254220272</v>
      </c>
      <c r="J177" s="125">
        <v>0</v>
      </c>
      <c r="K177" s="44">
        <v>0</v>
      </c>
      <c r="L177" s="44">
        <v>0</v>
      </c>
      <c r="M177" s="129">
        <v>4.0188350098566923E-2</v>
      </c>
      <c r="N177" s="44">
        <v>0</v>
      </c>
    </row>
    <row r="178" spans="1:14" x14ac:dyDescent="0.2">
      <c r="A178" s="44">
        <v>176</v>
      </c>
      <c r="B178" t="s">
        <v>110</v>
      </c>
      <c r="C178" s="44">
        <v>20230804</v>
      </c>
      <c r="D178" s="44">
        <v>168</v>
      </c>
      <c r="E178" s="40">
        <v>30130.025197608411</v>
      </c>
      <c r="F178" s="125">
        <v>280.48297079999986</v>
      </c>
      <c r="G178" s="45">
        <v>0</v>
      </c>
      <c r="H178" s="126">
        <v>2.9793846170595484E-2</v>
      </c>
      <c r="I178" s="130">
        <v>993.33327061189698</v>
      </c>
      <c r="J178" s="44"/>
      <c r="K178" s="44">
        <v>0</v>
      </c>
      <c r="L178" s="44">
        <v>0</v>
      </c>
      <c r="M178" s="129">
        <v>0.97286873195731827</v>
      </c>
      <c r="N178" s="44"/>
    </row>
    <row r="179" spans="1:14" x14ac:dyDescent="0.2">
      <c r="A179" s="44">
        <v>177</v>
      </c>
      <c r="B179" t="s">
        <v>110</v>
      </c>
      <c r="C179" s="44">
        <v>20230804</v>
      </c>
      <c r="D179" s="44">
        <v>184</v>
      </c>
      <c r="E179" s="40">
        <v>30130.025197608411</v>
      </c>
      <c r="F179" s="125">
        <v>268.85650643333338</v>
      </c>
      <c r="G179" s="45">
        <v>0</v>
      </c>
      <c r="H179" s="126">
        <v>2.9793846170595484E-2</v>
      </c>
      <c r="I179" s="130">
        <v>993.33327061189698</v>
      </c>
      <c r="J179" s="44"/>
      <c r="K179" s="44">
        <v>0</v>
      </c>
      <c r="L179" s="44">
        <v>0</v>
      </c>
      <c r="M179" s="129">
        <v>0.97098829465294312</v>
      </c>
      <c r="N179" s="44"/>
    </row>
    <row r="180" spans="1:14" x14ac:dyDescent="0.2">
      <c r="A180" s="44">
        <v>178</v>
      </c>
      <c r="B180" t="s">
        <v>110</v>
      </c>
      <c r="C180" s="44">
        <v>20230804</v>
      </c>
      <c r="D180" s="44">
        <v>200</v>
      </c>
      <c r="E180" s="40">
        <v>30130.025197608411</v>
      </c>
      <c r="F180" s="125">
        <v>256.42071539999989</v>
      </c>
      <c r="G180" s="45">
        <v>0</v>
      </c>
      <c r="H180" s="126">
        <v>2.9793846170595484E-2</v>
      </c>
      <c r="I180" s="130">
        <v>993.33327061189698</v>
      </c>
      <c r="J180" s="44"/>
      <c r="K180" s="44">
        <v>0</v>
      </c>
      <c r="L180" s="44">
        <v>0</v>
      </c>
      <c r="M180" s="129">
        <v>0.96903228397040575</v>
      </c>
      <c r="N180" s="44"/>
    </row>
    <row r="181" spans="1:14" x14ac:dyDescent="0.2">
      <c r="A181" s="44">
        <v>179</v>
      </c>
      <c r="B181" t="s">
        <v>110</v>
      </c>
      <c r="C181" s="44">
        <v>20230804</v>
      </c>
      <c r="D181" s="44">
        <v>235</v>
      </c>
      <c r="E181" s="40">
        <v>30130.025197608411</v>
      </c>
      <c r="F181" s="125">
        <v>231.15695199999985</v>
      </c>
      <c r="G181" s="45">
        <v>0</v>
      </c>
      <c r="H181" s="126">
        <v>2.9793846170595484E-2</v>
      </c>
      <c r="I181" s="130">
        <v>993.33327061189698</v>
      </c>
      <c r="J181" s="44"/>
      <c r="K181" s="44">
        <v>0</v>
      </c>
      <c r="L181" s="44">
        <v>0</v>
      </c>
      <c r="M181" s="129">
        <v>0.9554608018637909</v>
      </c>
      <c r="N181" s="44"/>
    </row>
    <row r="182" spans="1:14" x14ac:dyDescent="0.2">
      <c r="A182" s="44">
        <v>180</v>
      </c>
      <c r="B182" t="s">
        <v>110</v>
      </c>
      <c r="C182" s="44">
        <v>20230804</v>
      </c>
      <c r="D182" s="44">
        <v>253</v>
      </c>
      <c r="E182" s="40">
        <v>30130.025197608411</v>
      </c>
      <c r="F182" s="125">
        <v>217.84020960000009</v>
      </c>
      <c r="G182" s="45">
        <v>0</v>
      </c>
      <c r="H182" s="129">
        <v>2.9793846170595484E-2</v>
      </c>
      <c r="I182" s="40">
        <v>993.33327061189698</v>
      </c>
      <c r="J182" s="44"/>
      <c r="K182" s="44">
        <v>0</v>
      </c>
      <c r="L182" s="44">
        <v>0</v>
      </c>
      <c r="M182" s="129">
        <v>0.89190856821657449</v>
      </c>
      <c r="N182" s="44"/>
    </row>
    <row r="183" spans="1:14" x14ac:dyDescent="0.2">
      <c r="A183" s="44">
        <v>181</v>
      </c>
      <c r="B183" t="s">
        <v>110</v>
      </c>
      <c r="C183" s="44">
        <v>20230804</v>
      </c>
      <c r="D183" s="44">
        <v>266</v>
      </c>
      <c r="E183" s="40">
        <v>30130.025197608411</v>
      </c>
      <c r="F183" s="125">
        <v>204.26614343333324</v>
      </c>
      <c r="G183" s="45">
        <v>0</v>
      </c>
      <c r="H183" s="126">
        <v>2.9793846170595484E-2</v>
      </c>
      <c r="I183" s="130">
        <v>993.33327061189698</v>
      </c>
      <c r="J183" s="44"/>
      <c r="K183" s="44">
        <v>0</v>
      </c>
      <c r="L183" s="44">
        <v>0</v>
      </c>
      <c r="M183" s="129">
        <v>0.7833759624092872</v>
      </c>
      <c r="N183" s="44"/>
    </row>
    <row r="184" spans="1:14" x14ac:dyDescent="0.2">
      <c r="A184" s="44">
        <v>182</v>
      </c>
      <c r="B184" t="s">
        <v>110</v>
      </c>
      <c r="C184" s="44">
        <v>20230804</v>
      </c>
      <c r="D184" s="44">
        <v>281</v>
      </c>
      <c r="E184" s="40">
        <v>30130.025197608411</v>
      </c>
      <c r="F184" s="125">
        <v>191.22231976666677</v>
      </c>
      <c r="G184" s="45">
        <v>0</v>
      </c>
      <c r="H184" s="126">
        <v>2.9793846170595484E-2</v>
      </c>
      <c r="I184" s="130">
        <v>993.33327061189698</v>
      </c>
      <c r="J184" s="44"/>
      <c r="K184" s="44">
        <v>0</v>
      </c>
      <c r="L184" s="44">
        <v>0</v>
      </c>
      <c r="M184" s="129">
        <v>0.64923025744377605</v>
      </c>
      <c r="N184" s="44"/>
    </row>
    <row r="185" spans="1:14" x14ac:dyDescent="0.2">
      <c r="A185" s="44">
        <v>183</v>
      </c>
      <c r="B185" t="s">
        <v>110</v>
      </c>
      <c r="C185" s="44">
        <v>20230804</v>
      </c>
      <c r="D185" s="44">
        <v>296</v>
      </c>
      <c r="E185" s="40">
        <v>30130.025197608411</v>
      </c>
      <c r="F185" s="125">
        <v>177.61920180000004</v>
      </c>
      <c r="G185" s="45">
        <v>0</v>
      </c>
      <c r="H185" s="126">
        <v>2.9793846170595484E-2</v>
      </c>
      <c r="I185" s="130">
        <v>993.33327061189698</v>
      </c>
      <c r="J185" s="44"/>
      <c r="K185" s="44">
        <v>0</v>
      </c>
      <c r="L185" s="44">
        <v>0</v>
      </c>
      <c r="M185" s="129">
        <v>0.47607190082591366</v>
      </c>
      <c r="N185" s="44"/>
    </row>
    <row r="186" spans="1:14" x14ac:dyDescent="0.2">
      <c r="A186" s="44">
        <v>184</v>
      </c>
      <c r="B186" t="s">
        <v>110</v>
      </c>
      <c r="C186" s="44">
        <v>20230804</v>
      </c>
      <c r="D186" s="44">
        <v>313</v>
      </c>
      <c r="E186" s="40">
        <v>30130.025197608411</v>
      </c>
      <c r="F186" s="125">
        <v>164.6728818</v>
      </c>
      <c r="G186" s="45">
        <v>0</v>
      </c>
      <c r="H186" s="126">
        <v>2.9793846170595484E-2</v>
      </c>
      <c r="I186" s="130">
        <v>993.33327061189698</v>
      </c>
      <c r="J186" s="44"/>
      <c r="K186" s="44">
        <v>0</v>
      </c>
      <c r="L186" s="44">
        <v>0</v>
      </c>
      <c r="M186" s="129">
        <v>0.32987815095291745</v>
      </c>
      <c r="N186" s="44"/>
    </row>
    <row r="187" spans="1:14" x14ac:dyDescent="0.2">
      <c r="A187" s="44">
        <v>185</v>
      </c>
      <c r="B187" t="s">
        <v>110</v>
      </c>
      <c r="C187" s="44">
        <v>20230804</v>
      </c>
      <c r="D187" s="44">
        <v>327</v>
      </c>
      <c r="E187" s="40">
        <v>30130.025197608411</v>
      </c>
      <c r="F187" s="125">
        <v>151.49417100000002</v>
      </c>
      <c r="G187" s="45">
        <v>0</v>
      </c>
      <c r="H187" s="126">
        <v>2.9793846170595484E-2</v>
      </c>
      <c r="I187" s="130">
        <v>993.33327061189698</v>
      </c>
      <c r="J187" s="44"/>
      <c r="K187" s="44">
        <v>0</v>
      </c>
      <c r="L187" s="44">
        <v>0</v>
      </c>
      <c r="M187" s="129">
        <v>0.23338089361577763</v>
      </c>
      <c r="N187" s="44"/>
    </row>
    <row r="188" spans="1:14" x14ac:dyDescent="0.2">
      <c r="A188" s="44">
        <v>186</v>
      </c>
      <c r="B188" t="s">
        <v>110</v>
      </c>
      <c r="C188" s="44">
        <v>20230804</v>
      </c>
      <c r="D188" s="44">
        <v>338</v>
      </c>
      <c r="E188" s="40">
        <v>30130.025197608411</v>
      </c>
      <c r="F188" s="125">
        <v>138.72112999999996</v>
      </c>
      <c r="G188" s="45">
        <v>0</v>
      </c>
      <c r="H188" s="126">
        <v>2.9793846170595484E-2</v>
      </c>
      <c r="I188" s="130">
        <v>993.33327061189698</v>
      </c>
      <c r="J188" s="44"/>
      <c r="K188" s="44">
        <v>0</v>
      </c>
      <c r="L188" s="44">
        <v>0</v>
      </c>
      <c r="M188" s="129">
        <v>0.16780652071387628</v>
      </c>
      <c r="N188" s="44"/>
    </row>
    <row r="189" spans="1:14" x14ac:dyDescent="0.2">
      <c r="A189" s="44">
        <v>187</v>
      </c>
      <c r="B189" t="s">
        <v>110</v>
      </c>
      <c r="C189" s="44">
        <v>20230804</v>
      </c>
      <c r="D189" s="44">
        <v>352</v>
      </c>
      <c r="E189" s="40">
        <v>30130.025197608411</v>
      </c>
      <c r="F189" s="125">
        <v>126.9276124000001</v>
      </c>
      <c r="G189" s="45">
        <v>0</v>
      </c>
      <c r="H189" s="126">
        <v>2.9793846170595484E-2</v>
      </c>
      <c r="I189" s="130">
        <v>993.33327061189698</v>
      </c>
      <c r="J189" s="44"/>
      <c r="K189" s="44">
        <v>0</v>
      </c>
      <c r="L189" s="44">
        <v>0</v>
      </c>
      <c r="M189" s="129">
        <v>0.11555701962737314</v>
      </c>
      <c r="N189" s="44"/>
    </row>
    <row r="190" spans="1:14" x14ac:dyDescent="0.2">
      <c r="A190" s="44">
        <v>188</v>
      </c>
      <c r="B190" t="s">
        <v>110</v>
      </c>
      <c r="C190" s="44">
        <v>20230804</v>
      </c>
      <c r="D190" s="44">
        <v>365</v>
      </c>
      <c r="E190" s="40">
        <v>30130.025197608411</v>
      </c>
      <c r="F190" s="125">
        <v>115.686127</v>
      </c>
      <c r="G190" s="45">
        <v>0</v>
      </c>
      <c r="H190" s="126">
        <v>2.9793846170595484E-2</v>
      </c>
      <c r="I190" s="130">
        <v>993.33327061189698</v>
      </c>
      <c r="J190" s="44"/>
      <c r="K190" s="44">
        <v>0</v>
      </c>
      <c r="L190" s="44">
        <v>0</v>
      </c>
      <c r="M190" s="129">
        <v>8.4034977562350746E-2</v>
      </c>
      <c r="N190" s="44"/>
    </row>
    <row r="191" spans="1:14" x14ac:dyDescent="0.2">
      <c r="A191" s="44">
        <v>189</v>
      </c>
      <c r="B191" t="s">
        <v>110</v>
      </c>
      <c r="C191" s="44">
        <v>20230804</v>
      </c>
      <c r="D191" s="44">
        <v>384</v>
      </c>
      <c r="E191" s="40">
        <v>30024.664855736544</v>
      </c>
      <c r="F191" s="40">
        <v>163.92788290000001</v>
      </c>
      <c r="G191" s="126">
        <v>0.10015137310894343</v>
      </c>
      <c r="H191" s="126">
        <v>0</v>
      </c>
      <c r="I191" s="40">
        <v>996.81900254220272</v>
      </c>
      <c r="J191" s="40">
        <v>0</v>
      </c>
      <c r="K191" s="44">
        <v>0</v>
      </c>
      <c r="L191" s="44">
        <v>0</v>
      </c>
      <c r="M191" s="126">
        <v>0.97474478438835221</v>
      </c>
      <c r="N191" s="126">
        <v>0</v>
      </c>
    </row>
    <row r="192" spans="1:14" x14ac:dyDescent="0.2">
      <c r="A192" s="44">
        <v>190</v>
      </c>
      <c r="B192" t="s">
        <v>110</v>
      </c>
      <c r="C192" s="44">
        <v>20230804</v>
      </c>
      <c r="D192" s="44">
        <v>388</v>
      </c>
      <c r="E192" s="40">
        <v>30024.664855736544</v>
      </c>
      <c r="F192" s="40">
        <v>149.67107743333332</v>
      </c>
      <c r="G192" s="126">
        <v>0.10015137310894343</v>
      </c>
      <c r="H192" s="126">
        <v>0</v>
      </c>
      <c r="I192" s="40">
        <v>996.81900254220272</v>
      </c>
      <c r="J192" s="40">
        <v>0</v>
      </c>
      <c r="K192" s="44">
        <v>0</v>
      </c>
      <c r="L192" s="44">
        <v>0</v>
      </c>
      <c r="M192" s="126">
        <v>0.96953183506145058</v>
      </c>
      <c r="N192" s="126">
        <v>0</v>
      </c>
    </row>
    <row r="193" spans="1:14" x14ac:dyDescent="0.2">
      <c r="A193" s="44">
        <v>191</v>
      </c>
      <c r="B193" t="s">
        <v>110</v>
      </c>
      <c r="C193" s="44">
        <v>20230804</v>
      </c>
      <c r="D193" s="44">
        <v>401</v>
      </c>
      <c r="E193" s="40">
        <v>30024.664855736544</v>
      </c>
      <c r="F193" s="40">
        <v>144.60128786666667</v>
      </c>
      <c r="G193" s="126">
        <v>0.10015137310894343</v>
      </c>
      <c r="H193" s="126">
        <v>0</v>
      </c>
      <c r="I193" s="40">
        <v>996.81900254220272</v>
      </c>
      <c r="J193" s="40">
        <v>0</v>
      </c>
      <c r="K193" s="44">
        <v>0</v>
      </c>
      <c r="L193" s="44">
        <v>0</v>
      </c>
      <c r="M193" s="126">
        <v>0.96251547496541379</v>
      </c>
      <c r="N193" s="126">
        <v>0</v>
      </c>
    </row>
    <row r="194" spans="1:14" x14ac:dyDescent="0.2">
      <c r="A194" s="44">
        <v>192</v>
      </c>
      <c r="B194" t="s">
        <v>110</v>
      </c>
      <c r="C194" s="44">
        <v>20230804</v>
      </c>
      <c r="D194" s="44">
        <v>417</v>
      </c>
      <c r="E194" s="40">
        <v>30024.664855736544</v>
      </c>
      <c r="F194" s="40">
        <v>127.55538940000007</v>
      </c>
      <c r="G194" s="126">
        <v>0.10015137310894343</v>
      </c>
      <c r="H194" s="126">
        <v>0</v>
      </c>
      <c r="I194" s="40">
        <v>996.81900254220272</v>
      </c>
      <c r="J194" s="40">
        <v>0</v>
      </c>
      <c r="K194" s="44">
        <v>0</v>
      </c>
      <c r="L194" s="44">
        <v>0</v>
      </c>
      <c r="M194" s="126">
        <v>0.82318862797384018</v>
      </c>
      <c r="N194" s="126">
        <v>0</v>
      </c>
    </row>
    <row r="195" spans="1:14" x14ac:dyDescent="0.2">
      <c r="A195" s="44">
        <v>193</v>
      </c>
      <c r="B195" t="s">
        <v>110</v>
      </c>
      <c r="C195" s="44">
        <v>20230804</v>
      </c>
      <c r="D195" s="44">
        <v>438</v>
      </c>
      <c r="E195" s="40">
        <v>30024.664855736544</v>
      </c>
      <c r="F195" s="40">
        <v>110.11309840000004</v>
      </c>
      <c r="G195" s="126">
        <v>0.10015137310894343</v>
      </c>
      <c r="H195" s="126">
        <v>0</v>
      </c>
      <c r="I195" s="40">
        <v>996.81900254220272</v>
      </c>
      <c r="J195" s="40">
        <v>0</v>
      </c>
      <c r="K195" s="44">
        <v>0</v>
      </c>
      <c r="L195" s="44">
        <v>0</v>
      </c>
      <c r="M195" s="126">
        <v>0.55167533374684696</v>
      </c>
      <c r="N195" s="126">
        <v>0</v>
      </c>
    </row>
    <row r="196" spans="1:14" x14ac:dyDescent="0.2">
      <c r="A196" s="44">
        <v>194</v>
      </c>
      <c r="B196" t="s">
        <v>110</v>
      </c>
      <c r="C196" s="44">
        <v>20230804</v>
      </c>
      <c r="D196" s="44">
        <v>456</v>
      </c>
      <c r="E196" s="40">
        <v>30024.664855736544</v>
      </c>
      <c r="F196" s="40">
        <v>93.535140200000015</v>
      </c>
      <c r="G196" s="126">
        <v>0.10015137310894343</v>
      </c>
      <c r="H196" s="126">
        <v>0</v>
      </c>
      <c r="I196" s="40">
        <v>996.81900254220272</v>
      </c>
      <c r="J196" s="40">
        <v>0</v>
      </c>
      <c r="K196" s="44">
        <v>0</v>
      </c>
      <c r="L196" s="44">
        <v>0</v>
      </c>
      <c r="M196" s="126">
        <v>0.28053880597067554</v>
      </c>
      <c r="N196" s="126">
        <v>0</v>
      </c>
    </row>
    <row r="197" spans="1:14" x14ac:dyDescent="0.2">
      <c r="A197" s="44">
        <v>195</v>
      </c>
      <c r="B197" t="s">
        <v>110</v>
      </c>
      <c r="C197" s="44">
        <v>20230804</v>
      </c>
      <c r="D197" s="44">
        <v>468</v>
      </c>
      <c r="E197" s="40">
        <v>30024.664855736544</v>
      </c>
      <c r="F197" s="40">
        <v>80.649017366666627</v>
      </c>
      <c r="G197" s="126">
        <v>0.10015137310894343</v>
      </c>
      <c r="H197" s="126">
        <v>0</v>
      </c>
      <c r="I197" s="40">
        <v>996.81900254220272</v>
      </c>
      <c r="J197" s="40">
        <v>0</v>
      </c>
      <c r="K197" s="44">
        <v>0</v>
      </c>
      <c r="L197" s="44">
        <v>0</v>
      </c>
      <c r="M197" s="126">
        <v>0.18184834507624575</v>
      </c>
      <c r="N197" s="126">
        <v>0</v>
      </c>
    </row>
    <row r="198" spans="1:14" x14ac:dyDescent="0.2">
      <c r="A198" s="44">
        <v>196</v>
      </c>
      <c r="B198" t="s">
        <v>110</v>
      </c>
      <c r="C198" s="44">
        <v>20230804</v>
      </c>
      <c r="D198" s="44">
        <v>477</v>
      </c>
      <c r="E198" s="40">
        <v>30024.664855736544</v>
      </c>
      <c r="F198" s="40">
        <v>69.568337133333344</v>
      </c>
      <c r="G198" s="126">
        <v>0.10015137310894343</v>
      </c>
      <c r="H198" s="126">
        <v>0</v>
      </c>
      <c r="I198" s="40">
        <v>996.81900254220272</v>
      </c>
      <c r="J198" s="40">
        <v>0</v>
      </c>
      <c r="K198" s="44">
        <v>0</v>
      </c>
      <c r="L198" s="44">
        <v>0</v>
      </c>
      <c r="M198" s="126">
        <v>0.12007429959657419</v>
      </c>
      <c r="N198" s="126">
        <v>0</v>
      </c>
    </row>
    <row r="199" spans="1:14" x14ac:dyDescent="0.2">
      <c r="A199" s="44">
        <v>197</v>
      </c>
      <c r="B199" t="s">
        <v>185</v>
      </c>
      <c r="C199" s="44">
        <v>20230811</v>
      </c>
      <c r="D199" s="44">
        <v>170</v>
      </c>
      <c r="E199" s="40">
        <v>30130.025197608411</v>
      </c>
      <c r="F199" s="125">
        <v>280.60437003333334</v>
      </c>
      <c r="G199" s="45">
        <v>0</v>
      </c>
      <c r="H199" s="126">
        <v>2.9793846170595484E-2</v>
      </c>
      <c r="I199" s="130">
        <v>993.33327061189698</v>
      </c>
      <c r="J199" s="44"/>
      <c r="K199" s="44">
        <v>0</v>
      </c>
      <c r="L199" s="44">
        <v>0</v>
      </c>
      <c r="M199" s="129">
        <v>0.99949617245635658</v>
      </c>
      <c r="N199" s="44"/>
    </row>
    <row r="200" spans="1:14" x14ac:dyDescent="0.2">
      <c r="A200" s="44">
        <v>198</v>
      </c>
      <c r="B200" t="s">
        <v>185</v>
      </c>
      <c r="C200" s="44">
        <v>20230811</v>
      </c>
      <c r="D200" s="44">
        <v>182</v>
      </c>
      <c r="E200" s="40">
        <v>30130.025197608411</v>
      </c>
      <c r="F200" s="125">
        <v>268.55664040000005</v>
      </c>
      <c r="G200" s="45">
        <v>0</v>
      </c>
      <c r="H200" s="126">
        <v>2.9793846170595484E-2</v>
      </c>
      <c r="I200" s="130">
        <v>993.33327061189698</v>
      </c>
      <c r="J200" s="44"/>
      <c r="K200" s="44">
        <v>0</v>
      </c>
      <c r="L200" s="44">
        <v>0</v>
      </c>
      <c r="M200" s="129">
        <v>0.99400172179591406</v>
      </c>
      <c r="N200" s="44"/>
    </row>
    <row r="201" spans="1:14" x14ac:dyDescent="0.2">
      <c r="A201" s="44">
        <v>199</v>
      </c>
      <c r="B201" t="s">
        <v>185</v>
      </c>
      <c r="C201" s="44">
        <v>20230811</v>
      </c>
      <c r="D201" s="44">
        <v>200</v>
      </c>
      <c r="E201" s="40">
        <v>30130.025197608411</v>
      </c>
      <c r="F201" s="125">
        <v>256.42071539999989</v>
      </c>
      <c r="G201" s="45">
        <v>0</v>
      </c>
      <c r="H201" s="126">
        <v>2.9793846170595484E-2</v>
      </c>
      <c r="I201" s="130">
        <v>993.33327061189698</v>
      </c>
      <c r="J201" s="44"/>
      <c r="K201" s="44">
        <v>0</v>
      </c>
      <c r="L201" s="44">
        <v>0</v>
      </c>
      <c r="M201" s="129">
        <v>0.91542103018950005</v>
      </c>
      <c r="N201" s="44"/>
    </row>
    <row r="202" spans="1:14" x14ac:dyDescent="0.2">
      <c r="A202" s="44">
        <v>200</v>
      </c>
      <c r="B202" t="s">
        <v>185</v>
      </c>
      <c r="C202" s="44">
        <v>20230811</v>
      </c>
      <c r="D202" s="44">
        <v>212</v>
      </c>
      <c r="E202" s="40">
        <v>30130.025197608411</v>
      </c>
      <c r="F202" s="125">
        <v>241.40335083333332</v>
      </c>
      <c r="G202" s="45">
        <v>0</v>
      </c>
      <c r="H202" s="126">
        <v>2.9793846170595484E-2</v>
      </c>
      <c r="I202" s="130">
        <v>993.33327061189698</v>
      </c>
      <c r="J202" s="44"/>
      <c r="K202" s="44">
        <v>0</v>
      </c>
      <c r="L202" s="44">
        <v>0</v>
      </c>
      <c r="M202" s="129">
        <v>0.67842630941265614</v>
      </c>
      <c r="N202" s="44"/>
    </row>
    <row r="203" spans="1:14" x14ac:dyDescent="0.2">
      <c r="A203" s="44">
        <v>201</v>
      </c>
      <c r="B203" t="s">
        <v>185</v>
      </c>
      <c r="C203" s="44">
        <v>20230811</v>
      </c>
      <c r="D203" s="44">
        <v>236</v>
      </c>
      <c r="E203" s="40">
        <v>30130.025197608411</v>
      </c>
      <c r="F203" s="125">
        <v>231.07601220000001</v>
      </c>
      <c r="G203" s="45">
        <v>0</v>
      </c>
      <c r="H203" s="129">
        <v>2.9793846170595484E-2</v>
      </c>
      <c r="I203" s="40">
        <v>993.33327061189698</v>
      </c>
      <c r="J203" s="44"/>
      <c r="K203" s="44">
        <v>0</v>
      </c>
      <c r="L203" s="44">
        <v>0</v>
      </c>
      <c r="M203" s="129">
        <v>0.18182511876745297</v>
      </c>
      <c r="N203" s="44"/>
    </row>
    <row r="204" spans="1:14" x14ac:dyDescent="0.2">
      <c r="A204" s="44">
        <v>202</v>
      </c>
      <c r="B204" t="s">
        <v>185</v>
      </c>
      <c r="C204" s="44">
        <v>20230811</v>
      </c>
      <c r="D204" s="44">
        <v>254</v>
      </c>
      <c r="E204" s="40">
        <v>30130.025197608411</v>
      </c>
      <c r="F204" s="125">
        <v>216.98624890000008</v>
      </c>
      <c r="G204" s="45">
        <v>0</v>
      </c>
      <c r="H204" s="126">
        <v>2.9793846170595484E-2</v>
      </c>
      <c r="I204" s="130">
        <v>993.33327061189698</v>
      </c>
      <c r="J204" s="44"/>
      <c r="K204" s="44">
        <v>0</v>
      </c>
      <c r="L204" s="44">
        <v>0</v>
      </c>
      <c r="M204" s="129">
        <v>6.2082925484397068E-2</v>
      </c>
      <c r="N204" s="44"/>
    </row>
    <row r="205" spans="1:14" x14ac:dyDescent="0.2">
      <c r="A205" s="44">
        <v>203</v>
      </c>
      <c r="B205" t="s">
        <v>185</v>
      </c>
      <c r="C205" s="44">
        <v>20230811</v>
      </c>
      <c r="D205" s="44">
        <v>266</v>
      </c>
      <c r="E205" s="40">
        <v>30130.025197608411</v>
      </c>
      <c r="F205" s="125">
        <v>204.26614343333324</v>
      </c>
      <c r="G205" s="45">
        <v>0</v>
      </c>
      <c r="H205" s="126">
        <v>2.9793846170595484E-2</v>
      </c>
      <c r="I205" s="130">
        <v>993.33327061189698</v>
      </c>
      <c r="J205" s="44"/>
      <c r="K205" s="44">
        <v>0</v>
      </c>
      <c r="L205" s="44">
        <v>0</v>
      </c>
      <c r="M205" s="129">
        <v>2.887703811675868E-2</v>
      </c>
      <c r="N205" s="44"/>
    </row>
    <row r="206" spans="1:14" s="56" customFormat="1" x14ac:dyDescent="0.2">
      <c r="A206" s="58">
        <v>1000</v>
      </c>
      <c r="B206" s="56" t="s">
        <v>112</v>
      </c>
      <c r="C206" s="56" t="s">
        <v>112</v>
      </c>
      <c r="D206" s="56" t="s">
        <v>112</v>
      </c>
      <c r="E206" s="56" t="s">
        <v>112</v>
      </c>
      <c r="F206" s="56" t="s">
        <v>112</v>
      </c>
      <c r="G206" s="56" t="s">
        <v>112</v>
      </c>
      <c r="H206" s="56" t="s">
        <v>112</v>
      </c>
      <c r="I206" s="56" t="s">
        <v>112</v>
      </c>
      <c r="J206" s="56" t="s">
        <v>112</v>
      </c>
      <c r="K206" s="44">
        <v>0</v>
      </c>
      <c r="L206" s="44">
        <v>0</v>
      </c>
      <c r="M206" s="56" t="s">
        <v>112</v>
      </c>
      <c r="N206" s="56" t="s">
        <v>112</v>
      </c>
    </row>
    <row r="208" spans="1:14" x14ac:dyDescent="0.2">
      <c r="A208" s="118"/>
      <c r="B208" s="33"/>
      <c r="C208" s="118"/>
      <c r="D208" s="118"/>
      <c r="E208" s="119"/>
      <c r="F208" s="120"/>
      <c r="G208" s="121"/>
      <c r="H208" s="122"/>
      <c r="I208" s="118"/>
      <c r="J208" s="118"/>
      <c r="K208" s="118"/>
      <c r="L208" s="118"/>
      <c r="M208" s="123"/>
      <c r="N208" s="124"/>
    </row>
    <row r="212" spans="13:13" x14ac:dyDescent="0.2">
      <c r="M212" s="115"/>
    </row>
  </sheetData>
  <autoFilter ref="A2:N206" xr:uid="{64A53E14-E627-40AA-AFF8-F41F38BFEBC2}">
    <sortState xmlns:xlrd2="http://schemas.microsoft.com/office/spreadsheetml/2017/richdata2" ref="A3:N206">
      <sortCondition ref="A2:A206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T131"/>
  <sheetViews>
    <sheetView tabSelected="1" zoomScale="90" zoomScaleNormal="9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I87" sqref="AI87"/>
    </sheetView>
  </sheetViews>
  <sheetFormatPr baseColWidth="10" defaultColWidth="8.83203125" defaultRowHeight="15" x14ac:dyDescent="0.2"/>
  <cols>
    <col min="1" max="1" width="22.6640625" bestFit="1" customWidth="1"/>
    <col min="2" max="2" width="9.1640625" customWidth="1"/>
    <col min="3" max="3" width="9.1640625" style="3" customWidth="1"/>
    <col min="4" max="12" width="7.83203125" style="3" customWidth="1"/>
    <col min="13" max="13" width="9.1640625" customWidth="1"/>
    <col min="14" max="14" width="9.83203125" style="14" bestFit="1" customWidth="1"/>
    <col min="15" max="16" width="9.33203125" style="16" customWidth="1"/>
    <col min="17" max="17" width="3.33203125" style="38" customWidth="1"/>
    <col min="22" max="22" width="9.6640625" style="8" bestFit="1" customWidth="1"/>
    <col min="23" max="23" width="7.1640625" style="40" customWidth="1"/>
    <col min="25" max="26" width="9.33203125" style="16" customWidth="1"/>
    <col min="27" max="27" width="9.1640625" customWidth="1"/>
    <col min="28" max="28" width="3.33203125" style="38" customWidth="1"/>
    <col min="29" max="29" width="9.83203125" style="14" customWidth="1"/>
    <col min="30" max="30" width="7.1640625" style="40" customWidth="1"/>
    <col min="31" max="32" width="11.33203125" style="18" customWidth="1"/>
    <col min="33" max="33" width="9.33203125" customWidth="1"/>
    <col min="34" max="34" width="9" customWidth="1"/>
  </cols>
  <sheetData>
    <row r="1" spans="1:32" ht="19.25" customHeight="1" thickTop="1" x14ac:dyDescent="0.25">
      <c r="A1" s="76">
        <v>42</v>
      </c>
      <c r="E1" s="3" t="s">
        <v>44</v>
      </c>
      <c r="M1" t="s">
        <v>12</v>
      </c>
      <c r="N1" s="14" t="s">
        <v>11</v>
      </c>
      <c r="O1" s="14" t="s">
        <v>44</v>
      </c>
      <c r="P1" s="14" t="s">
        <v>77</v>
      </c>
      <c r="Q1" s="164" t="s">
        <v>80</v>
      </c>
      <c r="R1" s="81">
        <f>VLOOKUP(Case,Cases,13,FALSE)</f>
        <v>0.89461536134032194</v>
      </c>
      <c r="S1" s="81">
        <f>VLOOKUP(Case,Cases,14,FALSE)</f>
        <v>3.8625355623184254E-2</v>
      </c>
      <c r="V1" s="8" t="s">
        <v>20</v>
      </c>
      <c r="W1" s="40" t="s">
        <v>62</v>
      </c>
      <c r="X1" s="18" t="s">
        <v>20</v>
      </c>
      <c r="Y1" s="14" t="s">
        <v>44</v>
      </c>
      <c r="Z1" s="14" t="s">
        <v>77</v>
      </c>
      <c r="AA1" t="s">
        <v>24</v>
      </c>
      <c r="AB1" s="164" t="s">
        <v>79</v>
      </c>
      <c r="AC1" s="14" t="s">
        <v>20</v>
      </c>
      <c r="AD1" s="40" t="s">
        <v>62</v>
      </c>
      <c r="AE1" s="18" t="s">
        <v>20</v>
      </c>
    </row>
    <row r="2" spans="1:32" s="1" customFormat="1" ht="30" customHeight="1" x14ac:dyDescent="0.2">
      <c r="A2" s="1" t="s">
        <v>4</v>
      </c>
      <c r="B2" s="1" t="s">
        <v>5</v>
      </c>
      <c r="C2" s="2" t="s">
        <v>6</v>
      </c>
      <c r="D2" s="4" t="s">
        <v>7</v>
      </c>
      <c r="E2" s="4" t="s">
        <v>45</v>
      </c>
      <c r="F2" s="4" t="s">
        <v>46</v>
      </c>
      <c r="G2" s="4" t="s">
        <v>47</v>
      </c>
      <c r="H2" s="4" t="s">
        <v>48</v>
      </c>
      <c r="I2" s="4" t="s">
        <v>49</v>
      </c>
      <c r="J2" s="4" t="s">
        <v>50</v>
      </c>
      <c r="K2" s="4" t="s">
        <v>51</v>
      </c>
      <c r="L2" s="4" t="s">
        <v>61</v>
      </c>
      <c r="M2" s="1" t="s">
        <v>13</v>
      </c>
      <c r="N2" s="15" t="s">
        <v>22</v>
      </c>
      <c r="O2" s="1" t="s">
        <v>68</v>
      </c>
      <c r="P2" s="1" t="s">
        <v>78</v>
      </c>
      <c r="Q2" s="164"/>
      <c r="R2" s="37" t="s">
        <v>14</v>
      </c>
      <c r="S2" s="37" t="s">
        <v>15</v>
      </c>
      <c r="T2" s="37" t="s">
        <v>16</v>
      </c>
      <c r="U2" s="37" t="s">
        <v>17</v>
      </c>
      <c r="V2" s="82" t="s">
        <v>23</v>
      </c>
      <c r="W2" s="41" t="s">
        <v>28</v>
      </c>
      <c r="X2" s="26" t="s">
        <v>13</v>
      </c>
      <c r="Y2" s="1" t="s">
        <v>68</v>
      </c>
      <c r="Z2" s="1" t="s">
        <v>78</v>
      </c>
      <c r="AA2" s="75" t="s">
        <v>23</v>
      </c>
      <c r="AB2" s="164"/>
      <c r="AC2" s="75" t="s">
        <v>23</v>
      </c>
      <c r="AD2" s="41" t="s">
        <v>28</v>
      </c>
      <c r="AE2" s="26" t="s">
        <v>13</v>
      </c>
      <c r="AF2" s="96" t="s">
        <v>115</v>
      </c>
    </row>
    <row r="3" spans="1:32" x14ac:dyDescent="0.2">
      <c r="A3" t="s">
        <v>10</v>
      </c>
      <c r="B3" t="s">
        <v>32</v>
      </c>
      <c r="C3" s="3">
        <v>-252.9</v>
      </c>
      <c r="D3" s="3">
        <f>2*1.00794</f>
        <v>2.0158800000000001</v>
      </c>
      <c r="E3" s="35">
        <v>33.066178000000001</v>
      </c>
      <c r="F3" s="35">
        <v>-11.363417</v>
      </c>
      <c r="G3" s="35">
        <v>11.432816000000001</v>
      </c>
      <c r="H3" s="35">
        <v>-2.7728739999999998</v>
      </c>
      <c r="I3" s="35">
        <v>-0.158558</v>
      </c>
      <c r="J3" s="35">
        <v>-9.9807970000000008</v>
      </c>
      <c r="K3" s="35">
        <v>172.70797400000001</v>
      </c>
      <c r="L3" s="35">
        <v>0</v>
      </c>
      <c r="N3" s="73">
        <f t="shared" ref="N3:N10" si="0">$M$17/$M$11/22.4*M3</f>
        <v>0</v>
      </c>
      <c r="O3" s="48">
        <f t="shared" ref="O3:O10" si="1">$E3+$F3*$O$14+$G3*$O$14^2+$H3*$O$14^3+$I3*$O$14^-2</f>
        <v>29.195929466866733</v>
      </c>
      <c r="P3" s="48">
        <f t="shared" ref="P3:P10" si="2">$E3*O$14+$F3/2*O$14^2+$G3/3*O$14^3+$H3/4*O$14^4-$I3/O$14+$J3</f>
        <v>3.2811053515489874</v>
      </c>
      <c r="Q3" s="164"/>
      <c r="R3" s="30"/>
      <c r="S3" s="30"/>
      <c r="T3" s="30"/>
      <c r="U3" s="30"/>
      <c r="V3" s="73">
        <f>SUM(N3,R3:U3)</f>
        <v>0</v>
      </c>
      <c r="W3" s="42"/>
      <c r="X3" s="7">
        <f>+V3/$V$11</f>
        <v>0</v>
      </c>
      <c r="Y3" s="48">
        <f t="shared" ref="Y3:Y10" si="3">$E3+$F3*$O$14+$G3*$O$14^2+$H3*$O$14^3+$I3*$O$14^-2</f>
        <v>29.195929466866733</v>
      </c>
      <c r="Z3" s="48">
        <f t="shared" ref="Z3:Z10" si="4">$E3*X$14+$F3/2*X$14^2+$G3/3*X$14^3+$H3/4*X$14^4-$I3/X$14+$J3</f>
        <v>3.3927356317827151</v>
      </c>
      <c r="AB3" s="164"/>
      <c r="AC3" s="73">
        <f>+Model!C2</f>
        <v>0</v>
      </c>
      <c r="AD3" s="42"/>
      <c r="AE3" s="7">
        <f>+AC3/AC$11</f>
        <v>0</v>
      </c>
      <c r="AF3" s="7"/>
    </row>
    <row r="4" spans="1:32" x14ac:dyDescent="0.2">
      <c r="A4" t="s">
        <v>29</v>
      </c>
      <c r="B4" t="s">
        <v>31</v>
      </c>
      <c r="C4" s="3">
        <v>-195.8</v>
      </c>
      <c r="D4" s="3">
        <v>28</v>
      </c>
      <c r="E4" s="35">
        <v>19.50583</v>
      </c>
      <c r="F4" s="35">
        <v>19.887049999999999</v>
      </c>
      <c r="G4" s="35">
        <v>-8.598535</v>
      </c>
      <c r="H4" s="35">
        <v>1.3697839999999999</v>
      </c>
      <c r="I4" s="35">
        <v>0.52760099999999999</v>
      </c>
      <c r="J4" s="35">
        <v>-4.9352020000000003</v>
      </c>
      <c r="K4" s="35">
        <v>212.39</v>
      </c>
      <c r="L4" s="35">
        <v>0</v>
      </c>
      <c r="M4" s="78">
        <f>1-SUM(M5:M10,M3)</f>
        <v>0.89742582078876143</v>
      </c>
      <c r="N4" s="73">
        <f t="shared" si="0"/>
        <v>26367.361780034658</v>
      </c>
      <c r="O4" s="48">
        <f t="shared" si="1"/>
        <v>29.44534259569393</v>
      </c>
      <c r="P4" s="48">
        <f t="shared" si="2"/>
        <v>3.2893311662115394</v>
      </c>
      <c r="Q4" s="164"/>
      <c r="R4" s="30"/>
      <c r="S4" s="30"/>
      <c r="T4" s="30"/>
      <c r="U4" s="30"/>
      <c r="V4" s="73">
        <f t="shared" ref="V4:V10" si="5">SUM(N4,R4:U4)</f>
        <v>26367.361780034658</v>
      </c>
      <c r="W4" s="42"/>
      <c r="X4" s="7">
        <f>+V4/$V$11</f>
        <v>0.89763456103805894</v>
      </c>
      <c r="Y4" s="48">
        <f t="shared" si="3"/>
        <v>29.44534259569393</v>
      </c>
      <c r="Z4" s="48">
        <f t="shared" si="4"/>
        <v>3.401895013558617</v>
      </c>
      <c r="AB4" s="164"/>
      <c r="AC4" s="73">
        <f>+Model!D2</f>
        <v>26367.361780034662</v>
      </c>
      <c r="AD4" s="42"/>
      <c r="AE4" s="7">
        <f>+AC4/AC$11</f>
        <v>0.89763476119897989</v>
      </c>
      <c r="AF4" s="7"/>
    </row>
    <row r="5" spans="1:32" x14ac:dyDescent="0.2">
      <c r="A5" t="s">
        <v>30</v>
      </c>
      <c r="B5" t="s">
        <v>27</v>
      </c>
      <c r="C5" s="34" t="s">
        <v>37</v>
      </c>
      <c r="D5" s="3">
        <v>28.01</v>
      </c>
      <c r="E5" s="35">
        <v>25.567589999999999</v>
      </c>
      <c r="F5" s="35">
        <v>6.0961299999999996</v>
      </c>
      <c r="G5" s="35">
        <v>4.0546559999999996</v>
      </c>
      <c r="H5" s="35">
        <v>-2.6713010000000001</v>
      </c>
      <c r="I5" s="35">
        <v>0.131021</v>
      </c>
      <c r="J5" s="35">
        <v>-118.0089</v>
      </c>
      <c r="K5" s="35">
        <v>227.3665</v>
      </c>
      <c r="L5" s="35">
        <v>-110.5271</v>
      </c>
      <c r="M5" s="72">
        <f>VLOOKUP(Case,Cases,9,FALSE)/1000000</f>
        <v>5.1126123634426864E-4</v>
      </c>
      <c r="N5" s="73">
        <f t="shared" si="0"/>
        <v>15.021419788154544</v>
      </c>
      <c r="O5" s="48">
        <f t="shared" si="1"/>
        <v>29.348320851324114</v>
      </c>
      <c r="P5" s="48">
        <f t="shared" si="2"/>
        <v>-107.22886455063447</v>
      </c>
      <c r="Q5" s="164"/>
      <c r="R5" s="30">
        <f>-R1*N5</f>
        <v>-13.43839289162454</v>
      </c>
      <c r="S5" s="30"/>
      <c r="T5" s="30"/>
      <c r="U5" s="30"/>
      <c r="V5" s="73">
        <f t="shared" si="5"/>
        <v>1.5830268965300043</v>
      </c>
      <c r="W5" s="45">
        <f t="shared" ref="W5" si="6">1-V5/N5</f>
        <v>0.89461536134032194</v>
      </c>
      <c r="X5" s="51">
        <f>+V5/$V$11</f>
        <v>5.3891612867166545E-5</v>
      </c>
      <c r="Y5" s="48">
        <f t="shared" si="3"/>
        <v>29.348320851324114</v>
      </c>
      <c r="Z5" s="48">
        <f t="shared" si="4"/>
        <v>-107.11662852543178</v>
      </c>
      <c r="AB5" s="164"/>
      <c r="AC5" s="73">
        <f>+Model!E2</f>
        <v>1.6875492415984943</v>
      </c>
      <c r="AD5" s="45">
        <f>1-AC5/N5</f>
        <v>0.88765714124245121</v>
      </c>
      <c r="AE5" s="7">
        <f>+AC5/AC$11</f>
        <v>5.7449921350902505E-5</v>
      </c>
      <c r="AF5" s="97">
        <f>(1-AC5/V5)^2</f>
        <v>4.3595503952902487E-3</v>
      </c>
    </row>
    <row r="6" spans="1:32" x14ac:dyDescent="0.2">
      <c r="A6" t="s">
        <v>36</v>
      </c>
      <c r="B6" t="s">
        <v>35</v>
      </c>
      <c r="C6" s="34">
        <v>-183</v>
      </c>
      <c r="D6" s="3">
        <v>32</v>
      </c>
      <c r="E6" s="35">
        <v>31.322340000000001</v>
      </c>
      <c r="F6" s="35">
        <v>-20.235309999999998</v>
      </c>
      <c r="G6" s="35">
        <v>57.866439999999997</v>
      </c>
      <c r="H6" s="35">
        <v>-36.506239999999998</v>
      </c>
      <c r="I6" s="35">
        <v>-7.3740000000000003E-3</v>
      </c>
      <c r="J6" s="35">
        <v>-8.9034709999999997</v>
      </c>
      <c r="K6" s="35">
        <v>246.7945</v>
      </c>
      <c r="L6" s="35">
        <v>0</v>
      </c>
      <c r="M6" s="36">
        <f>VLOOKUP(Case,Cases,7,FALSE)</f>
        <v>0.10186337433832429</v>
      </c>
      <c r="N6" s="73">
        <f t="shared" si="0"/>
        <v>2992.8584414398101</v>
      </c>
      <c r="O6" s="48">
        <f t="shared" si="1"/>
        <v>30.202601151434166</v>
      </c>
      <c r="P6" s="48">
        <f t="shared" si="2"/>
        <v>3.358510996408036</v>
      </c>
      <c r="Q6" s="164"/>
      <c r="R6" s="30">
        <f>+R5/2</f>
        <v>-6.7191964458122699</v>
      </c>
      <c r="S6" s="30">
        <f>+S8/2</f>
        <v>-0.11322660751364956</v>
      </c>
      <c r="T6" s="30"/>
      <c r="U6" s="30"/>
      <c r="V6" s="73">
        <f t="shared" si="5"/>
        <v>2986.0260183864839</v>
      </c>
      <c r="W6" s="45">
        <f>1-V6/N6</f>
        <v>2.2829088602129843E-3</v>
      </c>
      <c r="X6" s="7">
        <f>+V6/$V$11</f>
        <v>0.10165446875660274</v>
      </c>
      <c r="Y6" s="48">
        <f t="shared" si="3"/>
        <v>30.202601151434166</v>
      </c>
      <c r="Z6" s="48">
        <f t="shared" si="4"/>
        <v>3.4740477136534658</v>
      </c>
      <c r="AB6" s="164"/>
      <c r="AC6" s="73">
        <f>+Model!F2</f>
        <v>2986.0194683044215</v>
      </c>
      <c r="AD6" s="45">
        <f>1-AC6/N6</f>
        <v>2.2850974308356031E-3</v>
      </c>
      <c r="AE6" s="7">
        <f>+AC6/AC$11</f>
        <v>0.10165426843714437</v>
      </c>
      <c r="AF6" s="7"/>
    </row>
    <row r="7" spans="1:32" x14ac:dyDescent="0.2">
      <c r="A7" t="s">
        <v>33</v>
      </c>
      <c r="B7" t="s">
        <v>34</v>
      </c>
      <c r="C7" s="34">
        <v>-78.5</v>
      </c>
      <c r="D7" s="3">
        <v>44.01</v>
      </c>
      <c r="E7" s="35">
        <v>24.997350000000001</v>
      </c>
      <c r="F7" s="35">
        <v>55.186959999999999</v>
      </c>
      <c r="G7" s="35">
        <v>-33.691369999999999</v>
      </c>
      <c r="H7" s="35">
        <v>7.9483870000000003</v>
      </c>
      <c r="I7" s="35">
        <v>-0.13663800000000001</v>
      </c>
      <c r="J7" s="35">
        <v>-403.60750000000002</v>
      </c>
      <c r="K7" s="35">
        <v>228.2431</v>
      </c>
      <c r="L7" s="35">
        <v>-393.5224</v>
      </c>
      <c r="N7" s="73">
        <f t="shared" si="0"/>
        <v>0</v>
      </c>
      <c r="O7" s="48">
        <f t="shared" si="1"/>
        <v>41.732018160908503</v>
      </c>
      <c r="P7" s="48">
        <f t="shared" si="2"/>
        <v>-389.06175540227144</v>
      </c>
      <c r="Q7" s="164"/>
      <c r="R7" s="30">
        <f>-R5</f>
        <v>13.43839289162454</v>
      </c>
      <c r="S7" s="30"/>
      <c r="T7" s="30"/>
      <c r="U7" s="30"/>
      <c r="V7" s="73">
        <f t="shared" si="5"/>
        <v>13.43839289162454</v>
      </c>
      <c r="W7" s="45" t="e">
        <f t="shared" ref="W7:W9" si="7">1-V7/N7</f>
        <v>#DIV/0!</v>
      </c>
      <c r="X7" s="7">
        <f>+V7/$V$11</f>
        <v>4.57488542272905E-4</v>
      </c>
      <c r="Y7" s="48">
        <f t="shared" si="3"/>
        <v>41.732018160908503</v>
      </c>
      <c r="Z7" s="48">
        <f t="shared" si="4"/>
        <v>-388.90194740425096</v>
      </c>
      <c r="AB7" s="164"/>
      <c r="AC7" s="73">
        <f>+Model!G2</f>
        <v>13.333870546556046</v>
      </c>
      <c r="AD7" s="42"/>
      <c r="AE7" s="7">
        <f>+AC7/AC$11</f>
        <v>4.5393034782034285E-4</v>
      </c>
      <c r="AF7" s="7"/>
    </row>
    <row r="8" spans="1:32" x14ac:dyDescent="0.2">
      <c r="A8" t="s">
        <v>85</v>
      </c>
      <c r="B8" t="s">
        <v>86</v>
      </c>
      <c r="C8" s="3">
        <f>212-273</f>
        <v>-61</v>
      </c>
      <c r="D8" s="3">
        <v>30.0061</v>
      </c>
      <c r="E8">
        <v>23.834910000000001</v>
      </c>
      <c r="F8">
        <v>12.58878</v>
      </c>
      <c r="G8">
        <v>-1.139011</v>
      </c>
      <c r="H8">
        <v>-1.4974590000000001</v>
      </c>
      <c r="I8">
        <v>0.214194</v>
      </c>
      <c r="J8">
        <v>83.357830000000007</v>
      </c>
      <c r="K8">
        <v>237.12190000000001</v>
      </c>
      <c r="L8">
        <v>90.291139999999999</v>
      </c>
      <c r="M8" s="72">
        <f>VLOOKUP(Case,Cases,10,FALSE)/1000000</f>
        <v>1.9954363657002184E-4</v>
      </c>
      <c r="N8" s="73">
        <f t="shared" si="0"/>
        <v>5.8628124291333172</v>
      </c>
      <c r="O8" s="48">
        <f t="shared" si="1"/>
        <v>29.980687146532219</v>
      </c>
      <c r="P8" s="48">
        <f t="shared" si="2"/>
        <v>93.659938973004984</v>
      </c>
      <c r="Q8" s="164"/>
      <c r="S8" s="30">
        <f>-S1*N8</f>
        <v>-0.22645321502729912</v>
      </c>
      <c r="V8" s="73">
        <f t="shared" si="5"/>
        <v>5.6363592141060179</v>
      </c>
      <c r="W8" s="45">
        <f t="shared" si="7"/>
        <v>3.8625355623184254E-2</v>
      </c>
      <c r="X8" s="51">
        <f t="shared" ref="X8:X9" si="8">+V8/$V$11</f>
        <v>1.9188081353053077E-4</v>
      </c>
      <c r="Y8" s="48">
        <f t="shared" si="3"/>
        <v>29.980687146532219</v>
      </c>
      <c r="Z8" s="48">
        <f t="shared" si="4"/>
        <v>93.774595837353374</v>
      </c>
      <c r="AB8" s="164"/>
      <c r="AC8" s="73">
        <f>+Model!H2</f>
        <v>5.5187367049066527</v>
      </c>
      <c r="AD8" s="45">
        <f>1-AC8/N8</f>
        <v>5.8687827452383323E-2</v>
      </c>
      <c r="AE8"/>
      <c r="AF8" s="97">
        <f>(1-AC8/V8)^2</f>
        <v>4.3549538033359794E-4</v>
      </c>
    </row>
    <row r="9" spans="1:32" x14ac:dyDescent="0.2">
      <c r="A9" t="s">
        <v>87</v>
      </c>
      <c r="B9" t="s">
        <v>88</v>
      </c>
      <c r="C9" s="3">
        <f>295.08-273.15</f>
        <v>21.930000000000007</v>
      </c>
      <c r="D9" s="3">
        <v>46.005499999999998</v>
      </c>
      <c r="E9">
        <v>16.10857</v>
      </c>
      <c r="F9">
        <v>75.895250000000004</v>
      </c>
      <c r="G9">
        <v>-54.3874</v>
      </c>
      <c r="H9">
        <v>14.30777</v>
      </c>
      <c r="I9">
        <v>0.239423</v>
      </c>
      <c r="J9">
        <v>26.17464</v>
      </c>
      <c r="K9">
        <v>240.5386</v>
      </c>
      <c r="L9">
        <v>33.095019999999998</v>
      </c>
      <c r="N9" s="73">
        <f t="shared" si="0"/>
        <v>0</v>
      </c>
      <c r="O9" s="48">
        <f t="shared" si="1"/>
        <v>40.52599724004979</v>
      </c>
      <c r="P9" s="48">
        <f t="shared" si="2"/>
        <v>37.467515986964663</v>
      </c>
      <c r="Q9" s="164"/>
      <c r="S9" s="30">
        <f>-S8</f>
        <v>0.22645321502729912</v>
      </c>
      <c r="V9" s="73">
        <f t="shared" si="5"/>
        <v>0.22645321502729912</v>
      </c>
      <c r="W9" s="45" t="e">
        <f t="shared" si="7"/>
        <v>#DIV/0!</v>
      </c>
      <c r="X9" s="51">
        <f t="shared" si="8"/>
        <v>7.7092366677581063E-6</v>
      </c>
      <c r="Y9" s="48">
        <f t="shared" si="3"/>
        <v>40.52599724004979</v>
      </c>
      <c r="Z9" s="48">
        <f t="shared" si="4"/>
        <v>37.622685026683016</v>
      </c>
      <c r="AB9" s="164"/>
      <c r="AC9" s="73">
        <f>+Model!I2</f>
        <v>0.34407572422665533</v>
      </c>
      <c r="AD9"/>
      <c r="AE9"/>
      <c r="AF9"/>
    </row>
    <row r="10" spans="1:32" x14ac:dyDescent="0.2">
      <c r="A10" t="s">
        <v>84</v>
      </c>
      <c r="B10" t="s">
        <v>43</v>
      </c>
      <c r="C10" s="34">
        <v>100</v>
      </c>
      <c r="D10" s="34">
        <f>0*12.011+2*1.008+15.999</f>
        <v>18.015000000000001</v>
      </c>
      <c r="E10" s="35">
        <v>30.091999999999999</v>
      </c>
      <c r="F10" s="35">
        <v>6.8325139999999998</v>
      </c>
      <c r="G10" s="35">
        <v>6.7934349999999997</v>
      </c>
      <c r="H10" s="35">
        <v>-2.5344799999999998</v>
      </c>
      <c r="I10" s="35">
        <v>8.2139000000000004E-2</v>
      </c>
      <c r="J10" s="35">
        <v>-250.881</v>
      </c>
      <c r="K10" s="35">
        <v>223.39670000000001</v>
      </c>
      <c r="L10" s="35">
        <v>-241.82640000000001</v>
      </c>
      <c r="M10" s="36">
        <f>VLOOKUP(Case,Cases,8,FALSE)</f>
        <v>0</v>
      </c>
      <c r="N10" s="73">
        <f t="shared" si="0"/>
        <v>0</v>
      </c>
      <c r="O10" s="48">
        <f t="shared" si="1"/>
        <v>34.358277287594987</v>
      </c>
      <c r="P10" s="48">
        <f t="shared" si="2"/>
        <v>-237.99579447648355</v>
      </c>
      <c r="Q10" s="164"/>
      <c r="R10" s="30"/>
      <c r="S10" s="30"/>
      <c r="T10" s="30"/>
      <c r="U10" s="30"/>
      <c r="V10" s="73">
        <f t="shared" si="5"/>
        <v>0</v>
      </c>
      <c r="W10" s="42"/>
      <c r="X10" s="67">
        <f>+V10/$V$11</f>
        <v>0</v>
      </c>
      <c r="Y10" s="48">
        <f t="shared" si="3"/>
        <v>34.358277287594987</v>
      </c>
      <c r="Z10" s="48">
        <f t="shared" si="4"/>
        <v>-237.86437182547223</v>
      </c>
      <c r="AB10" s="164"/>
      <c r="AC10" s="73">
        <f>+Model!J2</f>
        <v>0</v>
      </c>
      <c r="AD10" s="42"/>
      <c r="AE10" s="7">
        <f>+AC10/AC$11</f>
        <v>0</v>
      </c>
      <c r="AF10" s="7"/>
    </row>
    <row r="11" spans="1:32" ht="16" thickBot="1" x14ac:dyDescent="0.25">
      <c r="A11" s="59" t="s">
        <v>8</v>
      </c>
      <c r="B11" s="60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2">
        <f>SUM(M3:M10)</f>
        <v>1</v>
      </c>
      <c r="N11" s="68">
        <f>SUM(N3:N10)</f>
        <v>29381.104453691754</v>
      </c>
      <c r="O11" s="62"/>
      <c r="P11" s="62"/>
      <c r="Q11" s="164"/>
      <c r="R11" s="63">
        <f>SUM(R3:R10)</f>
        <v>-6.7191964458122708</v>
      </c>
      <c r="S11" s="63">
        <f>SUM(S3:S10)</f>
        <v>-0.11322660751364957</v>
      </c>
      <c r="T11" s="63">
        <f>SUM(T3:T10)</f>
        <v>0</v>
      </c>
      <c r="U11" s="63">
        <f>SUM(U3:U10)</f>
        <v>0</v>
      </c>
      <c r="V11" s="68">
        <f>SUM(V3:V10)</f>
        <v>29374.272030638429</v>
      </c>
      <c r="W11" s="64"/>
      <c r="X11" s="65">
        <f>SUM(X3:X10)</f>
        <v>1</v>
      </c>
      <c r="Y11" s="62"/>
      <c r="Z11" s="62"/>
      <c r="AA11" s="66"/>
      <c r="AB11" s="164"/>
      <c r="AC11" s="68">
        <f>SUM(AC3:AC10)</f>
        <v>29374.265480556376</v>
      </c>
      <c r="AD11" s="64"/>
      <c r="AE11" s="65">
        <f>SUM(AE3:AE10)</f>
        <v>0.99980040990529551</v>
      </c>
      <c r="AF11" s="98">
        <f>SUM(AF3:AF10)</f>
        <v>4.7950457756238468E-3</v>
      </c>
    </row>
    <row r="12" spans="1:32" x14ac:dyDescent="0.2">
      <c r="A12" s="1" t="s">
        <v>9</v>
      </c>
      <c r="M12" s="8">
        <f>SUMPRODUCT($D$3:$D$10,M3:M10)/M11</f>
        <v>28.407858914454984</v>
      </c>
      <c r="N12" s="8">
        <f>SUMPRODUCT($D$3:$D$10,N3:N10)/N11</f>
        <v>28.407858914454984</v>
      </c>
      <c r="O12" s="17"/>
      <c r="P12" s="17"/>
      <c r="V12" s="8">
        <f>SUMPRODUCT($D$3:$D$10,V3:V10)/V11</f>
        <v>28.414466546265171</v>
      </c>
      <c r="W12" s="43"/>
      <c r="Y12" s="17"/>
      <c r="Z12" s="17"/>
      <c r="AC12" s="8"/>
      <c r="AD12" s="43"/>
    </row>
    <row r="13" spans="1:32" x14ac:dyDescent="0.2">
      <c r="A13" t="s">
        <v>94</v>
      </c>
      <c r="N13" s="14">
        <f>SUMPRODUCT($D$3:$D$10,N3:N10)</f>
        <v>834654.27007134038</v>
      </c>
      <c r="O13"/>
      <c r="P13"/>
      <c r="R13" s="14">
        <f>SUMPRODUCT($D$3:$D$10,R3:R10)</f>
        <v>0</v>
      </c>
      <c r="S13" s="14">
        <f>SUMPRODUCT($D$3:$D$10,S3:S10)</f>
        <v>-1.3587192901631795E-4</v>
      </c>
      <c r="T13" s="14">
        <f>SUMPRODUCT($D$3:$D$10,T3:T10)</f>
        <v>0</v>
      </c>
      <c r="U13" s="14">
        <f>SUMPRODUCT($D$3:$D$10,U3:U10)</f>
        <v>0</v>
      </c>
      <c r="V13" s="14">
        <f>SUMPRODUCT($D$3:$D$10,V3:V10)</f>
        <v>834654.26993546833</v>
      </c>
      <c r="W13" s="44"/>
      <c r="Y13"/>
      <c r="Z13"/>
      <c r="AC13" s="14">
        <f>SUMPRODUCT($D$3:$D$10,AC3:AC10)</f>
        <v>834654.26986489503</v>
      </c>
      <c r="AD13" s="44"/>
      <c r="AE13"/>
      <c r="AF13"/>
    </row>
    <row r="14" spans="1:32" x14ac:dyDescent="0.2">
      <c r="A14" t="s">
        <v>66</v>
      </c>
      <c r="N14" s="117">
        <f>V14+R15*R1*N5/1000+S15*S1*N8/1000</f>
        <v>137.88005362939452</v>
      </c>
      <c r="O14">
        <f>(N14+273.15)/1000</f>
        <v>0.41103005362939449</v>
      </c>
      <c r="P14"/>
      <c r="V14" s="80">
        <f>VLOOKUP(Case,Cases,6,FALSE)</f>
        <v>141.70324739999992</v>
      </c>
      <c r="W14" s="70">
        <f>+V14-N14</f>
        <v>3.8231937706053998</v>
      </c>
      <c r="X14">
        <f>(V14+273.15)/1000</f>
        <v>0.41485324739999985</v>
      </c>
      <c r="Z14"/>
      <c r="AC14" s="3">
        <f>+Model!AB2</f>
        <v>0</v>
      </c>
      <c r="AD14" s="44"/>
      <c r="AF14" s="3">
        <f>+AC14-V14</f>
        <v>-141.70324739999992</v>
      </c>
    </row>
    <row r="15" spans="1:32" x14ac:dyDescent="0.2">
      <c r="A15" t="s">
        <v>93</v>
      </c>
      <c r="O15"/>
      <c r="P15" s="14">
        <f>SUMPRODUCT(N3:N10,P3:P10)</f>
        <v>95720.913726611761</v>
      </c>
      <c r="R15" s="87">
        <f>Z7-Z5-Z6/2</f>
        <v>-283.52234273564591</v>
      </c>
      <c r="S15" s="88">
        <f>Z9-Z8-Z6/2</f>
        <v>-57.888934667497089</v>
      </c>
      <c r="T15" s="88"/>
      <c r="U15" s="89"/>
      <c r="W15" s="71">
        <f>P15-Z15</f>
        <v>507.03888860889128</v>
      </c>
      <c r="Y15"/>
      <c r="Z15" s="14">
        <f>SUMPRODUCT(V3:V10,Z3:Z10)</f>
        <v>95213.87483800287</v>
      </c>
      <c r="AC15"/>
      <c r="AD15" s="44"/>
      <c r="AE15"/>
      <c r="AF15"/>
    </row>
    <row r="16" spans="1:32" x14ac:dyDescent="0.2">
      <c r="A16" t="s">
        <v>67</v>
      </c>
      <c r="N16"/>
      <c r="O16" s="3">
        <f>SUMPRODUCT(N3:N10,O3:O10)/N11</f>
        <v>29.522536728569712</v>
      </c>
      <c r="P16"/>
      <c r="W16" s="44"/>
      <c r="Y16" s="3">
        <f>SUMPRODUCT(V3:V10,Y3:Y10)/V11</f>
        <v>29.528125242261542</v>
      </c>
      <c r="Z16"/>
      <c r="AC16"/>
      <c r="AD16" s="44"/>
      <c r="AE16"/>
      <c r="AF16"/>
    </row>
    <row r="17" spans="1:46" x14ac:dyDescent="0.2">
      <c r="A17" t="s">
        <v>91</v>
      </c>
      <c r="M17" s="47">
        <f>VLOOKUP(Case,Cases,5,FALSE)*M18</f>
        <v>658136.73976269527</v>
      </c>
      <c r="O17"/>
      <c r="P17"/>
      <c r="W17" s="44"/>
      <c r="Y17"/>
      <c r="Z17"/>
      <c r="AC17"/>
      <c r="AD17" s="44"/>
      <c r="AE17"/>
      <c r="AF17"/>
    </row>
    <row r="18" spans="1:46" x14ac:dyDescent="0.2">
      <c r="A18" t="s">
        <v>92</v>
      </c>
      <c r="M18" s="79">
        <v>22</v>
      </c>
      <c r="N18" s="8">
        <f>+M18</f>
        <v>22</v>
      </c>
      <c r="O18"/>
      <c r="P18"/>
      <c r="W18" s="44"/>
      <c r="Y18"/>
      <c r="Z18"/>
      <c r="AC18"/>
      <c r="AD18" s="44"/>
      <c r="AE18"/>
      <c r="AF18"/>
    </row>
    <row r="19" spans="1:46" x14ac:dyDescent="0.2">
      <c r="N19"/>
      <c r="O19"/>
      <c r="P19"/>
      <c r="W19" s="44"/>
      <c r="Y19"/>
      <c r="Z19"/>
      <c r="AC19"/>
      <c r="AD19" s="44"/>
      <c r="AE19"/>
      <c r="AF19"/>
    </row>
    <row r="20" spans="1:46" x14ac:dyDescent="0.2">
      <c r="N20"/>
      <c r="O20"/>
      <c r="P20"/>
      <c r="W20" s="44"/>
      <c r="Y20"/>
      <c r="Z20"/>
      <c r="AC20"/>
      <c r="AD20" s="44"/>
      <c r="AE20"/>
      <c r="AF20"/>
      <c r="AH20" s="44"/>
      <c r="AM20" s="44"/>
    </row>
    <row r="21" spans="1:46" x14ac:dyDescent="0.2">
      <c r="A21" s="44" t="s">
        <v>14</v>
      </c>
      <c r="B21" s="74" t="s">
        <v>114</v>
      </c>
      <c r="C21" s="31"/>
      <c r="N21"/>
      <c r="O21"/>
      <c r="P21"/>
      <c r="W21" s="44"/>
      <c r="Y21"/>
      <c r="Z21"/>
      <c r="AC21"/>
      <c r="AE21"/>
      <c r="AF21" s="134" t="s">
        <v>195</v>
      </c>
      <c r="AG21" s="135"/>
      <c r="AH21" s="135"/>
      <c r="AI21" s="135"/>
      <c r="AJ21" s="135" t="s">
        <v>142</v>
      </c>
      <c r="AK21" s="136"/>
      <c r="AL21" s="134" t="s">
        <v>206</v>
      </c>
      <c r="AM21" s="145">
        <v>148.32244820677107</v>
      </c>
      <c r="AN21" s="135" t="s">
        <v>189</v>
      </c>
      <c r="AO21" s="146">
        <v>2000</v>
      </c>
      <c r="AP21" s="135" t="s">
        <v>136</v>
      </c>
      <c r="AQ21" s="147">
        <f t="shared" ref="AQ21:AQ30" si="9">AM21*EXP(-AO21*(1/(273.15+T_cat)-1/423.15))</f>
        <v>134.94442671846784</v>
      </c>
      <c r="AS21" t="s">
        <v>148</v>
      </c>
      <c r="AT21">
        <f>k1f/K1_</f>
        <v>0</v>
      </c>
    </row>
    <row r="22" spans="1:46" x14ac:dyDescent="0.2">
      <c r="A22" s="44" t="s">
        <v>15</v>
      </c>
      <c r="B22" s="74" t="s">
        <v>95</v>
      </c>
      <c r="C22" s="31"/>
      <c r="O22"/>
      <c r="P22"/>
      <c r="W22" s="44"/>
      <c r="Y22"/>
      <c r="Z22"/>
      <c r="AC22"/>
      <c r="AE22"/>
      <c r="AF22" s="52" t="s">
        <v>196</v>
      </c>
      <c r="AJ22" t="s">
        <v>143</v>
      </c>
      <c r="AK22" s="137"/>
      <c r="AL22" s="52" t="s">
        <v>207</v>
      </c>
      <c r="AM22" s="148">
        <v>185.57545833931499</v>
      </c>
      <c r="AN22" t="s">
        <v>190</v>
      </c>
      <c r="AO22" s="138">
        <v>2000</v>
      </c>
      <c r="AP22" t="s">
        <v>137</v>
      </c>
      <c r="AQ22" s="139">
        <f t="shared" si="9"/>
        <v>168.83738194305616</v>
      </c>
      <c r="AS22" t="s">
        <v>149</v>
      </c>
      <c r="AT22">
        <f>+k2f/K2_</f>
        <v>0</v>
      </c>
    </row>
    <row r="23" spans="1:46" x14ac:dyDescent="0.2">
      <c r="A23" s="44" t="s">
        <v>16</v>
      </c>
      <c r="B23" s="74" t="s">
        <v>99</v>
      </c>
      <c r="C23" s="31"/>
      <c r="O23"/>
      <c r="P23"/>
      <c r="W23" s="44"/>
      <c r="Y23"/>
      <c r="Z23"/>
      <c r="AC23"/>
      <c r="AE23"/>
      <c r="AF23" s="52" t="s">
        <v>197</v>
      </c>
      <c r="AJ23" t="s">
        <v>144</v>
      </c>
      <c r="AK23" s="137"/>
      <c r="AL23" s="52" t="s">
        <v>208</v>
      </c>
      <c r="AM23" s="103">
        <v>100</v>
      </c>
      <c r="AN23" t="s">
        <v>191</v>
      </c>
      <c r="AO23" s="138">
        <v>2000</v>
      </c>
      <c r="AP23" t="s">
        <v>138</v>
      </c>
      <c r="AQ23" s="139">
        <f t="shared" si="9"/>
        <v>90.980447228289137</v>
      </c>
      <c r="AS23" t="s">
        <v>150</v>
      </c>
      <c r="AT23">
        <f>+k3f/K3_</f>
        <v>0</v>
      </c>
    </row>
    <row r="24" spans="1:46" x14ac:dyDescent="0.2">
      <c r="A24" s="44" t="s">
        <v>17</v>
      </c>
      <c r="B24" s="74" t="s">
        <v>96</v>
      </c>
      <c r="C24" s="31"/>
      <c r="O24"/>
      <c r="P24"/>
      <c r="W24" s="44"/>
      <c r="Y24"/>
      <c r="Z24"/>
      <c r="AC24"/>
      <c r="AE24"/>
      <c r="AF24" s="52" t="s">
        <v>198</v>
      </c>
      <c r="AG24" s="138">
        <v>2000</v>
      </c>
      <c r="AH24" t="s">
        <v>187</v>
      </c>
      <c r="AI24" s="138">
        <v>10000</v>
      </c>
      <c r="AJ24" t="s">
        <v>145</v>
      </c>
      <c r="AK24" s="139">
        <f>AG24*EXP(-AI24*(1/(273.15+T_cat)-1/423.15))</f>
        <v>1246.7240357154801</v>
      </c>
      <c r="AL24" s="52" t="s">
        <v>209</v>
      </c>
      <c r="AM24" s="149">
        <v>100</v>
      </c>
      <c r="AP24" t="s">
        <v>139</v>
      </c>
      <c r="AQ24" s="139">
        <f t="shared" si="9"/>
        <v>100</v>
      </c>
      <c r="AS24" t="s">
        <v>151</v>
      </c>
      <c r="AT24">
        <f>+k4f/K4_</f>
        <v>12.4672403571548</v>
      </c>
    </row>
    <row r="25" spans="1:46" x14ac:dyDescent="0.2">
      <c r="A25" s="44" t="s">
        <v>98</v>
      </c>
      <c r="B25" s="74" t="s">
        <v>97</v>
      </c>
      <c r="C25" s="31"/>
      <c r="O25"/>
      <c r="P25"/>
      <c r="W25" s="44"/>
      <c r="Y25"/>
      <c r="Z25"/>
      <c r="AC25"/>
      <c r="AE25"/>
      <c r="AF25" s="52" t="s">
        <v>199</v>
      </c>
      <c r="AG25" s="140">
        <f>+AG24</f>
        <v>2000</v>
      </c>
      <c r="AH25" t="s">
        <v>188</v>
      </c>
      <c r="AI25" s="140">
        <f>+AI24</f>
        <v>10000</v>
      </c>
      <c r="AJ25" t="s">
        <v>146</v>
      </c>
      <c r="AK25" s="139">
        <f>AG25*EXP(-AI25*(1/(273.15+T_cat)-1/423.15))</f>
        <v>1246.7240357154801</v>
      </c>
      <c r="AL25" s="52" t="s">
        <v>210</v>
      </c>
      <c r="AM25" s="149">
        <v>100</v>
      </c>
      <c r="AP25" t="s">
        <v>140</v>
      </c>
      <c r="AQ25" s="139">
        <f t="shared" si="9"/>
        <v>100</v>
      </c>
      <c r="AS25" t="s">
        <v>152</v>
      </c>
      <c r="AT25">
        <f>+k5f/K5_</f>
        <v>12.4672403571548</v>
      </c>
    </row>
    <row r="26" spans="1:46" x14ac:dyDescent="0.2">
      <c r="A26" s="44"/>
      <c r="C26" s="31"/>
      <c r="O26"/>
      <c r="P26"/>
      <c r="W26" s="44"/>
      <c r="Y26"/>
      <c r="Z26"/>
      <c r="AC26"/>
      <c r="AE26"/>
      <c r="AF26" s="52" t="s">
        <v>200</v>
      </c>
      <c r="AJ26" t="s">
        <v>147</v>
      </c>
      <c r="AK26" s="137"/>
      <c r="AL26" s="52" t="s">
        <v>211</v>
      </c>
      <c r="AM26" s="103">
        <v>100</v>
      </c>
      <c r="AN26" t="s">
        <v>192</v>
      </c>
      <c r="AO26" s="138">
        <v>2000</v>
      </c>
      <c r="AP26" t="s">
        <v>141</v>
      </c>
      <c r="AQ26" s="139">
        <f t="shared" si="9"/>
        <v>90.980447228289137</v>
      </c>
      <c r="AS26" t="s">
        <v>153</v>
      </c>
      <c r="AT26">
        <f>+k6f/K6_</f>
        <v>0</v>
      </c>
    </row>
    <row r="27" spans="1:46" x14ac:dyDescent="0.2">
      <c r="A27" s="44"/>
      <c r="B27" s="74"/>
      <c r="C27" s="31"/>
      <c r="O27"/>
      <c r="P27"/>
      <c r="W27" s="44"/>
      <c r="Y27"/>
      <c r="Z27"/>
      <c r="AC27"/>
      <c r="AE27"/>
      <c r="AF27" s="52" t="s">
        <v>201</v>
      </c>
      <c r="AJ27" t="s">
        <v>158</v>
      </c>
      <c r="AK27" s="137"/>
      <c r="AL27" s="52" t="s">
        <v>212</v>
      </c>
      <c r="AM27" s="148">
        <v>165.86438969767352</v>
      </c>
      <c r="AN27" t="s">
        <v>193</v>
      </c>
      <c r="AO27" s="138">
        <v>2000</v>
      </c>
      <c r="AP27" t="s">
        <v>162</v>
      </c>
      <c r="AQ27" s="139">
        <f t="shared" si="9"/>
        <v>150.90416353941569</v>
      </c>
      <c r="AS27" t="s">
        <v>166</v>
      </c>
      <c r="AT27">
        <f>AG27/AM27</f>
        <v>0</v>
      </c>
    </row>
    <row r="28" spans="1:46" x14ac:dyDescent="0.2">
      <c r="A28" s="44"/>
      <c r="B28" s="74"/>
      <c r="C28" s="31"/>
      <c r="O28"/>
      <c r="P28"/>
      <c r="W28" s="44"/>
      <c r="Y28"/>
      <c r="Z28"/>
      <c r="AC28"/>
      <c r="AE28"/>
      <c r="AF28" s="52" t="s">
        <v>202</v>
      </c>
      <c r="AG28" s="141">
        <v>50</v>
      </c>
      <c r="AH28" t="s">
        <v>188</v>
      </c>
      <c r="AI28" s="138">
        <v>10000</v>
      </c>
      <c r="AJ28" t="s">
        <v>159</v>
      </c>
      <c r="AK28" s="139">
        <f>AG28*EXP(-AI28*(1/(273.15+T_cat)-1/423.15))</f>
        <v>31.168100892887001</v>
      </c>
      <c r="AL28" s="52" t="s">
        <v>213</v>
      </c>
      <c r="AM28" s="149">
        <v>100</v>
      </c>
      <c r="AP28" t="s">
        <v>163</v>
      </c>
      <c r="AQ28" s="139">
        <f t="shared" si="9"/>
        <v>100</v>
      </c>
      <c r="AS28" t="s">
        <v>167</v>
      </c>
      <c r="AT28">
        <f>AG28/AM28</f>
        <v>0.5</v>
      </c>
    </row>
    <row r="29" spans="1:46" x14ac:dyDescent="0.2">
      <c r="A29" s="44"/>
      <c r="B29" s="74"/>
      <c r="C29" s="31"/>
      <c r="O29"/>
      <c r="P29"/>
      <c r="W29" s="44"/>
      <c r="Y29"/>
      <c r="Z29"/>
      <c r="AC29"/>
      <c r="AE29"/>
      <c r="AF29" s="52" t="s">
        <v>203</v>
      </c>
      <c r="AG29" s="140">
        <f>+AG28</f>
        <v>50</v>
      </c>
      <c r="AH29" t="s">
        <v>188</v>
      </c>
      <c r="AI29" s="140">
        <f>+AI28</f>
        <v>10000</v>
      </c>
      <c r="AJ29" t="s">
        <v>160</v>
      </c>
      <c r="AK29" s="139">
        <f>AG29*EXP(-AI29*(1/(273.15+T_cat)-1/423.15))</f>
        <v>31.168100892887001</v>
      </c>
      <c r="AL29" s="52" t="s">
        <v>214</v>
      </c>
      <c r="AM29" s="149">
        <f>+K8_</f>
        <v>100</v>
      </c>
      <c r="AP29" t="s">
        <v>164</v>
      </c>
      <c r="AQ29" s="139">
        <f t="shared" si="9"/>
        <v>100</v>
      </c>
      <c r="AS29" t="s">
        <v>168</v>
      </c>
      <c r="AT29">
        <f>AG29/AM29</f>
        <v>0.5</v>
      </c>
    </row>
    <row r="30" spans="1:46" x14ac:dyDescent="0.2">
      <c r="A30" s="44"/>
      <c r="B30" s="74"/>
      <c r="C30" s="31"/>
      <c r="O30"/>
      <c r="P30"/>
      <c r="W30" s="44"/>
      <c r="Y30"/>
      <c r="Z30"/>
      <c r="AC30"/>
      <c r="AE30"/>
      <c r="AF30" s="142" t="s">
        <v>204</v>
      </c>
      <c r="AG30" s="143"/>
      <c r="AH30" s="143"/>
      <c r="AI30" s="143"/>
      <c r="AJ30" s="143" t="s">
        <v>161</v>
      </c>
      <c r="AK30" s="144"/>
      <c r="AL30" s="142" t="s">
        <v>215</v>
      </c>
      <c r="AM30" s="150">
        <v>100</v>
      </c>
      <c r="AN30" s="143" t="s">
        <v>194</v>
      </c>
      <c r="AO30" s="151">
        <v>2000</v>
      </c>
      <c r="AP30" s="143" t="s">
        <v>165</v>
      </c>
      <c r="AQ30" s="152">
        <f t="shared" si="9"/>
        <v>90.980447228289137</v>
      </c>
      <c r="AS30" t="s">
        <v>169</v>
      </c>
      <c r="AT30">
        <f>AG30/AM30</f>
        <v>0</v>
      </c>
    </row>
    <row r="31" spans="1:46" x14ac:dyDescent="0.2">
      <c r="A31" s="44"/>
      <c r="B31" s="74"/>
      <c r="C31" s="31"/>
      <c r="O31"/>
      <c r="P31"/>
      <c r="W31" s="44"/>
      <c r="Y31"/>
      <c r="Z31"/>
      <c r="AC31"/>
      <c r="AE31"/>
      <c r="AF31"/>
      <c r="AI31" s="116"/>
    </row>
    <row r="32" spans="1:46" hidden="1" x14ac:dyDescent="0.2">
      <c r="A32" s="44"/>
      <c r="B32" s="74"/>
      <c r="C32" s="31"/>
      <c r="O32"/>
      <c r="P32"/>
      <c r="W32" s="44"/>
      <c r="Y32"/>
      <c r="Z32"/>
      <c r="AC32"/>
      <c r="AE32"/>
      <c r="AF32"/>
      <c r="AI32" s="116"/>
    </row>
    <row r="33" spans="1:35" hidden="1" x14ac:dyDescent="0.2">
      <c r="A33" s="44"/>
      <c r="B33" s="74"/>
      <c r="C33" s="31"/>
      <c r="O33"/>
      <c r="P33"/>
      <c r="W33" s="44"/>
      <c r="Y33"/>
      <c r="Z33"/>
      <c r="AC33"/>
      <c r="AE33"/>
      <c r="AF33"/>
      <c r="AI33" s="116"/>
    </row>
    <row r="34" spans="1:35" hidden="1" x14ac:dyDescent="0.2">
      <c r="A34" s="44"/>
      <c r="B34" s="74"/>
      <c r="C34" s="31"/>
      <c r="O34"/>
      <c r="P34"/>
      <c r="W34" s="44"/>
      <c r="Y34"/>
      <c r="Z34"/>
      <c r="AC34"/>
      <c r="AE34"/>
      <c r="AF34"/>
      <c r="AI34" s="116"/>
    </row>
    <row r="35" spans="1:35" hidden="1" x14ac:dyDescent="0.2">
      <c r="A35" s="44"/>
      <c r="B35" s="74"/>
      <c r="C35" s="31"/>
      <c r="O35"/>
      <c r="P35"/>
      <c r="W35" s="44"/>
      <c r="Y35"/>
      <c r="Z35"/>
      <c r="AC35"/>
      <c r="AE35"/>
      <c r="AF35"/>
      <c r="AI35" s="116"/>
    </row>
    <row r="36" spans="1:35" hidden="1" x14ac:dyDescent="0.2">
      <c r="A36" s="44"/>
      <c r="B36" s="74"/>
      <c r="C36" s="31"/>
      <c r="O36"/>
      <c r="P36"/>
      <c r="W36" s="44"/>
      <c r="Y36"/>
      <c r="Z36"/>
      <c r="AC36"/>
      <c r="AE36"/>
      <c r="AF36"/>
      <c r="AI36" s="116"/>
    </row>
    <row r="37" spans="1:35" hidden="1" x14ac:dyDescent="0.2">
      <c r="A37" s="44"/>
      <c r="B37" s="74"/>
      <c r="C37" s="31"/>
      <c r="O37"/>
      <c r="P37"/>
      <c r="W37" s="44"/>
      <c r="Y37"/>
      <c r="Z37"/>
      <c r="AC37"/>
      <c r="AE37"/>
      <c r="AF37"/>
      <c r="AI37" s="116"/>
    </row>
    <row r="38" spans="1:35" hidden="1" x14ac:dyDescent="0.2">
      <c r="A38" s="44"/>
      <c r="B38" s="74"/>
      <c r="C38" s="31"/>
      <c r="O38"/>
      <c r="P38"/>
      <c r="W38" s="44"/>
      <c r="Y38"/>
      <c r="Z38"/>
      <c r="AC38"/>
      <c r="AE38"/>
      <c r="AF38"/>
      <c r="AI38" s="116"/>
    </row>
    <row r="39" spans="1:35" hidden="1" x14ac:dyDescent="0.2">
      <c r="A39" s="44"/>
      <c r="B39" s="74"/>
      <c r="C39" s="31"/>
      <c r="O39"/>
      <c r="P39"/>
      <c r="W39" s="44"/>
      <c r="Y39"/>
      <c r="Z39"/>
      <c r="AC39"/>
      <c r="AE39"/>
      <c r="AF39"/>
      <c r="AI39" s="116"/>
    </row>
    <row r="40" spans="1:35" hidden="1" x14ac:dyDescent="0.2">
      <c r="A40" s="44"/>
      <c r="B40" s="74"/>
      <c r="C40" s="31"/>
      <c r="O40"/>
      <c r="P40"/>
      <c r="W40" s="44"/>
      <c r="Y40"/>
      <c r="Z40"/>
      <c r="AC40"/>
      <c r="AE40"/>
      <c r="AF40"/>
      <c r="AI40" s="116"/>
    </row>
    <row r="41" spans="1:35" hidden="1" x14ac:dyDescent="0.2">
      <c r="A41" s="44"/>
      <c r="B41" s="74"/>
      <c r="C41" s="31"/>
      <c r="O41"/>
      <c r="P41"/>
      <c r="W41" s="44"/>
      <c r="Y41"/>
      <c r="Z41"/>
      <c r="AC41"/>
      <c r="AE41"/>
      <c r="AF41"/>
      <c r="AI41" s="116"/>
    </row>
    <row r="42" spans="1:35" hidden="1" x14ac:dyDescent="0.2">
      <c r="A42" s="44"/>
      <c r="B42" s="74"/>
      <c r="C42" s="31"/>
      <c r="O42"/>
      <c r="P42"/>
      <c r="W42" s="44"/>
      <c r="Y42"/>
      <c r="Z42"/>
      <c r="AC42"/>
      <c r="AE42"/>
      <c r="AF42"/>
      <c r="AI42" s="116"/>
    </row>
    <row r="43" spans="1:35" hidden="1" x14ac:dyDescent="0.2">
      <c r="A43" s="44"/>
      <c r="B43" s="74"/>
      <c r="C43" s="31"/>
      <c r="O43"/>
      <c r="P43"/>
      <c r="W43" s="44"/>
      <c r="Y43"/>
      <c r="Z43"/>
      <c r="AC43"/>
      <c r="AE43"/>
      <c r="AF43"/>
      <c r="AI43" s="116"/>
    </row>
    <row r="44" spans="1:35" hidden="1" x14ac:dyDescent="0.2">
      <c r="A44" s="44"/>
      <c r="B44" s="74"/>
      <c r="C44" s="31"/>
      <c r="O44"/>
      <c r="P44"/>
      <c r="W44" s="44"/>
      <c r="Y44"/>
      <c r="Z44"/>
      <c r="AC44"/>
      <c r="AE44"/>
      <c r="AF44"/>
      <c r="AI44" s="116"/>
    </row>
    <row r="45" spans="1:35" hidden="1" x14ac:dyDescent="0.2">
      <c r="A45" s="44"/>
      <c r="B45" s="74"/>
      <c r="C45" s="31"/>
      <c r="O45"/>
      <c r="P45"/>
      <c r="W45" s="44"/>
      <c r="Y45"/>
      <c r="Z45"/>
      <c r="AC45"/>
      <c r="AE45"/>
      <c r="AF45"/>
      <c r="AI45" s="116"/>
    </row>
    <row r="46" spans="1:35" hidden="1" x14ac:dyDescent="0.2">
      <c r="A46" s="44"/>
      <c r="B46" s="74"/>
      <c r="C46" s="31"/>
      <c r="O46"/>
      <c r="P46"/>
      <c r="W46" s="44"/>
      <c r="Y46"/>
      <c r="Z46"/>
      <c r="AC46"/>
      <c r="AE46"/>
      <c r="AF46"/>
      <c r="AI46" s="116"/>
    </row>
    <row r="47" spans="1:35" hidden="1" x14ac:dyDescent="0.2">
      <c r="A47" s="44"/>
      <c r="B47" s="74"/>
      <c r="C47" s="31"/>
      <c r="O47"/>
      <c r="P47"/>
      <c r="W47" s="44"/>
      <c r="Y47"/>
      <c r="Z47"/>
      <c r="AC47"/>
      <c r="AE47"/>
      <c r="AF47"/>
      <c r="AI47" s="116"/>
    </row>
    <row r="48" spans="1:35" hidden="1" x14ac:dyDescent="0.2">
      <c r="A48" s="44"/>
      <c r="B48" s="74"/>
      <c r="C48" s="31"/>
      <c r="O48"/>
      <c r="P48"/>
      <c r="W48" s="44"/>
      <c r="Y48"/>
      <c r="Z48"/>
      <c r="AC48"/>
      <c r="AE48"/>
      <c r="AF48"/>
      <c r="AI48" s="116"/>
    </row>
    <row r="49" spans="1:35" hidden="1" x14ac:dyDescent="0.2">
      <c r="A49" s="44"/>
      <c r="B49" s="74"/>
      <c r="C49" s="31"/>
      <c r="O49"/>
      <c r="P49"/>
      <c r="W49" s="44"/>
      <c r="Y49"/>
      <c r="Z49"/>
      <c r="AC49"/>
      <c r="AE49"/>
      <c r="AF49"/>
      <c r="AI49" s="116"/>
    </row>
    <row r="50" spans="1:35" hidden="1" x14ac:dyDescent="0.2">
      <c r="A50" s="44"/>
      <c r="B50" s="74"/>
      <c r="C50" s="31"/>
      <c r="O50"/>
      <c r="P50"/>
      <c r="W50" s="44"/>
      <c r="Y50"/>
      <c r="Z50"/>
      <c r="AC50"/>
      <c r="AE50"/>
      <c r="AF50"/>
      <c r="AI50" s="116"/>
    </row>
    <row r="51" spans="1:35" hidden="1" x14ac:dyDescent="0.2">
      <c r="A51" s="44"/>
      <c r="B51" s="74"/>
      <c r="C51" s="31"/>
      <c r="O51"/>
      <c r="P51"/>
      <c r="W51" s="44"/>
      <c r="Y51"/>
      <c r="Z51"/>
      <c r="AC51"/>
      <c r="AE51"/>
      <c r="AF51"/>
      <c r="AI51" s="116"/>
    </row>
    <row r="52" spans="1:35" hidden="1" x14ac:dyDescent="0.2">
      <c r="A52" s="44"/>
      <c r="B52" s="74"/>
      <c r="C52" s="31"/>
      <c r="O52"/>
      <c r="P52"/>
      <c r="W52" s="44"/>
      <c r="Y52"/>
      <c r="Z52"/>
      <c r="AC52"/>
      <c r="AE52"/>
      <c r="AF52"/>
      <c r="AI52" s="116"/>
    </row>
    <row r="53" spans="1:35" hidden="1" x14ac:dyDescent="0.2">
      <c r="A53" s="44"/>
      <c r="B53" s="74"/>
      <c r="C53" s="31"/>
      <c r="O53"/>
      <c r="P53"/>
      <c r="W53" s="44"/>
      <c r="Y53"/>
      <c r="Z53"/>
      <c r="AC53"/>
      <c r="AE53"/>
      <c r="AF53"/>
      <c r="AI53" s="116"/>
    </row>
    <row r="54" spans="1:35" s="56" customFormat="1" x14ac:dyDescent="0.2">
      <c r="A54" s="55"/>
      <c r="C54" s="57"/>
      <c r="D54" s="57"/>
      <c r="E54" s="57"/>
      <c r="F54" s="57"/>
      <c r="G54" s="57"/>
      <c r="H54" s="57"/>
      <c r="I54" s="57"/>
      <c r="J54" s="57"/>
      <c r="K54" s="57"/>
      <c r="L54" s="57"/>
      <c r="V54" s="83"/>
      <c r="W54" s="58"/>
      <c r="AD54" s="58"/>
    </row>
    <row r="55" spans="1:35" ht="14.25" hidden="1" customHeight="1" x14ac:dyDescent="0.2">
      <c r="E55" s="3" t="s">
        <v>52</v>
      </c>
    </row>
    <row r="56" spans="1:35" s="33" customFormat="1" ht="14.25" hidden="1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 s="39"/>
      <c r="V56" s="84"/>
      <c r="W56" s="44"/>
      <c r="Y56"/>
      <c r="Z56"/>
      <c r="AB56" s="39"/>
      <c r="AC56"/>
      <c r="AD56" s="44"/>
      <c r="AE56"/>
      <c r="AF56"/>
    </row>
    <row r="57" spans="1:35" ht="14.25" hidden="1" customHeight="1" x14ac:dyDescent="0.2">
      <c r="A57" s="31" t="s">
        <v>65</v>
      </c>
      <c r="B57">
        <v>4.1840000000000002</v>
      </c>
      <c r="C57" t="s">
        <v>64</v>
      </c>
      <c r="D57"/>
      <c r="E57" t="s">
        <v>56</v>
      </c>
      <c r="F57"/>
      <c r="G57"/>
      <c r="H57"/>
      <c r="I57"/>
      <c r="J57"/>
      <c r="K57"/>
      <c r="L57"/>
      <c r="N57"/>
      <c r="O57"/>
      <c r="P57"/>
      <c r="W57" s="44"/>
      <c r="Y57"/>
      <c r="Z57"/>
      <c r="AC57"/>
      <c r="AD57" s="44"/>
      <c r="AE57"/>
      <c r="AF57"/>
    </row>
    <row r="58" spans="1:35" ht="14.25" hidden="1" customHeight="1" x14ac:dyDescent="0.2">
      <c r="A58" s="31"/>
      <c r="C58"/>
      <c r="D58"/>
      <c r="E58" t="s">
        <v>57</v>
      </c>
      <c r="F58"/>
      <c r="G58"/>
      <c r="H58"/>
      <c r="I58"/>
      <c r="J58"/>
      <c r="K58"/>
      <c r="L58"/>
      <c r="N58"/>
      <c r="O58"/>
      <c r="P58"/>
      <c r="W58" s="44"/>
      <c r="Y58"/>
      <c r="Z58"/>
      <c r="AC58"/>
      <c r="AD58" s="44"/>
      <c r="AE58"/>
      <c r="AF58"/>
    </row>
    <row r="59" spans="1:35" ht="14.25" hidden="1" customHeight="1" x14ac:dyDescent="0.2">
      <c r="A59" s="31"/>
      <c r="C59"/>
      <c r="D59"/>
      <c r="E59" t="s">
        <v>58</v>
      </c>
      <c r="F59"/>
      <c r="G59"/>
      <c r="H59"/>
      <c r="I59"/>
      <c r="J59"/>
      <c r="K59"/>
      <c r="L59"/>
      <c r="N59"/>
      <c r="O59"/>
      <c r="P59"/>
      <c r="W59" s="44"/>
      <c r="Y59"/>
      <c r="Z59"/>
      <c r="AC59"/>
      <c r="AD59" s="44"/>
      <c r="AE59"/>
      <c r="AF59"/>
    </row>
    <row r="60" spans="1:35" ht="14.25" hidden="1" customHeight="1" x14ac:dyDescent="0.2">
      <c r="A60" s="31"/>
      <c r="C60"/>
      <c r="D60"/>
      <c r="E60" t="s">
        <v>59</v>
      </c>
      <c r="F60"/>
      <c r="G60"/>
      <c r="H60"/>
      <c r="I60"/>
      <c r="J60"/>
      <c r="K60"/>
      <c r="L60"/>
      <c r="N60"/>
      <c r="O60"/>
      <c r="P60"/>
      <c r="W60" s="44"/>
      <c r="Y60"/>
      <c r="Z60"/>
      <c r="AC60"/>
      <c r="AD60" s="44"/>
      <c r="AE60"/>
      <c r="AF60"/>
    </row>
    <row r="61" spans="1:35" ht="14.25" hidden="1" customHeight="1" x14ac:dyDescent="0.2">
      <c r="A61" s="31"/>
      <c r="C61"/>
      <c r="D61"/>
      <c r="E61" t="s">
        <v>53</v>
      </c>
      <c r="F61"/>
      <c r="G61"/>
      <c r="H61"/>
      <c r="I61"/>
      <c r="J61"/>
      <c r="K61"/>
      <c r="L61"/>
      <c r="N61"/>
      <c r="O61"/>
      <c r="P61"/>
      <c r="W61" s="44"/>
      <c r="Y61"/>
      <c r="Z61"/>
      <c r="AC61"/>
      <c r="AD61" s="44"/>
      <c r="AE61"/>
      <c r="AF61"/>
    </row>
    <row r="62" spans="1:35" ht="14.25" hidden="1" customHeight="1" x14ac:dyDescent="0.2">
      <c r="A62" s="31"/>
      <c r="C62"/>
      <c r="D62"/>
      <c r="E62" t="s">
        <v>54</v>
      </c>
      <c r="F62"/>
      <c r="G62"/>
      <c r="H62"/>
      <c r="I62"/>
      <c r="J62"/>
      <c r="K62"/>
      <c r="L62"/>
      <c r="N62"/>
      <c r="O62"/>
      <c r="P62"/>
      <c r="W62" s="44"/>
      <c r="Y62"/>
      <c r="Z62"/>
      <c r="AC62"/>
      <c r="AD62" s="44"/>
      <c r="AE62"/>
      <c r="AF62"/>
    </row>
    <row r="63" spans="1:35" ht="14.25" hidden="1" customHeight="1" x14ac:dyDescent="0.2">
      <c r="A63" s="31"/>
      <c r="C63"/>
      <c r="D63"/>
      <c r="E63" t="s">
        <v>55</v>
      </c>
      <c r="F63"/>
      <c r="G63"/>
      <c r="H63"/>
      <c r="I63"/>
      <c r="J63"/>
      <c r="K63"/>
      <c r="L63"/>
      <c r="N63"/>
      <c r="O63"/>
      <c r="P63"/>
      <c r="W63" s="44"/>
      <c r="Y63"/>
      <c r="Z63"/>
      <c r="AC63"/>
      <c r="AD63" s="44"/>
      <c r="AE63"/>
      <c r="AF63"/>
    </row>
    <row r="64" spans="1:35" ht="14.25" hidden="1" customHeight="1" x14ac:dyDescent="0.2">
      <c r="A64" s="31"/>
      <c r="C64"/>
      <c r="D64"/>
      <c r="E64" t="s">
        <v>60</v>
      </c>
      <c r="F64"/>
      <c r="G64"/>
      <c r="H64"/>
      <c r="I64"/>
      <c r="J64"/>
      <c r="K64"/>
      <c r="L64"/>
      <c r="N64"/>
      <c r="O64"/>
      <c r="P64"/>
      <c r="W64" s="44"/>
      <c r="Y64"/>
      <c r="Z64"/>
      <c r="AC64"/>
      <c r="AD64" s="44"/>
      <c r="AE64"/>
      <c r="AF64"/>
    </row>
    <row r="65" spans="1:33" ht="14.25" hidden="1" customHeight="1" x14ac:dyDescent="0.2">
      <c r="A65" s="31"/>
      <c r="C65"/>
      <c r="D65"/>
      <c r="E65"/>
      <c r="F65"/>
      <c r="G65"/>
      <c r="H65"/>
      <c r="I65"/>
      <c r="J65"/>
      <c r="K65"/>
      <c r="L65"/>
      <c r="N65"/>
      <c r="O65"/>
      <c r="P65"/>
      <c r="W65" s="44"/>
      <c r="Y65"/>
      <c r="Z65"/>
      <c r="AC65"/>
      <c r="AD65" s="44"/>
      <c r="AE65"/>
      <c r="AF65"/>
    </row>
    <row r="66" spans="1:33" ht="14.25" hidden="1" customHeight="1" x14ac:dyDescent="0.2">
      <c r="A66" t="s">
        <v>69</v>
      </c>
      <c r="B66">
        <v>298</v>
      </c>
      <c r="C66">
        <f>B66/1000</f>
        <v>0.29799999999999999</v>
      </c>
      <c r="D66" s="31" t="s">
        <v>83</v>
      </c>
      <c r="E66" s="34" t="s">
        <v>71</v>
      </c>
      <c r="F66" s="34" t="s">
        <v>72</v>
      </c>
      <c r="G66" s="34" t="s">
        <v>73</v>
      </c>
      <c r="H66" s="34" t="s">
        <v>74</v>
      </c>
      <c r="K66" s="3" t="s">
        <v>75</v>
      </c>
      <c r="L66" s="3" t="s">
        <v>76</v>
      </c>
      <c r="N66"/>
      <c r="W66" s="44"/>
      <c r="AC66"/>
      <c r="AD66" s="44"/>
      <c r="AE66"/>
      <c r="AF66"/>
    </row>
    <row r="67" spans="1:33" ht="14.25" hidden="1" customHeight="1" x14ac:dyDescent="0.2">
      <c r="A67" t="s">
        <v>38</v>
      </c>
      <c r="B67" t="s">
        <v>41</v>
      </c>
      <c r="C67">
        <f>111.7-273.15</f>
        <v>-161.44999999999999</v>
      </c>
      <c r="D67">
        <v>16.042999999999999</v>
      </c>
      <c r="E67">
        <v>4.5979999999999999</v>
      </c>
      <c r="F67" s="49">
        <v>1.2449999999999999E-2</v>
      </c>
      <c r="G67" s="49">
        <v>2.8600000000000001E-6</v>
      </c>
      <c r="H67" s="49">
        <v>-2.7029999999999999E-9</v>
      </c>
      <c r="J67"/>
      <c r="K67" s="8">
        <v>-12.15</v>
      </c>
      <c r="L67" s="8">
        <v>-17.89</v>
      </c>
      <c r="N67"/>
      <c r="O67" s="48"/>
      <c r="P67" s="48"/>
      <c r="W67" s="44"/>
      <c r="Y67" s="48"/>
      <c r="Z67" s="48"/>
      <c r="AC67"/>
      <c r="AD67" s="44"/>
      <c r="AE67"/>
      <c r="AF67"/>
    </row>
    <row r="68" spans="1:33" ht="14.25" hidden="1" customHeight="1" x14ac:dyDescent="0.2">
      <c r="A68" t="s">
        <v>39</v>
      </c>
      <c r="B68" t="s">
        <v>42</v>
      </c>
      <c r="C68">
        <f>184.5-273.15</f>
        <v>-88.649999999999977</v>
      </c>
      <c r="D68">
        <v>30.07</v>
      </c>
      <c r="E68">
        <v>1.292</v>
      </c>
      <c r="F68" s="49">
        <v>4.2540000000000001E-2</v>
      </c>
      <c r="G68" s="49">
        <v>-1.6569999999999999E-5</v>
      </c>
      <c r="H68" s="49">
        <v>2.0810000000000002E-9</v>
      </c>
      <c r="I68"/>
      <c r="J68"/>
      <c r="K68">
        <v>-7.87</v>
      </c>
      <c r="L68">
        <v>-20.239999999999998</v>
      </c>
      <c r="N68"/>
      <c r="O68"/>
      <c r="P68"/>
      <c r="W68" s="44"/>
      <c r="Y68"/>
      <c r="Z68"/>
      <c r="AC68"/>
      <c r="AD68" s="44"/>
      <c r="AE68"/>
      <c r="AF68"/>
    </row>
    <row r="69" spans="1:33" ht="14.25" hidden="1" customHeight="1" x14ac:dyDescent="0.2">
      <c r="A69" t="s">
        <v>0</v>
      </c>
      <c r="B69" t="s">
        <v>1</v>
      </c>
      <c r="C69">
        <f>231.1-273.15</f>
        <v>-42.049999999999983</v>
      </c>
      <c r="D69">
        <v>44.097000000000001</v>
      </c>
      <c r="E69">
        <v>-1.0089999999999999</v>
      </c>
      <c r="F69" s="49">
        <v>7.3150000000000007E-2</v>
      </c>
      <c r="G69" s="49">
        <v>-3.7889999999999998E-5</v>
      </c>
      <c r="H69" s="49">
        <v>7.6779999999999993E-9</v>
      </c>
      <c r="I69"/>
      <c r="J69"/>
      <c r="K69">
        <v>-5.61</v>
      </c>
      <c r="L69">
        <v>-24.82</v>
      </c>
      <c r="N69"/>
      <c r="O69"/>
      <c r="P69"/>
      <c r="W69" s="44"/>
      <c r="Y69"/>
      <c r="Z69"/>
      <c r="AC69"/>
      <c r="AD69" s="44"/>
      <c r="AE69"/>
      <c r="AF69"/>
    </row>
    <row r="70" spans="1:33" ht="14.25" hidden="1" customHeight="1" x14ac:dyDescent="0.2">
      <c r="A70" t="s">
        <v>70</v>
      </c>
      <c r="B70" t="s">
        <v>3</v>
      </c>
      <c r="C70">
        <f>272.7-273.15</f>
        <v>-0.44999999999998863</v>
      </c>
      <c r="D70">
        <v>58.124000000000002</v>
      </c>
      <c r="E70">
        <v>2.266</v>
      </c>
      <c r="F70" s="49">
        <v>7.9130000000000006E-2</v>
      </c>
      <c r="G70" s="49">
        <v>-2.6469999999999999E-5</v>
      </c>
      <c r="H70" s="49">
        <v>-6.7400000000000005E-10</v>
      </c>
      <c r="I70"/>
      <c r="J70"/>
      <c r="K70">
        <v>-4.0999999999999996</v>
      </c>
      <c r="L70">
        <v>-30.15</v>
      </c>
      <c r="N70"/>
      <c r="O70"/>
      <c r="P70"/>
      <c r="W70" s="44"/>
      <c r="Y70"/>
      <c r="Z70"/>
      <c r="AC70"/>
      <c r="AD70" s="44"/>
      <c r="AE70"/>
      <c r="AF70"/>
    </row>
    <row r="71" spans="1:33" ht="14.25" hidden="1" customHeight="1" x14ac:dyDescent="0.2">
      <c r="A71" t="s">
        <v>81</v>
      </c>
      <c r="B71" t="s">
        <v>82</v>
      </c>
      <c r="C71" s="3">
        <f>337.8-273.15</f>
        <v>64.650000000000034</v>
      </c>
      <c r="D71">
        <v>32.042000000000002</v>
      </c>
      <c r="E71">
        <v>5.0519999999999996</v>
      </c>
      <c r="F71" s="49">
        <v>1.694E-2</v>
      </c>
      <c r="G71" s="49">
        <v>6.1789999999999996E-6</v>
      </c>
      <c r="H71" s="49">
        <v>-6.8109999999999997E-9</v>
      </c>
      <c r="I71"/>
      <c r="J71"/>
      <c r="K71">
        <v>-17.89</v>
      </c>
      <c r="L71">
        <v>-12.15</v>
      </c>
      <c r="N71"/>
      <c r="O71"/>
      <c r="P71"/>
      <c r="W71" s="44"/>
      <c r="Y71"/>
      <c r="Z71"/>
      <c r="AC71"/>
      <c r="AD71" s="44"/>
      <c r="AE71"/>
      <c r="AF71"/>
    </row>
    <row r="72" spans="1:33" ht="14.25" hidden="1" customHeight="1" x14ac:dyDescent="0.2">
      <c r="C72"/>
      <c r="D72"/>
      <c r="E72"/>
      <c r="F72"/>
      <c r="G72"/>
      <c r="H72"/>
      <c r="I72"/>
      <c r="J72"/>
      <c r="K72"/>
      <c r="L72"/>
      <c r="N72"/>
      <c r="O72"/>
      <c r="P72"/>
      <c r="W72" s="44"/>
      <c r="Y72"/>
      <c r="Z72"/>
      <c r="AC72"/>
      <c r="AD72" s="44"/>
      <c r="AE72"/>
      <c r="AF72"/>
    </row>
    <row r="73" spans="1:33" ht="14.25" hidden="1" customHeight="1" x14ac:dyDescent="0.2">
      <c r="C73"/>
      <c r="D73"/>
      <c r="E73" s="9">
        <f>E67*cal</f>
        <v>19.238032</v>
      </c>
      <c r="F73" s="9">
        <f>F67*cal*1000</f>
        <v>52.090800000000002</v>
      </c>
      <c r="G73" s="9">
        <f>G67*cal*1000000</f>
        <v>11.966240000000003</v>
      </c>
      <c r="H73" s="9">
        <f>H67*cal*1000000000</f>
        <v>-11.309352000000001</v>
      </c>
      <c r="I73"/>
      <c r="K73" s="50">
        <f>K67*cal*1000-(E73*LN(C66)+F73*C66+G73/2*C66^2+H73/3*C66^3)</f>
        <v>-50828.263871057934</v>
      </c>
      <c r="L73">
        <f>L67*cal</f>
        <v>-74.851759999999999</v>
      </c>
      <c r="N73"/>
      <c r="O73" s="48">
        <f>E73+F73*$O$14+G73*$O$14^2+H73*$O$14^3+I73*$O$14^-2</f>
        <v>41.885219838430466</v>
      </c>
      <c r="P73" s="48"/>
      <c r="W73" s="44"/>
      <c r="Y73" s="48" t="e">
        <f>#REF!+#REF!*$O$14+#REF!*$O$14^2+#REF!*$O$14^3+#REF!*$O$14^-2</f>
        <v>#REF!</v>
      </c>
      <c r="Z73" s="48"/>
      <c r="AC73"/>
      <c r="AD73" s="44"/>
      <c r="AE73"/>
      <c r="AF73"/>
    </row>
    <row r="74" spans="1:33" ht="14.25" hidden="1" customHeight="1" x14ac:dyDescent="0.2">
      <c r="C74"/>
      <c r="D74"/>
      <c r="E74" s="9">
        <f>E68*cal</f>
        <v>5.4057280000000008</v>
      </c>
      <c r="F74" s="9">
        <f>F68*cal*1000</f>
        <v>177.98736000000002</v>
      </c>
      <c r="G74" s="9">
        <f>G68*cal*1000000</f>
        <v>-69.328879999999998</v>
      </c>
      <c r="H74" s="9">
        <f>H68*cal*1000000000</f>
        <v>8.7069040000000015</v>
      </c>
      <c r="I74"/>
      <c r="K74"/>
      <c r="L74">
        <f>L68*cal</f>
        <v>-84.684159999999991</v>
      </c>
      <c r="N74"/>
      <c r="O74" s="48">
        <f>E74+F74*$O$14+G74*$O$14^2+H74*$O$14^3+I74*$O$14^-2</f>
        <v>67.455688375525739</v>
      </c>
      <c r="P74" s="48"/>
      <c r="W74" s="44"/>
      <c r="Y74" s="48" t="e">
        <f>#REF!+#REF!*$O$14+#REF!*$O$14^2+#REF!*$O$14^3+#REF!*$O$14^-2</f>
        <v>#REF!</v>
      </c>
      <c r="Z74" s="48"/>
      <c r="AC74"/>
      <c r="AD74" s="44"/>
      <c r="AE74"/>
      <c r="AF74"/>
    </row>
    <row r="75" spans="1:33" ht="14.25" hidden="1" customHeight="1" x14ac:dyDescent="0.2">
      <c r="C75"/>
      <c r="D75"/>
      <c r="E75" s="9">
        <f>E69*cal</f>
        <v>-4.2216559999999994</v>
      </c>
      <c r="F75" s="9">
        <f>F69*cal*1000</f>
        <v>306.05960000000005</v>
      </c>
      <c r="G75" s="8">
        <f>G69*cal*1000000</f>
        <v>-158.53175999999999</v>
      </c>
      <c r="H75" s="9">
        <f>H69*cal*1000000000</f>
        <v>32.124752000000001</v>
      </c>
      <c r="I75"/>
      <c r="K75"/>
      <c r="L75">
        <f>L69*cal</f>
        <v>-103.84688</v>
      </c>
      <c r="N75"/>
      <c r="O75" s="48">
        <f>E75+F75*$O$14+G75*$O$14^2+H75*$O$14^3+I75*$O$14^-2</f>
        <v>97.025577234337831</v>
      </c>
      <c r="P75" s="48"/>
      <c r="W75" s="44"/>
      <c r="Y75" s="48" t="e">
        <f>#REF!+#REF!*$O$14+#REF!*$O$14^2+#REF!*$O$14^3+#REF!*$O$14^-2</f>
        <v>#REF!</v>
      </c>
      <c r="Z75" s="48"/>
      <c r="AC75"/>
      <c r="AD75" s="44"/>
      <c r="AE75"/>
      <c r="AF75"/>
    </row>
    <row r="76" spans="1:33" ht="14.25" hidden="1" customHeight="1" x14ac:dyDescent="0.2">
      <c r="C76"/>
      <c r="D76"/>
      <c r="E76" s="9">
        <f>E70*cal</f>
        <v>9.4809440000000009</v>
      </c>
      <c r="F76" s="9">
        <f>F70*cal*1000</f>
        <v>331.07992000000002</v>
      </c>
      <c r="G76" s="8">
        <f>G70*cal*1000000</f>
        <v>-110.75048</v>
      </c>
      <c r="H76" s="9">
        <f>H70*cal*1000000000</f>
        <v>-2.8200160000000003</v>
      </c>
      <c r="I76"/>
      <c r="K76"/>
      <c r="L76">
        <f>L70*cal</f>
        <v>-126.1476</v>
      </c>
      <c r="N76"/>
      <c r="O76" s="48">
        <f>E76+F76*$O$14+G76*$O$14^2+H76*$O$14^3+I76*$O$14^-2</f>
        <v>126.65809647159432</v>
      </c>
      <c r="P76" s="48"/>
      <c r="W76" s="44"/>
      <c r="Y76" s="48" t="e">
        <f>#REF!+#REF!*$O$14+#REF!*$O$14^2+#REF!*$O$14^3+#REF!*$O$14^-2</f>
        <v>#REF!</v>
      </c>
      <c r="Z76" s="48"/>
      <c r="AC76"/>
      <c r="AD76" s="44"/>
      <c r="AE76"/>
      <c r="AF76"/>
    </row>
    <row r="77" spans="1:33" ht="14.25" hidden="1" customHeight="1" x14ac:dyDescent="0.2">
      <c r="C77"/>
      <c r="D77"/>
      <c r="E77" s="9">
        <f>E71*cal</f>
        <v>21.137567999999998</v>
      </c>
      <c r="F77" s="9">
        <f>F71*cal*1000</f>
        <v>70.876959999999997</v>
      </c>
      <c r="G77" s="8">
        <f>G71*cal*1000000</f>
        <v>25.852936</v>
      </c>
      <c r="H77" s="9">
        <f>H71*cal*1000000000</f>
        <v>-28.497223999999999</v>
      </c>
      <c r="I77"/>
      <c r="K77"/>
      <c r="L77">
        <f>L71*cal</f>
        <v>-50.835600000000007</v>
      </c>
      <c r="N77"/>
      <c r="O77" s="48"/>
      <c r="P77" s="48"/>
      <c r="W77" s="44"/>
      <c r="Y77" s="48"/>
      <c r="Z77" s="48"/>
      <c r="AC77"/>
      <c r="AD77" s="44"/>
      <c r="AE77"/>
      <c r="AF77"/>
    </row>
    <row r="78" spans="1:33" s="56" customFormat="1" x14ac:dyDescent="0.2">
      <c r="V78" s="83"/>
      <c r="W78" s="58"/>
      <c r="AD78" s="58"/>
    </row>
    <row r="79" spans="1:33" x14ac:dyDescent="0.2">
      <c r="C79"/>
      <c r="D79"/>
      <c r="E79"/>
      <c r="F79"/>
      <c r="G79"/>
      <c r="H79"/>
      <c r="I79"/>
      <c r="J79"/>
      <c r="K79"/>
      <c r="L79"/>
      <c r="N79"/>
      <c r="O79"/>
      <c r="P79"/>
      <c r="W79" s="44"/>
      <c r="Y79"/>
      <c r="Z79"/>
      <c r="AC79"/>
      <c r="AD79" s="96" t="s">
        <v>115</v>
      </c>
      <c r="AE79"/>
      <c r="AF79"/>
      <c r="AG79" s="154">
        <f>SUM(AG82:AG100)</f>
        <v>5.80009527440785</v>
      </c>
    </row>
    <row r="80" spans="1:33" x14ac:dyDescent="0.2">
      <c r="C80"/>
      <c r="D80"/>
      <c r="E80"/>
      <c r="F80"/>
      <c r="G80"/>
      <c r="H80"/>
      <c r="I80"/>
      <c r="J80"/>
      <c r="K80"/>
      <c r="L80"/>
      <c r="N80"/>
      <c r="O80"/>
      <c r="P80"/>
      <c r="W80" s="44"/>
      <c r="Y80"/>
      <c r="Z80"/>
      <c r="AC80"/>
      <c r="AD80" s="132" t="s">
        <v>111</v>
      </c>
      <c r="AE80" s="132" t="s">
        <v>27</v>
      </c>
      <c r="AF80" s="132" t="s">
        <v>86</v>
      </c>
      <c r="AG80" s="132" t="s">
        <v>179</v>
      </c>
    </row>
    <row r="81" spans="3:33" x14ac:dyDescent="0.2">
      <c r="C81"/>
      <c r="D81"/>
      <c r="E81"/>
      <c r="F81"/>
      <c r="G81"/>
      <c r="H81"/>
      <c r="I81"/>
      <c r="J81"/>
      <c r="K81"/>
      <c r="O81"/>
      <c r="P81"/>
      <c r="R81" s="67"/>
      <c r="W81" s="44"/>
      <c r="Y81"/>
      <c r="Z81"/>
      <c r="AC81"/>
      <c r="AD81" s="133">
        <f>+A1</f>
        <v>42</v>
      </c>
      <c r="AE81" s="153">
        <f>IF(M5&gt;0,AF5,0)</f>
        <v>4.3595503952902487E-3</v>
      </c>
      <c r="AF81" s="153">
        <f>IF(M8&gt;0,AF8,0)</f>
        <v>4.3549538033359794E-4</v>
      </c>
      <c r="AG81" s="153">
        <f>+AF81+AE81</f>
        <v>4.7950457756238468E-3</v>
      </c>
    </row>
    <row r="82" spans="3:33" x14ac:dyDescent="0.2">
      <c r="C82"/>
      <c r="D82"/>
      <c r="E82"/>
      <c r="F82"/>
      <c r="G82"/>
      <c r="H82"/>
      <c r="I82"/>
      <c r="J82"/>
      <c r="K82"/>
      <c r="O82"/>
      <c r="P82"/>
      <c r="R82" s="67"/>
      <c r="W82" s="44"/>
      <c r="Y82"/>
      <c r="Z82"/>
      <c r="AC82"/>
      <c r="AD82" s="106">
        <v>7</v>
      </c>
      <c r="AE82" s="154">
        <f t="dataTable" ref="AE82:AG103" dt2D="0" dtr="0" r1="A1"/>
        <v>0</v>
      </c>
      <c r="AF82" s="154">
        <v>4.916577497477247E-3</v>
      </c>
      <c r="AG82" s="155">
        <v>4.916577497477247E-3</v>
      </c>
    </row>
    <row r="83" spans="3:33" x14ac:dyDescent="0.2">
      <c r="C83"/>
      <c r="D83"/>
      <c r="E83"/>
      <c r="F83"/>
      <c r="G83"/>
      <c r="H83"/>
      <c r="I83"/>
      <c r="J83"/>
      <c r="K83"/>
      <c r="O83"/>
      <c r="P83"/>
      <c r="R83" s="67"/>
      <c r="W83" s="44"/>
      <c r="Y83"/>
      <c r="Z83"/>
      <c r="AC83"/>
      <c r="AD83" s="106">
        <v>8</v>
      </c>
      <c r="AE83" s="154">
        <v>0</v>
      </c>
      <c r="AF83" s="154">
        <v>0.3398727049165442</v>
      </c>
      <c r="AG83" s="155">
        <v>0.3398727049165442</v>
      </c>
    </row>
    <row r="84" spans="3:33" x14ac:dyDescent="0.2">
      <c r="C84"/>
      <c r="D84"/>
      <c r="E84"/>
      <c r="F84"/>
      <c r="G84"/>
      <c r="H84"/>
      <c r="I84"/>
      <c r="J84"/>
      <c r="K84"/>
      <c r="O84"/>
      <c r="P84"/>
      <c r="R84" s="67"/>
      <c r="W84" s="44"/>
      <c r="Y84"/>
      <c r="Z84"/>
      <c r="AC84"/>
      <c r="AD84" s="106">
        <v>16</v>
      </c>
      <c r="AE84" s="154">
        <v>0</v>
      </c>
      <c r="AF84" s="154">
        <v>1.9005682645504066E-2</v>
      </c>
      <c r="AG84" s="155">
        <v>1.9005682645504066E-2</v>
      </c>
    </row>
    <row r="85" spans="3:33" x14ac:dyDescent="0.2">
      <c r="C85"/>
      <c r="D85"/>
      <c r="E85"/>
      <c r="F85"/>
      <c r="G85"/>
      <c r="H85"/>
      <c r="I85"/>
      <c r="J85"/>
      <c r="K85"/>
      <c r="O85"/>
      <c r="P85"/>
      <c r="R85" s="67"/>
      <c r="W85" s="44"/>
      <c r="Y85"/>
      <c r="Z85"/>
      <c r="AC85"/>
      <c r="AD85" s="106">
        <v>17</v>
      </c>
      <c r="AE85" s="154">
        <v>0</v>
      </c>
      <c r="AF85" s="154">
        <v>1.0893531919096764</v>
      </c>
      <c r="AG85" s="155">
        <v>1.0893531919096764</v>
      </c>
    </row>
    <row r="86" spans="3:33" x14ac:dyDescent="0.2">
      <c r="C86"/>
      <c r="D86"/>
      <c r="E86"/>
      <c r="F86"/>
      <c r="G86"/>
      <c r="H86"/>
      <c r="I86"/>
      <c r="J86"/>
      <c r="K86"/>
      <c r="O86"/>
      <c r="P86"/>
      <c r="R86" s="67"/>
      <c r="W86" s="44"/>
      <c r="Y86"/>
      <c r="Z86"/>
      <c r="AC86"/>
      <c r="AD86" s="106">
        <v>19</v>
      </c>
      <c r="AE86" s="154">
        <v>0.79573437506151623</v>
      </c>
      <c r="AF86" s="154">
        <v>1.4674112574199288E-3</v>
      </c>
      <c r="AG86" s="155">
        <v>0.79720178631893612</v>
      </c>
    </row>
    <row r="87" spans="3:33" x14ac:dyDescent="0.2">
      <c r="C87"/>
      <c r="D87"/>
      <c r="E87"/>
      <c r="F87"/>
      <c r="G87"/>
      <c r="H87"/>
      <c r="I87"/>
      <c r="J87"/>
      <c r="K87"/>
      <c r="O87"/>
      <c r="P87"/>
      <c r="R87" s="67"/>
      <c r="W87" s="44"/>
      <c r="Y87"/>
      <c r="Z87"/>
      <c r="AC87"/>
      <c r="AD87" s="106">
        <v>25</v>
      </c>
      <c r="AE87" s="154">
        <v>0</v>
      </c>
      <c r="AF87" s="154">
        <v>2.3730959893362671E-2</v>
      </c>
      <c r="AG87" s="155">
        <v>2.3730959893362671E-2</v>
      </c>
    </row>
    <row r="88" spans="3:33" x14ac:dyDescent="0.2">
      <c r="C88"/>
      <c r="D88"/>
      <c r="E88"/>
      <c r="F88"/>
      <c r="G88"/>
      <c r="H88"/>
      <c r="I88"/>
      <c r="J88"/>
      <c r="K88"/>
      <c r="O88"/>
      <c r="P88"/>
      <c r="R88" s="67"/>
      <c r="W88" s="44"/>
      <c r="Y88"/>
      <c r="Z88"/>
      <c r="AC88"/>
      <c r="AD88" s="106">
        <v>26</v>
      </c>
      <c r="AE88" s="154">
        <v>0</v>
      </c>
      <c r="AF88" s="154">
        <v>0.15746542067785713</v>
      </c>
      <c r="AG88" s="155">
        <v>0.15746542067785713</v>
      </c>
    </row>
    <row r="89" spans="3:33" x14ac:dyDescent="0.2">
      <c r="C89"/>
      <c r="D89"/>
      <c r="E89"/>
      <c r="F89"/>
      <c r="G89"/>
      <c r="H89"/>
      <c r="I89"/>
      <c r="J89"/>
      <c r="K89"/>
      <c r="O89"/>
      <c r="P89"/>
      <c r="R89" s="67"/>
      <c r="W89" s="44"/>
      <c r="Y89"/>
      <c r="Z89"/>
      <c r="AC89"/>
      <c r="AD89" s="106">
        <v>29</v>
      </c>
      <c r="AE89" s="154">
        <v>0.93348762324312573</v>
      </c>
      <c r="AF89" s="154">
        <v>8.4349816583774544E-3</v>
      </c>
      <c r="AG89" s="155">
        <v>0.94192260490150315</v>
      </c>
    </row>
    <row r="90" spans="3:33" x14ac:dyDescent="0.2">
      <c r="C90"/>
      <c r="D90"/>
      <c r="E90"/>
      <c r="F90"/>
      <c r="G90"/>
      <c r="H90"/>
      <c r="I90"/>
      <c r="J90"/>
      <c r="K90"/>
      <c r="O90"/>
      <c r="P90"/>
      <c r="R90" s="67"/>
      <c r="W90" s="44"/>
      <c r="Y90"/>
      <c r="Z90"/>
      <c r="AC90"/>
      <c r="AD90" s="106">
        <v>35</v>
      </c>
      <c r="AE90" s="154">
        <v>0</v>
      </c>
      <c r="AF90" s="154">
        <v>2.2010155339403859E-2</v>
      </c>
      <c r="AG90" s="155">
        <v>2.2010155339403859E-2</v>
      </c>
    </row>
    <row r="91" spans="3:33" x14ac:dyDescent="0.2">
      <c r="C91"/>
      <c r="D91"/>
      <c r="E91"/>
      <c r="F91"/>
      <c r="G91"/>
      <c r="H91"/>
      <c r="I91"/>
      <c r="J91"/>
      <c r="K91"/>
      <c r="O91"/>
      <c r="P91"/>
      <c r="R91" s="67"/>
      <c r="W91" s="44"/>
      <c r="Y91"/>
      <c r="Z91"/>
      <c r="AC91"/>
      <c r="AD91" s="106">
        <v>36</v>
      </c>
      <c r="AE91" s="154">
        <v>0</v>
      </c>
      <c r="AF91" s="154">
        <v>0.21966405864002039</v>
      </c>
      <c r="AG91" s="155">
        <v>0.21966405864002039</v>
      </c>
    </row>
    <row r="92" spans="3:33" x14ac:dyDescent="0.2">
      <c r="C92"/>
      <c r="D92"/>
      <c r="E92"/>
      <c r="F92"/>
      <c r="G92"/>
      <c r="H92"/>
      <c r="I92"/>
      <c r="J92"/>
      <c r="K92"/>
      <c r="O92"/>
      <c r="P92"/>
      <c r="R92" s="67"/>
      <c r="W92" s="44"/>
      <c r="Y92"/>
      <c r="Z92"/>
      <c r="AC92"/>
      <c r="AD92" s="106">
        <v>37</v>
      </c>
      <c r="AE92" s="154">
        <v>0.58035021210200599</v>
      </c>
      <c r="AF92" s="154">
        <v>4.4880513094666018E-4</v>
      </c>
      <c r="AG92" s="155">
        <v>0.58079901723295269</v>
      </c>
    </row>
    <row r="93" spans="3:33" x14ac:dyDescent="0.2">
      <c r="C93"/>
      <c r="D93"/>
      <c r="E93"/>
      <c r="F93"/>
      <c r="G93"/>
      <c r="H93"/>
      <c r="I93"/>
      <c r="J93"/>
      <c r="K93"/>
      <c r="O93"/>
      <c r="P93"/>
      <c r="R93" s="67"/>
      <c r="W93" s="44"/>
      <c r="Y93"/>
      <c r="Z93"/>
      <c r="AC93"/>
      <c r="AD93" s="106">
        <v>38</v>
      </c>
      <c r="AE93" s="154">
        <v>0.56809185474443491</v>
      </c>
      <c r="AF93" s="154">
        <v>6.3954459096883921E-4</v>
      </c>
      <c r="AG93" s="155">
        <v>0.56873139933540373</v>
      </c>
    </row>
    <row r="94" spans="3:33" x14ac:dyDescent="0.2">
      <c r="C94"/>
      <c r="D94"/>
      <c r="E94"/>
      <c r="F94"/>
      <c r="G94"/>
      <c r="H94"/>
      <c r="I94"/>
      <c r="J94"/>
      <c r="K94"/>
      <c r="O94"/>
      <c r="P94"/>
      <c r="R94" s="67"/>
      <c r="W94" s="44"/>
      <c r="Y94"/>
      <c r="Z94"/>
      <c r="AC94"/>
      <c r="AD94" s="106">
        <v>42</v>
      </c>
      <c r="AE94" s="154">
        <v>4.3595503952902487E-3</v>
      </c>
      <c r="AF94" s="154">
        <v>4.3549538033359794E-4</v>
      </c>
      <c r="AG94" s="155">
        <v>4.7950457756238468E-3</v>
      </c>
    </row>
    <row r="95" spans="3:33" x14ac:dyDescent="0.2">
      <c r="C95"/>
      <c r="D95"/>
      <c r="E95"/>
      <c r="F95"/>
      <c r="G95"/>
      <c r="H95"/>
      <c r="I95"/>
      <c r="J95"/>
      <c r="K95"/>
      <c r="O95"/>
      <c r="P95"/>
      <c r="R95" s="67"/>
      <c r="W95" s="44"/>
      <c r="Y95"/>
      <c r="Z95"/>
      <c r="AC95"/>
      <c r="AD95" s="106">
        <v>43</v>
      </c>
      <c r="AE95" s="154">
        <v>0</v>
      </c>
      <c r="AF95" s="154">
        <v>2.2826734612192229E-2</v>
      </c>
      <c r="AG95" s="155">
        <v>2.2826734612192229E-2</v>
      </c>
    </row>
    <row r="96" spans="3:33" x14ac:dyDescent="0.2">
      <c r="C96"/>
      <c r="D96"/>
      <c r="E96"/>
      <c r="F96"/>
      <c r="G96"/>
      <c r="H96"/>
      <c r="I96"/>
      <c r="J96"/>
      <c r="K96"/>
      <c r="O96"/>
      <c r="P96"/>
      <c r="R96" s="67"/>
      <c r="W96" s="44"/>
      <c r="Y96"/>
      <c r="Z96"/>
      <c r="AC96"/>
      <c r="AD96" s="106">
        <v>44</v>
      </c>
      <c r="AE96" s="154">
        <v>0</v>
      </c>
      <c r="AF96" s="154">
        <v>0.17557093380143018</v>
      </c>
      <c r="AG96" s="155">
        <v>0.17557093380143018</v>
      </c>
    </row>
    <row r="97" spans="3:33" x14ac:dyDescent="0.2">
      <c r="C97"/>
      <c r="D97"/>
      <c r="E97"/>
      <c r="F97"/>
      <c r="G97"/>
      <c r="H97"/>
      <c r="I97"/>
      <c r="J97"/>
      <c r="K97"/>
      <c r="O97"/>
      <c r="P97"/>
      <c r="R97" s="67"/>
      <c r="W97" s="44"/>
      <c r="Y97"/>
      <c r="Z97"/>
      <c r="AC97"/>
      <c r="AD97" s="106">
        <v>20</v>
      </c>
      <c r="AE97" s="154">
        <v>0.80623761555600248</v>
      </c>
      <c r="AF97" s="154">
        <v>0</v>
      </c>
      <c r="AG97" s="155">
        <v>0.80623761555600248</v>
      </c>
    </row>
    <row r="98" spans="3:33" x14ac:dyDescent="0.2">
      <c r="C98"/>
      <c r="D98"/>
      <c r="E98"/>
      <c r="F98"/>
      <c r="G98"/>
      <c r="H98"/>
      <c r="I98"/>
      <c r="J98"/>
      <c r="K98"/>
      <c r="O98"/>
      <c r="P98"/>
      <c r="R98" s="67"/>
      <c r="W98" s="44"/>
      <c r="Y98"/>
      <c r="Z98"/>
      <c r="AC98"/>
      <c r="AD98" s="106">
        <v>160</v>
      </c>
      <c r="AE98" s="154">
        <v>2.0509235521825694E-2</v>
      </c>
      <c r="AF98" s="154">
        <v>0</v>
      </c>
      <c r="AG98" s="155">
        <v>2.0509235521825694E-2</v>
      </c>
    </row>
    <row r="99" spans="3:33" x14ac:dyDescent="0.2">
      <c r="C99"/>
      <c r="D99"/>
      <c r="E99"/>
      <c r="F99"/>
      <c r="G99"/>
      <c r="H99"/>
      <c r="I99"/>
      <c r="J99"/>
      <c r="K99"/>
      <c r="O99"/>
      <c r="P99"/>
      <c r="R99" s="67"/>
      <c r="W99" s="44"/>
      <c r="Y99"/>
      <c r="Z99"/>
      <c r="AC99"/>
      <c r="AD99" s="106">
        <v>161</v>
      </c>
      <c r="AE99" s="154">
        <v>3.0820025200926958E-3</v>
      </c>
      <c r="AF99" s="154">
        <v>0</v>
      </c>
      <c r="AG99" s="155">
        <v>3.0820025200926958E-3</v>
      </c>
    </row>
    <row r="100" spans="3:33" x14ac:dyDescent="0.2">
      <c r="C100"/>
      <c r="D100"/>
      <c r="E100"/>
      <c r="F100"/>
      <c r="G100"/>
      <c r="H100"/>
      <c r="I100"/>
      <c r="J100"/>
      <c r="K100"/>
      <c r="O100"/>
      <c r="P100"/>
      <c r="R100" s="67"/>
      <c r="W100" s="44"/>
      <c r="Y100"/>
      <c r="Z100"/>
      <c r="AC100"/>
      <c r="AD100" s="106">
        <v>162</v>
      </c>
      <c r="AE100" s="154">
        <v>2.4001473120413772E-3</v>
      </c>
      <c r="AF100" s="154">
        <v>0</v>
      </c>
      <c r="AG100" s="155">
        <v>2.4001473120413772E-3</v>
      </c>
    </row>
    <row r="101" spans="3:33" x14ac:dyDescent="0.2">
      <c r="C101"/>
      <c r="D101"/>
      <c r="E101"/>
      <c r="F101"/>
      <c r="G101"/>
      <c r="H101"/>
      <c r="I101"/>
      <c r="J101"/>
      <c r="K101"/>
      <c r="O101"/>
      <c r="P101"/>
      <c r="R101" s="67"/>
      <c r="W101" s="44"/>
      <c r="Y101"/>
      <c r="Z101"/>
      <c r="AC101"/>
      <c r="AD101" s="106"/>
      <c r="AE101" s="154" t="e">
        <v>#N/A</v>
      </c>
      <c r="AF101" s="154" t="e">
        <v>#N/A</v>
      </c>
      <c r="AG101" s="155" t="e">
        <v>#N/A</v>
      </c>
    </row>
    <row r="102" spans="3:33" x14ac:dyDescent="0.2">
      <c r="C102"/>
      <c r="D102"/>
      <c r="E102"/>
      <c r="F102"/>
      <c r="G102"/>
      <c r="H102"/>
      <c r="I102"/>
      <c r="J102"/>
      <c r="K102"/>
      <c r="O102"/>
      <c r="P102"/>
      <c r="R102" s="67"/>
      <c r="W102" s="44"/>
      <c r="Y102"/>
      <c r="Z102"/>
      <c r="AC102"/>
      <c r="AD102" s="106"/>
      <c r="AE102" s="154" t="e">
        <v>#N/A</v>
      </c>
      <c r="AF102" s="154" t="e">
        <v>#N/A</v>
      </c>
      <c r="AG102" s="155" t="e">
        <v>#N/A</v>
      </c>
    </row>
    <row r="103" spans="3:33" x14ac:dyDescent="0.2">
      <c r="C103"/>
      <c r="D103"/>
      <c r="E103"/>
      <c r="F103"/>
      <c r="G103"/>
      <c r="H103"/>
      <c r="I103"/>
      <c r="J103"/>
      <c r="K103"/>
      <c r="O103"/>
      <c r="P103"/>
      <c r="R103" s="67"/>
      <c r="W103" s="44"/>
      <c r="Y103"/>
      <c r="Z103"/>
      <c r="AC103"/>
      <c r="AD103" s="106"/>
      <c r="AE103" s="154" t="e">
        <v>#N/A</v>
      </c>
      <c r="AF103" s="154" t="e">
        <v>#N/A</v>
      </c>
      <c r="AG103" s="155" t="e">
        <v>#N/A</v>
      </c>
    </row>
    <row r="104" spans="3:33" x14ac:dyDescent="0.2">
      <c r="N104"/>
      <c r="O104"/>
      <c r="P104"/>
    </row>
    <row r="105" spans="3:33" x14ac:dyDescent="0.2">
      <c r="N105"/>
      <c r="O105"/>
      <c r="P105"/>
      <c r="AD105"/>
    </row>
    <row r="106" spans="3:33" x14ac:dyDescent="0.2">
      <c r="N106"/>
      <c r="O106"/>
      <c r="P106"/>
    </row>
    <row r="107" spans="3:33" x14ac:dyDescent="0.2">
      <c r="C107"/>
      <c r="D107"/>
      <c r="E107"/>
      <c r="F107"/>
      <c r="G107"/>
      <c r="H107"/>
      <c r="I107"/>
      <c r="J107"/>
      <c r="K107"/>
      <c r="L107"/>
      <c r="N107"/>
      <c r="O107"/>
      <c r="P107"/>
      <c r="W107" s="44"/>
      <c r="Y107"/>
      <c r="Z107"/>
      <c r="AC107"/>
      <c r="AD107"/>
      <c r="AE107"/>
      <c r="AF107"/>
    </row>
    <row r="108" spans="3:33" x14ac:dyDescent="0.2">
      <c r="C108"/>
      <c r="D108"/>
      <c r="E108"/>
      <c r="F108"/>
      <c r="G108"/>
      <c r="H108"/>
      <c r="I108"/>
      <c r="J108"/>
      <c r="K108"/>
      <c r="L108"/>
      <c r="N108"/>
      <c r="O108"/>
      <c r="P108"/>
      <c r="W108" s="44"/>
      <c r="Y108"/>
      <c r="Z108"/>
      <c r="AC108"/>
      <c r="AD108" s="44"/>
      <c r="AE108"/>
      <c r="AF108"/>
    </row>
    <row r="109" spans="3:33" x14ac:dyDescent="0.2">
      <c r="C109"/>
      <c r="D109"/>
      <c r="E109"/>
      <c r="F109"/>
      <c r="G109"/>
      <c r="H109"/>
      <c r="I109"/>
      <c r="J109"/>
      <c r="K109"/>
      <c r="L109"/>
      <c r="N109"/>
      <c r="O109"/>
      <c r="P109"/>
      <c r="W109" s="44"/>
      <c r="Y109"/>
      <c r="Z109"/>
      <c r="AC109"/>
      <c r="AD109" s="44"/>
      <c r="AE109"/>
      <c r="AF109"/>
    </row>
    <row r="110" spans="3:33" x14ac:dyDescent="0.2">
      <c r="C110"/>
      <c r="D110"/>
      <c r="E110"/>
      <c r="F110"/>
      <c r="G110"/>
      <c r="H110"/>
      <c r="I110"/>
      <c r="J110"/>
      <c r="K110"/>
      <c r="L110"/>
      <c r="N110"/>
      <c r="O110"/>
      <c r="P110"/>
      <c r="W110" s="44"/>
      <c r="Y110"/>
      <c r="Z110"/>
      <c r="AC110"/>
      <c r="AD110" s="44"/>
      <c r="AE110"/>
      <c r="AF110"/>
    </row>
    <row r="111" spans="3:33" x14ac:dyDescent="0.2">
      <c r="C111"/>
      <c r="D111"/>
      <c r="E111"/>
      <c r="F111"/>
      <c r="G111"/>
      <c r="H111"/>
      <c r="I111"/>
      <c r="J111"/>
      <c r="K111"/>
      <c r="L111"/>
      <c r="N111"/>
      <c r="O111"/>
      <c r="P111"/>
      <c r="W111" s="44"/>
      <c r="Y111"/>
      <c r="Z111"/>
      <c r="AC111"/>
      <c r="AD111" s="44"/>
      <c r="AE111"/>
      <c r="AF111"/>
    </row>
    <row r="112" spans="3:33" x14ac:dyDescent="0.2">
      <c r="C112"/>
      <c r="D112"/>
      <c r="E112"/>
      <c r="F112"/>
      <c r="G112"/>
      <c r="H112"/>
      <c r="I112"/>
      <c r="J112"/>
      <c r="K112"/>
      <c r="L112"/>
      <c r="N112"/>
      <c r="O112"/>
      <c r="P112"/>
      <c r="W112" s="44"/>
      <c r="Y112"/>
      <c r="Z112"/>
      <c r="AC112"/>
      <c r="AD112" s="44"/>
      <c r="AE112"/>
      <c r="AF112"/>
    </row>
    <row r="113" spans="17:30" customFormat="1" x14ac:dyDescent="0.2">
      <c r="Q113" s="38"/>
      <c r="V113" s="8"/>
      <c r="W113" s="44"/>
      <c r="AB113" s="38"/>
      <c r="AD113" s="44"/>
    </row>
    <row r="114" spans="17:30" customFormat="1" x14ac:dyDescent="0.2">
      <c r="Q114" s="38"/>
      <c r="V114" s="8"/>
      <c r="W114" s="44"/>
      <c r="AB114" s="38"/>
      <c r="AD114" s="44"/>
    </row>
    <row r="115" spans="17:30" customFormat="1" x14ac:dyDescent="0.2">
      <c r="Q115" s="38"/>
      <c r="V115" s="8"/>
      <c r="W115" s="44"/>
      <c r="AB115" s="38"/>
      <c r="AD115" s="44"/>
    </row>
    <row r="116" spans="17:30" customFormat="1" x14ac:dyDescent="0.2">
      <c r="Q116" s="38"/>
      <c r="V116" s="8"/>
      <c r="W116" s="44"/>
      <c r="AB116" s="38"/>
      <c r="AD116" s="44"/>
    </row>
    <row r="117" spans="17:30" customFormat="1" x14ac:dyDescent="0.2">
      <c r="Q117" s="38"/>
      <c r="V117" s="8"/>
      <c r="W117" s="44"/>
      <c r="AB117" s="38"/>
      <c r="AD117" s="44"/>
    </row>
    <row r="118" spans="17:30" customFormat="1" x14ac:dyDescent="0.2">
      <c r="Q118" s="38"/>
      <c r="V118" s="8"/>
      <c r="W118" s="44"/>
      <c r="AB118" s="38"/>
      <c r="AD118" s="44"/>
    </row>
    <row r="119" spans="17:30" customFormat="1" x14ac:dyDescent="0.2">
      <c r="Q119" s="38"/>
      <c r="V119" s="8"/>
      <c r="W119" s="44"/>
      <c r="AB119" s="38"/>
      <c r="AD119" s="44"/>
    </row>
    <row r="120" spans="17:30" customFormat="1" x14ac:dyDescent="0.2">
      <c r="Q120" s="38"/>
      <c r="V120" s="8"/>
      <c r="W120" s="44"/>
      <c r="AB120" s="38"/>
      <c r="AD120" s="44"/>
    </row>
    <row r="121" spans="17:30" customFormat="1" x14ac:dyDescent="0.2">
      <c r="Q121" s="38"/>
      <c r="V121" s="8"/>
      <c r="W121" s="44"/>
      <c r="AB121" s="38"/>
      <c r="AD121" s="44"/>
    </row>
    <row r="122" spans="17:30" customFormat="1" x14ac:dyDescent="0.2">
      <c r="Q122" s="38"/>
      <c r="V122" s="8"/>
      <c r="W122" s="44"/>
      <c r="AB122" s="38"/>
      <c r="AD122" s="44"/>
    </row>
    <row r="123" spans="17:30" customFormat="1" x14ac:dyDescent="0.2">
      <c r="Q123" s="38"/>
      <c r="V123" s="8"/>
      <c r="W123" s="44"/>
      <c r="AB123" s="38"/>
      <c r="AD123" s="44"/>
    </row>
    <row r="124" spans="17:30" customFormat="1" x14ac:dyDescent="0.2">
      <c r="Q124" s="38"/>
      <c r="V124" s="8"/>
      <c r="W124" s="44"/>
      <c r="AB124" s="38"/>
      <c r="AD124" s="44"/>
    </row>
    <row r="125" spans="17:30" customFormat="1" x14ac:dyDescent="0.2">
      <c r="Q125" s="38"/>
      <c r="V125" s="8"/>
      <c r="W125" s="44"/>
      <c r="AB125" s="38"/>
      <c r="AD125" s="44"/>
    </row>
    <row r="126" spans="17:30" customFormat="1" x14ac:dyDescent="0.2">
      <c r="Q126" s="38"/>
      <c r="V126" s="8"/>
      <c r="W126" s="44"/>
      <c r="AB126" s="38"/>
      <c r="AD126" s="44"/>
    </row>
    <row r="127" spans="17:30" customFormat="1" x14ac:dyDescent="0.2">
      <c r="Q127" s="38"/>
      <c r="V127" s="8"/>
      <c r="W127" s="44"/>
      <c r="AB127" s="38"/>
      <c r="AD127" s="44"/>
    </row>
    <row r="128" spans="17:30" customFormat="1" x14ac:dyDescent="0.2">
      <c r="Q128" s="38"/>
      <c r="V128" s="8"/>
      <c r="W128" s="44"/>
      <c r="AB128" s="38"/>
      <c r="AD128" s="44"/>
    </row>
    <row r="129" spans="17:30" customFormat="1" x14ac:dyDescent="0.2">
      <c r="Q129" s="38"/>
      <c r="V129" s="8"/>
      <c r="W129" s="44"/>
      <c r="AB129" s="38"/>
      <c r="AD129" s="44"/>
    </row>
    <row r="130" spans="17:30" customFormat="1" x14ac:dyDescent="0.2">
      <c r="Q130" s="38"/>
      <c r="V130" s="8"/>
      <c r="W130" s="44"/>
      <c r="AB130" s="38"/>
      <c r="AD130" s="44"/>
    </row>
    <row r="131" spans="17:30" customFormat="1" x14ac:dyDescent="0.2">
      <c r="Q131" s="38"/>
      <c r="V131" s="8"/>
      <c r="W131" s="44"/>
      <c r="AB131" s="38"/>
      <c r="AD131" s="44"/>
    </row>
  </sheetData>
  <mergeCells count="2">
    <mergeCell ref="AB1:AB11"/>
    <mergeCell ref="Q1:Q11"/>
  </mergeCells>
  <pageMargins left="0.25" right="0.25" top="0.75" bottom="0.75" header="0.3" footer="0.3"/>
  <pageSetup scale="31" orientation="portrait" r:id="rId1"/>
  <drawing r:id="rId2"/>
  <legacyDrawing r:id="rId3"/>
  <oleObjects>
    <mc:AlternateContent xmlns:mc="http://schemas.openxmlformats.org/markup-compatibility/2006">
      <mc:Choice Requires="x14">
        <oleObject progId="Equation.DSMT4" shapeId="1026" r:id="rId4">
          <objectPr defaultSize="0" autoPict="0" r:id="rId5">
            <anchor moveWithCells="1" sizeWithCells="1">
              <from>
                <xdr:col>28</xdr:col>
                <xdr:colOff>0</xdr:colOff>
                <xdr:row>20</xdr:row>
                <xdr:rowOff>0</xdr:rowOff>
              </from>
              <to>
                <xdr:col>29</xdr:col>
                <xdr:colOff>342900</xdr:colOff>
                <xdr:row>21</xdr:row>
                <xdr:rowOff>0</xdr:rowOff>
              </to>
            </anchor>
          </objectPr>
        </oleObject>
      </mc:Choice>
      <mc:Fallback>
        <oleObject progId="Equation.DSMT4" shapeId="1026" r:id="rId4"/>
      </mc:Fallback>
    </mc:AlternateContent>
    <mc:AlternateContent xmlns:mc="http://schemas.openxmlformats.org/markup-compatibility/2006">
      <mc:Choice Requires="x14">
        <oleObject progId="Equation.DSMT4" shapeId="1027" r:id="rId6">
          <objectPr defaultSize="0" autoPict="0" r:id="rId7">
            <anchor moveWithCells="1" sizeWithCells="1">
              <from>
                <xdr:col>28</xdr:col>
                <xdr:colOff>0</xdr:colOff>
                <xdr:row>21</xdr:row>
                <xdr:rowOff>0</xdr:rowOff>
              </from>
              <to>
                <xdr:col>29</xdr:col>
                <xdr:colOff>215900</xdr:colOff>
                <xdr:row>22</xdr:row>
                <xdr:rowOff>0</xdr:rowOff>
              </to>
            </anchor>
          </objectPr>
        </oleObject>
      </mc:Choice>
      <mc:Fallback>
        <oleObject progId="Equation.DSMT4" shapeId="1027" r:id="rId6"/>
      </mc:Fallback>
    </mc:AlternateContent>
    <mc:AlternateContent xmlns:mc="http://schemas.openxmlformats.org/markup-compatibility/2006">
      <mc:Choice Requires="x14">
        <oleObject progId="Equation.DSMT4" shapeId="1028" r:id="rId8">
          <objectPr defaultSize="0" autoPict="0" r:id="rId9">
            <anchor moveWithCells="1" sizeWithCells="1">
              <from>
                <xdr:col>28</xdr:col>
                <xdr:colOff>0</xdr:colOff>
                <xdr:row>22</xdr:row>
                <xdr:rowOff>0</xdr:rowOff>
              </from>
              <to>
                <xdr:col>29</xdr:col>
                <xdr:colOff>152400</xdr:colOff>
                <xdr:row>23</xdr:row>
                <xdr:rowOff>0</xdr:rowOff>
              </to>
            </anchor>
          </objectPr>
        </oleObject>
      </mc:Choice>
      <mc:Fallback>
        <oleObject progId="Equation.DSMT4" shapeId="1028" r:id="rId8"/>
      </mc:Fallback>
    </mc:AlternateContent>
    <mc:AlternateContent xmlns:mc="http://schemas.openxmlformats.org/markup-compatibility/2006">
      <mc:Choice Requires="x14">
        <oleObject progId="Equation.DSMT4" shapeId="1029" r:id="rId10">
          <objectPr defaultSize="0" autoPict="0" r:id="rId11">
            <anchor moveWithCells="1" sizeWithCells="1">
              <from>
                <xdr:col>28</xdr:col>
                <xdr:colOff>0</xdr:colOff>
                <xdr:row>23</xdr:row>
                <xdr:rowOff>0</xdr:rowOff>
              </from>
              <to>
                <xdr:col>29</xdr:col>
                <xdr:colOff>482600</xdr:colOff>
                <xdr:row>24</xdr:row>
                <xdr:rowOff>0</xdr:rowOff>
              </to>
            </anchor>
          </objectPr>
        </oleObject>
      </mc:Choice>
      <mc:Fallback>
        <oleObject progId="Equation.DSMT4" shapeId="1029" r:id="rId10"/>
      </mc:Fallback>
    </mc:AlternateContent>
    <mc:AlternateContent xmlns:mc="http://schemas.openxmlformats.org/markup-compatibility/2006">
      <mc:Choice Requires="x14">
        <oleObject progId="Equation.DSMT4" shapeId="1030" r:id="rId12">
          <objectPr defaultSize="0" autoPict="0" r:id="rId13">
            <anchor moveWithCells="1" sizeWithCells="1">
              <from>
                <xdr:col>28</xdr:col>
                <xdr:colOff>0</xdr:colOff>
                <xdr:row>24</xdr:row>
                <xdr:rowOff>0</xdr:rowOff>
              </from>
              <to>
                <xdr:col>30</xdr:col>
                <xdr:colOff>101600</xdr:colOff>
                <xdr:row>25</xdr:row>
                <xdr:rowOff>0</xdr:rowOff>
              </to>
            </anchor>
          </objectPr>
        </oleObject>
      </mc:Choice>
      <mc:Fallback>
        <oleObject progId="Equation.DSMT4" shapeId="1030" r:id="rId12"/>
      </mc:Fallback>
    </mc:AlternateContent>
    <mc:AlternateContent xmlns:mc="http://schemas.openxmlformats.org/markup-compatibility/2006">
      <mc:Choice Requires="x14">
        <oleObject progId="Equation.DSMT4" shapeId="1031" r:id="rId14">
          <objectPr defaultSize="0" autoPict="0" r:id="rId15">
            <anchor moveWithCells="1" sizeWithCells="1">
              <from>
                <xdr:col>28</xdr:col>
                <xdr:colOff>0</xdr:colOff>
                <xdr:row>25</xdr:row>
                <xdr:rowOff>0</xdr:rowOff>
              </from>
              <to>
                <xdr:col>29</xdr:col>
                <xdr:colOff>355600</xdr:colOff>
                <xdr:row>26</xdr:row>
                <xdr:rowOff>0</xdr:rowOff>
              </to>
            </anchor>
          </objectPr>
        </oleObject>
      </mc:Choice>
      <mc:Fallback>
        <oleObject progId="Equation.DSMT4" shapeId="1031" r:id="rId14"/>
      </mc:Fallback>
    </mc:AlternateContent>
    <mc:AlternateContent xmlns:mc="http://schemas.openxmlformats.org/markup-compatibility/2006">
      <mc:Choice Requires="x14">
        <oleObject progId="Equation.DSMT4" shapeId="1034" r:id="rId16">
          <objectPr defaultSize="0" autoPict="0" r:id="rId17">
            <anchor moveWithCells="1" sizeWithCells="1">
              <from>
                <xdr:col>27</xdr:col>
                <xdr:colOff>228600</xdr:colOff>
                <xdr:row>26</xdr:row>
                <xdr:rowOff>0</xdr:rowOff>
              </from>
              <to>
                <xdr:col>29</xdr:col>
                <xdr:colOff>342900</xdr:colOff>
                <xdr:row>27</xdr:row>
                <xdr:rowOff>0</xdr:rowOff>
              </to>
            </anchor>
          </objectPr>
        </oleObject>
      </mc:Choice>
      <mc:Fallback>
        <oleObject progId="Equation.DSMT4" shapeId="1034" r:id="rId16"/>
      </mc:Fallback>
    </mc:AlternateContent>
    <mc:AlternateContent xmlns:mc="http://schemas.openxmlformats.org/markup-compatibility/2006">
      <mc:Choice Requires="x14">
        <oleObject progId="Equation.DSMT4" shapeId="1036" r:id="rId18">
          <objectPr defaultSize="0" autoPict="0" r:id="rId19">
            <anchor moveWithCells="1" sizeWithCells="1">
              <from>
                <xdr:col>28</xdr:col>
                <xdr:colOff>0</xdr:colOff>
                <xdr:row>27</xdr:row>
                <xdr:rowOff>25400</xdr:rowOff>
              </from>
              <to>
                <xdr:col>30</xdr:col>
                <xdr:colOff>0</xdr:colOff>
                <xdr:row>28</xdr:row>
                <xdr:rowOff>25400</xdr:rowOff>
              </to>
            </anchor>
          </objectPr>
        </oleObject>
      </mc:Choice>
      <mc:Fallback>
        <oleObject progId="Equation.DSMT4" shapeId="1036" r:id="rId18"/>
      </mc:Fallback>
    </mc:AlternateContent>
    <mc:AlternateContent xmlns:mc="http://schemas.openxmlformats.org/markup-compatibility/2006">
      <mc:Choice Requires="x14">
        <oleObject progId="Equation.DSMT4" shapeId="1038" r:id="rId20">
          <objectPr defaultSize="0" autoPict="0" r:id="rId21">
            <anchor moveWithCells="1" sizeWithCells="1">
              <from>
                <xdr:col>27</xdr:col>
                <xdr:colOff>228600</xdr:colOff>
                <xdr:row>28</xdr:row>
                <xdr:rowOff>12700</xdr:rowOff>
              </from>
              <to>
                <xdr:col>30</xdr:col>
                <xdr:colOff>76200</xdr:colOff>
                <xdr:row>29</xdr:row>
                <xdr:rowOff>12700</xdr:rowOff>
              </to>
            </anchor>
          </objectPr>
        </oleObject>
      </mc:Choice>
      <mc:Fallback>
        <oleObject progId="Equation.DSMT4" shapeId="1038" r:id="rId20"/>
      </mc:Fallback>
    </mc:AlternateContent>
    <mc:AlternateContent xmlns:mc="http://schemas.openxmlformats.org/markup-compatibility/2006">
      <mc:Choice Requires="x14">
        <oleObject progId="Equation.DSMT4" shapeId="1045" r:id="rId22">
          <objectPr defaultSize="0" autoPict="0" r:id="rId23">
            <anchor moveWithCells="1" sizeWithCells="1">
              <from>
                <xdr:col>28</xdr:col>
                <xdr:colOff>0</xdr:colOff>
                <xdr:row>29</xdr:row>
                <xdr:rowOff>0</xdr:rowOff>
              </from>
              <to>
                <xdr:col>29</xdr:col>
                <xdr:colOff>368300</xdr:colOff>
                <xdr:row>29</xdr:row>
                <xdr:rowOff>177800</xdr:rowOff>
              </to>
            </anchor>
          </objectPr>
        </oleObject>
      </mc:Choice>
      <mc:Fallback>
        <oleObject progId="Equation.DSMT4" shapeId="1045" r:id="rId22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4" name="Button 1">
              <controlPr defaultSize="0" print="0" autoFill="0" autoPict="0" macro="[0]!Recycle">
                <anchor moveWithCells="1">
                  <from>
                    <xdr:col>32</xdr:col>
                    <xdr:colOff>0</xdr:colOff>
                    <xdr:row>1</xdr:row>
                    <xdr:rowOff>63500</xdr:rowOff>
                  </from>
                  <to>
                    <xdr:col>32</xdr:col>
                    <xdr:colOff>584200</xdr:colOff>
                    <xdr:row>1</xdr:row>
                    <xdr:rowOff>330200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N200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F6" sqref="F6"/>
    </sheetView>
  </sheetViews>
  <sheetFormatPr baseColWidth="10" defaultColWidth="9.1640625" defaultRowHeight="15" x14ac:dyDescent="0.2"/>
  <cols>
    <col min="1" max="1" width="9.1640625" style="5"/>
    <col min="2" max="2" width="9.1640625" style="23"/>
    <col min="3" max="4" width="11.1640625" style="5" customWidth="1"/>
    <col min="5" max="6" width="11.1640625" style="23" customWidth="1"/>
    <col min="7" max="9" width="11.1640625" style="95" customWidth="1"/>
    <col min="10" max="10" width="11.1640625" style="5" customWidth="1"/>
    <col min="11" max="11" width="9.1640625" style="5"/>
    <col min="12" max="12" width="9.1640625" style="53" customWidth="1"/>
    <col min="13" max="16" width="9.1640625" style="5" customWidth="1"/>
    <col min="17" max="17" width="9.33203125" style="53" customWidth="1"/>
    <col min="18" max="24" width="9.33203125" style="5" customWidth="1"/>
    <col min="25" max="25" width="11.6640625" style="53" customWidth="1"/>
    <col min="26" max="26" width="11.6640625" style="5" customWidth="1"/>
    <col min="27" max="27" width="2.6640625" style="110" customWidth="1"/>
    <col min="28" max="28" width="9.33203125" style="52" customWidth="1"/>
    <col min="29" max="29" width="9.33203125" customWidth="1"/>
    <col min="30" max="34" width="9.1640625" customWidth="1"/>
    <col min="41" max="16384" width="9.1640625" style="5"/>
  </cols>
  <sheetData>
    <row r="1" spans="1:40" x14ac:dyDescent="0.2">
      <c r="A1" s="21" t="s">
        <v>25</v>
      </c>
      <c r="B1" s="23" t="s">
        <v>11</v>
      </c>
      <c r="C1" s="85">
        <f>+IO!N3</f>
        <v>0</v>
      </c>
      <c r="D1" s="85">
        <f>+IO!N4</f>
        <v>26367.361780034658</v>
      </c>
      <c r="E1" s="25">
        <f>+IO!N5</f>
        <v>15.021419788154544</v>
      </c>
      <c r="F1" s="25">
        <f>+IO!N6</f>
        <v>2992.8584414398101</v>
      </c>
      <c r="G1" s="92">
        <f>+IO!N7</f>
        <v>0</v>
      </c>
      <c r="H1" s="92">
        <f>+IO!N8</f>
        <v>5.8628124291333172</v>
      </c>
      <c r="I1" s="92">
        <f>+IO!N9</f>
        <v>0</v>
      </c>
      <c r="J1" s="85">
        <f>+IO!N10</f>
        <v>0</v>
      </c>
      <c r="K1" s="23">
        <f>SUM(B1:J1)</f>
        <v>29381.104453691754</v>
      </c>
      <c r="L1" s="52" t="s">
        <v>118</v>
      </c>
      <c r="M1" s="103">
        <v>1</v>
      </c>
      <c r="N1" t="s">
        <v>119</v>
      </c>
      <c r="O1"/>
      <c r="P1"/>
      <c r="Q1" s="107"/>
      <c r="R1" s="114"/>
      <c r="S1" s="114"/>
      <c r="T1" s="114"/>
      <c r="U1" s="114"/>
      <c r="V1" s="114"/>
      <c r="W1" s="114"/>
      <c r="X1" s="105"/>
      <c r="Y1" s="107"/>
      <c r="Z1" s="105"/>
      <c r="AA1" s="109"/>
    </row>
    <row r="2" spans="1:40" x14ac:dyDescent="0.2">
      <c r="A2" s="69">
        <f>+IO!M18</f>
        <v>22</v>
      </c>
      <c r="B2" s="23" t="s">
        <v>21</v>
      </c>
      <c r="C2" s="22">
        <f>+C199*$A$2</f>
        <v>0</v>
      </c>
      <c r="D2" s="22">
        <f>+D199*$A$2</f>
        <v>26367.361780034662</v>
      </c>
      <c r="E2" s="25">
        <f t="shared" ref="E2:J2" si="0">+E199*$A$2</f>
        <v>1.6875492415984943</v>
      </c>
      <c r="F2" s="25">
        <f t="shared" si="0"/>
        <v>2986.0194683044215</v>
      </c>
      <c r="G2" s="92">
        <f t="shared" si="0"/>
        <v>13.333870546556046</v>
      </c>
      <c r="H2" s="92">
        <f t="shared" si="0"/>
        <v>5.5187367049066527</v>
      </c>
      <c r="I2" s="92">
        <f t="shared" si="0"/>
        <v>0.34407572422665533</v>
      </c>
      <c r="J2" s="22">
        <f t="shared" si="0"/>
        <v>0</v>
      </c>
      <c r="K2" s="23">
        <f>SUM(B2:J2)</f>
        <v>29374.265480556376</v>
      </c>
      <c r="L2" s="52"/>
      <c r="M2"/>
      <c r="N2"/>
      <c r="O2"/>
      <c r="P2"/>
      <c r="AB2" s="52">
        <f>+k1f</f>
        <v>0</v>
      </c>
      <c r="AC2">
        <f>+k2f</f>
        <v>0</v>
      </c>
      <c r="AD2">
        <f>+k3f</f>
        <v>0</v>
      </c>
      <c r="AE2">
        <f>+k4f</f>
        <v>1246.7240357154801</v>
      </c>
      <c r="AF2">
        <f>+k5f</f>
        <v>1246.7240357154801</v>
      </c>
      <c r="AG2">
        <f>+k6f</f>
        <v>0</v>
      </c>
    </row>
    <row r="3" spans="1:40" x14ac:dyDescent="0.2">
      <c r="C3" s="5" t="s">
        <v>26</v>
      </c>
      <c r="F3" s="46">
        <f>1-F1/F2</f>
        <v>-2.2903310604576177E-3</v>
      </c>
      <c r="G3" s="93"/>
      <c r="H3" s="91">
        <f t="shared" ref="H3" si="1">1-H1/H2</f>
        <v>-6.2346827294868179E-2</v>
      </c>
      <c r="I3" s="93"/>
      <c r="L3" s="53" t="s">
        <v>123</v>
      </c>
      <c r="Q3" s="53" t="s">
        <v>128</v>
      </c>
      <c r="AB3" s="52">
        <f>+IO!AT21</f>
        <v>0</v>
      </c>
      <c r="AC3">
        <f>+IO!AT22</f>
        <v>0</v>
      </c>
      <c r="AD3">
        <f>+IO!AT23</f>
        <v>0</v>
      </c>
      <c r="AE3">
        <f>+IO!AT24</f>
        <v>12.4672403571548</v>
      </c>
      <c r="AF3">
        <f>+IO!AT25</f>
        <v>12.4672403571548</v>
      </c>
      <c r="AG3">
        <f>+IO!AT26</f>
        <v>0</v>
      </c>
    </row>
    <row r="4" spans="1:40" s="6" customFormat="1" x14ac:dyDescent="0.2">
      <c r="A4" s="6" t="s">
        <v>18</v>
      </c>
      <c r="B4" s="24" t="s">
        <v>19</v>
      </c>
      <c r="C4" s="86" t="s">
        <v>32</v>
      </c>
      <c r="D4" s="86" t="s">
        <v>31</v>
      </c>
      <c r="E4" s="90" t="s">
        <v>27</v>
      </c>
      <c r="F4" s="90" t="s">
        <v>35</v>
      </c>
      <c r="G4" s="94" t="s">
        <v>34</v>
      </c>
      <c r="H4" s="94" t="s">
        <v>86</v>
      </c>
      <c r="I4" s="94" t="s">
        <v>88</v>
      </c>
      <c r="J4" s="11" t="s">
        <v>43</v>
      </c>
      <c r="K4" s="11" t="s">
        <v>8</v>
      </c>
      <c r="L4" s="11" t="s">
        <v>120</v>
      </c>
      <c r="M4" s="11" t="s">
        <v>121</v>
      </c>
      <c r="N4" s="11" t="s">
        <v>122</v>
      </c>
      <c r="O4" s="11" t="s">
        <v>172</v>
      </c>
      <c r="P4" s="11" t="s">
        <v>173</v>
      </c>
      <c r="Q4" s="108" t="s">
        <v>127</v>
      </c>
      <c r="R4" s="11" t="s">
        <v>124</v>
      </c>
      <c r="S4" s="11" t="s">
        <v>175</v>
      </c>
      <c r="T4" s="11" t="s">
        <v>129</v>
      </c>
      <c r="U4" s="11" t="s">
        <v>125</v>
      </c>
      <c r="V4" s="11" t="s">
        <v>126</v>
      </c>
      <c r="W4" s="11" t="s">
        <v>176</v>
      </c>
      <c r="X4" s="104" t="s">
        <v>174</v>
      </c>
      <c r="Y4" s="108" t="s">
        <v>154</v>
      </c>
      <c r="Z4" s="104" t="s">
        <v>177</v>
      </c>
      <c r="AA4" s="111"/>
      <c r="AB4" s="106" t="s">
        <v>130</v>
      </c>
      <c r="AC4" s="44" t="s">
        <v>131</v>
      </c>
      <c r="AD4" s="44" t="s">
        <v>132</v>
      </c>
      <c r="AE4" s="44" t="s">
        <v>133</v>
      </c>
      <c r="AF4" s="44" t="s">
        <v>134</v>
      </c>
      <c r="AG4" s="44" t="s">
        <v>135</v>
      </c>
      <c r="AH4" s="44"/>
      <c r="AI4" s="44"/>
      <c r="AJ4" s="44"/>
      <c r="AK4" s="44"/>
      <c r="AL4" s="44"/>
      <c r="AM4"/>
      <c r="AN4"/>
    </row>
    <row r="5" spans="1:40" x14ac:dyDescent="0.2">
      <c r="A5" s="19">
        <v>0</v>
      </c>
      <c r="B5" s="25">
        <v>0.01</v>
      </c>
      <c r="C5" s="32">
        <f>+C1/$A$2</f>
        <v>0</v>
      </c>
      <c r="D5" s="12">
        <f>+D1/$A$2</f>
        <v>1198.51644454703</v>
      </c>
      <c r="E5" s="23">
        <f t="shared" ref="E5:J5" si="2">+E1/$A$2</f>
        <v>0.68279180855247923</v>
      </c>
      <c r="F5" s="23">
        <f t="shared" si="2"/>
        <v>136.03902006544592</v>
      </c>
      <c r="G5" s="95">
        <f t="shared" si="2"/>
        <v>0</v>
      </c>
      <c r="H5" s="95">
        <f t="shared" si="2"/>
        <v>0.26649147405151441</v>
      </c>
      <c r="I5" s="95">
        <f t="shared" si="2"/>
        <v>0</v>
      </c>
      <c r="J5" s="13">
        <f t="shared" si="2"/>
        <v>0</v>
      </c>
      <c r="K5" s="12">
        <f t="shared" ref="K5:K36" si="3">SUM(C5:J5)</f>
        <v>1335.5047478950798</v>
      </c>
      <c r="L5" s="54">
        <f t="shared" ref="L5:L36" si="4">+E5/$K5*P_t</f>
        <v>5.1126123634426853E-4</v>
      </c>
      <c r="M5" s="10">
        <f t="shared" ref="M5:M36" si="5">+F5/$K5*P_t</f>
        <v>0.10186337433832429</v>
      </c>
      <c r="N5" s="10">
        <f t="shared" ref="N5:N36" si="6">+G5/$K5*P_t</f>
        <v>0</v>
      </c>
      <c r="O5" s="10">
        <f t="shared" ref="O5:O36" si="7">+H5/$K5*P_t</f>
        <v>1.9954363657002182E-4</v>
      </c>
      <c r="P5" s="10">
        <f t="shared" ref="P5:P36" si="8">+I5/$K5*P_t</f>
        <v>0</v>
      </c>
      <c r="Q5" s="54">
        <f t="shared" ref="Q5:Q36" si="9">1/(1+K1_*L5+K2_*M5+SQRT(K2_*K3_*M5)+1/K6_*N5+K7_*O5+P5/K10_)</f>
        <v>1.7284918050081553E-2</v>
      </c>
      <c r="R5" s="10">
        <f t="shared" ref="R5:R36" si="10">K1_*L5*Q5</f>
        <v>1.1925185501505738E-3</v>
      </c>
      <c r="S5" s="10">
        <f t="shared" ref="S5:S36" si="11">K7_*O5*Q5</f>
        <v>5.2048285713885724E-4</v>
      </c>
      <c r="T5" s="10">
        <f t="shared" ref="T5:T36" si="12">K2_*M5*Q5</f>
        <v>0.29727199151301559</v>
      </c>
      <c r="U5" s="10">
        <f t="shared" ref="U5:U36" si="13">SQRT(K2_*K3_*M5)*Q5</f>
        <v>0.6837300890296133</v>
      </c>
      <c r="V5" s="10">
        <f t="shared" ref="V5:V36" si="14">N5/K6_*Q5</f>
        <v>0</v>
      </c>
      <c r="W5" s="10">
        <f t="shared" ref="W5:W36" si="15">P5/K10_*Q5</f>
        <v>0</v>
      </c>
      <c r="X5" s="163">
        <f>SUM(Q5:W5)</f>
        <v>0.99999999999999989</v>
      </c>
      <c r="Y5" s="54">
        <f t="shared" ref="Y5:Y36" si="16">(k4f*K1_*SQRT(K2_*K3_*M5)*L5+k5f*K1_*K2_*L5*M5-k4r/K6_*N5-k5r/K6_*SQRT(K2_*K3_*M5)*N5)*Q5*Q5</f>
        <v>1.4584965434877712</v>
      </c>
      <c r="Z5" s="54">
        <f t="shared" ref="Z5:Z36" si="17">(k8f*K7_*SQRT(K2_*K3_*M5)*O5+k9f*K7_*K2_*O5*M5-k8r/K10_*P5-k9r/K10_*SQRT(K2_*K3_*M5)*P5)*Q5*Q5</f>
        <v>1.5914269173964039E-2</v>
      </c>
      <c r="AA5" s="112"/>
      <c r="AB5" s="52">
        <f>k1f*L5*Q5-k1r*R5</f>
        <v>0</v>
      </c>
      <c r="AC5" s="54">
        <f>k2f*M5*Q5-k2r*T5</f>
        <v>0</v>
      </c>
      <c r="AD5">
        <f>k3f*T5*Q5-k3r*U5*U5</f>
        <v>0</v>
      </c>
      <c r="AE5">
        <f>k4f*R5*U5-k4r*V5*Q5</f>
        <v>1.0165299251727156</v>
      </c>
      <c r="AF5">
        <f>k5f*R5*T5-k5r*V5*U5</f>
        <v>0.44196661831505529</v>
      </c>
      <c r="AG5">
        <f>k6f*V5-k6r*Q5*N5</f>
        <v>0</v>
      </c>
    </row>
    <row r="6" spans="1:40" x14ac:dyDescent="0.2">
      <c r="A6" s="20">
        <f>+A5+B6</f>
        <v>0.01</v>
      </c>
      <c r="B6" s="23">
        <f>MIN(B5,1-A5)</f>
        <v>0.01</v>
      </c>
      <c r="C6" s="12">
        <f>+C5</f>
        <v>0</v>
      </c>
      <c r="D6" s="12">
        <f>+D5</f>
        <v>1198.51644454703</v>
      </c>
      <c r="E6" s="23">
        <f t="shared" ref="E6:E37" si="18">+E5-$B5*$Y5</f>
        <v>0.66820684311760148</v>
      </c>
      <c r="F6" s="23">
        <f>+F5-$B5*(Y5/2+Z5/2)</f>
        <v>136.03164801138263</v>
      </c>
      <c r="G6" s="95">
        <f t="shared" ref="G6:G37" si="19">+G5+$B5*$Y5</f>
        <v>1.4584965434877712E-2</v>
      </c>
      <c r="H6" s="95">
        <f t="shared" ref="H6:H37" si="20">+H5-$B5*$Z5</f>
        <v>0.26633233135977474</v>
      </c>
      <c r="I6" s="95">
        <f t="shared" ref="I6:I37" si="21">+I5+$B5*$Z5</f>
        <v>1.591426917396404E-4</v>
      </c>
      <c r="J6" s="12">
        <f>+J5</f>
        <v>0</v>
      </c>
      <c r="K6" s="12">
        <f t="shared" si="3"/>
        <v>1335.4973758410165</v>
      </c>
      <c r="L6" s="54">
        <f t="shared" si="4"/>
        <v>5.0034305960115029E-4</v>
      </c>
      <c r="M6" s="10">
        <f t="shared" si="5"/>
        <v>0.10185841655115048</v>
      </c>
      <c r="N6" s="10">
        <f t="shared" si="6"/>
        <v>1.0920998946698021E-5</v>
      </c>
      <c r="O6" s="10">
        <f t="shared" si="7"/>
        <v>1.994255744546518E-4</v>
      </c>
      <c r="P6" s="10">
        <f t="shared" si="8"/>
        <v>1.1916361246267656E-7</v>
      </c>
      <c r="Q6" s="54">
        <f t="shared" si="9"/>
        <v>1.7285901274647131E-2</v>
      </c>
      <c r="R6" s="10">
        <f t="shared" si="10"/>
        <v>1.1671182520984079E-3</v>
      </c>
      <c r="S6" s="10">
        <f t="shared" si="11"/>
        <v>5.2020449722647876E-4</v>
      </c>
      <c r="T6" s="10">
        <f t="shared" si="12"/>
        <v>0.29727443201555975</v>
      </c>
      <c r="U6" s="10">
        <f t="shared" si="13"/>
        <v>0.68375234186288403</v>
      </c>
      <c r="V6" s="10">
        <f t="shared" si="14"/>
        <v>2.0749437419169877E-9</v>
      </c>
      <c r="W6" s="10">
        <f t="shared" si="15"/>
        <v>2.264058381018438E-11</v>
      </c>
      <c r="X6" s="163">
        <f t="shared" ref="X6:X69" si="22">SUM(Q6:W6)</f>
        <v>1.0000000000000002</v>
      </c>
      <c r="Y6" s="54">
        <f t="shared" si="16"/>
        <v>1.4274669040919448</v>
      </c>
      <c r="Z6" s="54">
        <f t="shared" si="17"/>
        <v>1.5906158413659503E-2</v>
      </c>
      <c r="AA6" s="113"/>
    </row>
    <row r="7" spans="1:40" x14ac:dyDescent="0.2">
      <c r="A7" s="20">
        <f t="shared" ref="A7:A70" si="23">+A6+B7</f>
        <v>0.02</v>
      </c>
      <c r="B7" s="23">
        <f t="shared" ref="B7:B70" si="24">MIN(B6,1-A6)</f>
        <v>0.01</v>
      </c>
      <c r="C7" s="12">
        <f t="shared" ref="C7:C70" si="25">+C6</f>
        <v>0</v>
      </c>
      <c r="D7" s="12">
        <f t="shared" ref="D7:D70" si="26">+D6</f>
        <v>1198.51644454703</v>
      </c>
      <c r="E7" s="23">
        <f t="shared" si="18"/>
        <v>0.65393217407668203</v>
      </c>
      <c r="F7" s="23">
        <f t="shared" ref="F7:F70" si="27">+F6-$B6*(Y6/2+Z6/2)</f>
        <v>136.0244311460701</v>
      </c>
      <c r="G7" s="95">
        <f t="shared" si="19"/>
        <v>2.8859634475797161E-2</v>
      </c>
      <c r="H7" s="95">
        <f t="shared" si="20"/>
        <v>0.26617326977563815</v>
      </c>
      <c r="I7" s="95">
        <f t="shared" si="21"/>
        <v>3.1820427587623542E-4</v>
      </c>
      <c r="J7" s="12">
        <f t="shared" ref="J7:J70" si="28">+J6</f>
        <v>0</v>
      </c>
      <c r="K7" s="12">
        <f t="shared" si="3"/>
        <v>1335.4901589757042</v>
      </c>
      <c r="L7" s="54">
        <f t="shared" si="4"/>
        <v>4.8965705189339302E-4</v>
      </c>
      <c r="M7" s="10">
        <f t="shared" si="5"/>
        <v>0.10185356307709394</v>
      </c>
      <c r="N7" s="10">
        <f t="shared" si="6"/>
        <v>2.1609769478145731E-5</v>
      </c>
      <c r="O7" s="10">
        <f t="shared" si="7"/>
        <v>1.9930754860806167E-4</v>
      </c>
      <c r="P7" s="10">
        <f t="shared" si="8"/>
        <v>2.3826778036334772E-7</v>
      </c>
      <c r="Q7" s="54">
        <f t="shared" si="9"/>
        <v>1.7286863938729666E-2</v>
      </c>
      <c r="R7" s="10">
        <f t="shared" si="10"/>
        <v>1.1422552948826519E-3</v>
      </c>
      <c r="S7" s="10">
        <f t="shared" si="11"/>
        <v>5.1992557850867767E-4</v>
      </c>
      <c r="T7" s="10">
        <f t="shared" si="12"/>
        <v>0.2972768217556454</v>
      </c>
      <c r="U7" s="10">
        <f t="shared" si="13"/>
        <v>0.68377412928096737</v>
      </c>
      <c r="V7" s="10">
        <f t="shared" si="14"/>
        <v>4.1059937172947139E-9</v>
      </c>
      <c r="W7" s="10">
        <f t="shared" si="15"/>
        <v>4.5272394515594324E-11</v>
      </c>
      <c r="X7" s="163">
        <f t="shared" si="22"/>
        <v>0.99999999999999989</v>
      </c>
      <c r="Y7" s="54">
        <f t="shared" si="16"/>
        <v>1.3970921878819034</v>
      </c>
      <c r="Z7" s="54">
        <f t="shared" si="17"/>
        <v>1.5898021773295516E-2</v>
      </c>
      <c r="AA7" s="113"/>
    </row>
    <row r="8" spans="1:40" x14ac:dyDescent="0.2">
      <c r="A8" s="20">
        <f t="shared" si="23"/>
        <v>0.03</v>
      </c>
      <c r="B8" s="23">
        <f t="shared" si="24"/>
        <v>0.01</v>
      </c>
      <c r="C8" s="12">
        <f t="shared" si="25"/>
        <v>0</v>
      </c>
      <c r="D8" s="12">
        <f t="shared" si="26"/>
        <v>1198.51644454703</v>
      </c>
      <c r="E8" s="23">
        <f t="shared" si="18"/>
        <v>0.63996125219786304</v>
      </c>
      <c r="F8" s="23">
        <f t="shared" si="27"/>
        <v>136.01736619502182</v>
      </c>
      <c r="G8" s="95">
        <f t="shared" si="19"/>
        <v>4.2830556354616196E-2</v>
      </c>
      <c r="H8" s="95">
        <f t="shared" si="20"/>
        <v>0.26601428955790518</v>
      </c>
      <c r="I8" s="95">
        <f t="shared" si="21"/>
        <v>4.7718449360919059E-4</v>
      </c>
      <c r="J8" s="12">
        <f t="shared" si="28"/>
        <v>0</v>
      </c>
      <c r="K8" s="12">
        <f t="shared" si="3"/>
        <v>1335.4830940246559</v>
      </c>
      <c r="L8" s="54">
        <f t="shared" si="4"/>
        <v>4.7919831786807178E-4</v>
      </c>
      <c r="M8" s="10">
        <f t="shared" si="5"/>
        <v>0.10184881171735047</v>
      </c>
      <c r="N8" s="10">
        <f t="shared" si="6"/>
        <v>3.2071208198930188E-5</v>
      </c>
      <c r="O8" s="10">
        <f t="shared" si="7"/>
        <v>1.9918955975416788E-4</v>
      </c>
      <c r="P8" s="10">
        <f t="shared" si="8"/>
        <v>3.5731226830519559E-7</v>
      </c>
      <c r="Q8" s="54">
        <f t="shared" si="9"/>
        <v>1.7287806470948415E-2</v>
      </c>
      <c r="R8" s="10">
        <f t="shared" si="10"/>
        <v>1.1179184653113588E-3</v>
      </c>
      <c r="S8" s="10">
        <f t="shared" si="11"/>
        <v>5.1964611687206435E-4</v>
      </c>
      <c r="T8" s="10">
        <f t="shared" si="12"/>
        <v>0.29727916178723746</v>
      </c>
      <c r="U8" s="10">
        <f t="shared" si="13"/>
        <v>0.68379546099766952</v>
      </c>
      <c r="V8" s="10">
        <f t="shared" si="14"/>
        <v>6.0940658957346086E-9</v>
      </c>
      <c r="W8" s="10">
        <f t="shared" si="15"/>
        <v>6.7895306434975585E-11</v>
      </c>
      <c r="X8" s="163">
        <f t="shared" si="22"/>
        <v>1</v>
      </c>
      <c r="Y8" s="54">
        <f t="shared" si="16"/>
        <v>1.3673587912637621</v>
      </c>
      <c r="Z8" s="54">
        <f t="shared" si="17"/>
        <v>1.5889859925254251E-2</v>
      </c>
      <c r="AA8" s="113"/>
    </row>
    <row r="9" spans="1:40" x14ac:dyDescent="0.2">
      <c r="A9" s="20">
        <f t="shared" si="23"/>
        <v>0.04</v>
      </c>
      <c r="B9" s="23">
        <f t="shared" si="24"/>
        <v>0.01</v>
      </c>
      <c r="C9" s="12">
        <f t="shared" si="25"/>
        <v>0</v>
      </c>
      <c r="D9" s="12">
        <f t="shared" si="26"/>
        <v>1198.51644454703</v>
      </c>
      <c r="E9" s="23">
        <f t="shared" si="18"/>
        <v>0.62628766428522542</v>
      </c>
      <c r="F9" s="23">
        <f t="shared" si="27"/>
        <v>136.01044995176588</v>
      </c>
      <c r="G9" s="95">
        <f t="shared" si="19"/>
        <v>5.6504144267253816E-2</v>
      </c>
      <c r="H9" s="95">
        <f t="shared" si="20"/>
        <v>0.26585539095865263</v>
      </c>
      <c r="I9" s="95">
        <f t="shared" si="21"/>
        <v>6.3608309286173313E-4</v>
      </c>
      <c r="J9" s="12">
        <f t="shared" si="28"/>
        <v>0</v>
      </c>
      <c r="K9" s="12">
        <f t="shared" si="3"/>
        <v>1335.4761777813999</v>
      </c>
      <c r="L9" s="54">
        <f t="shared" si="4"/>
        <v>4.6896206364808747E-4</v>
      </c>
      <c r="M9" s="10">
        <f t="shared" si="5"/>
        <v>0.10184416031869423</v>
      </c>
      <c r="N9" s="10">
        <f t="shared" si="6"/>
        <v>4.2310110211866922E-5</v>
      </c>
      <c r="O9" s="10">
        <f t="shared" si="7"/>
        <v>1.9907160860054644E-4</v>
      </c>
      <c r="P9" s="10">
        <f t="shared" si="8"/>
        <v>4.7629684710546121E-7</v>
      </c>
      <c r="Q9" s="54">
        <f t="shared" si="9"/>
        <v>1.7288729291237905E-2</v>
      </c>
      <c r="R9" s="10">
        <f t="shared" si="10"/>
        <v>1.0940967777195597E-3</v>
      </c>
      <c r="S9" s="10">
        <f t="shared" si="11"/>
        <v>5.1936612786893338E-4</v>
      </c>
      <c r="T9" s="10">
        <f t="shared" si="12"/>
        <v>0.29728145314312093</v>
      </c>
      <c r="U9" s="10">
        <f t="shared" si="13"/>
        <v>0.68381634652948564</v>
      </c>
      <c r="V9" s="10">
        <f t="shared" si="14"/>
        <v>8.0400576609603802E-9</v>
      </c>
      <c r="W9" s="10">
        <f t="shared" si="15"/>
        <v>9.0509197335710852E-11</v>
      </c>
      <c r="X9" s="163">
        <f t="shared" si="22"/>
        <v>0.99999999999999967</v>
      </c>
      <c r="Y9" s="54">
        <f t="shared" si="16"/>
        <v>1.3382533839990669</v>
      </c>
      <c r="Z9" s="54">
        <f t="shared" si="17"/>
        <v>1.5881673527881886E-2</v>
      </c>
      <c r="AA9" s="113"/>
    </row>
    <row r="10" spans="1:40" x14ac:dyDescent="0.2">
      <c r="A10" s="20">
        <f t="shared" si="23"/>
        <v>0.05</v>
      </c>
      <c r="B10" s="23">
        <f t="shared" si="24"/>
        <v>0.01</v>
      </c>
      <c r="C10" s="12">
        <f t="shared" si="25"/>
        <v>0</v>
      </c>
      <c r="D10" s="12">
        <f t="shared" si="26"/>
        <v>1198.51644454703</v>
      </c>
      <c r="E10" s="23">
        <f t="shared" si="18"/>
        <v>0.61290513044523476</v>
      </c>
      <c r="F10" s="23">
        <f t="shared" si="27"/>
        <v>136.00367927647824</v>
      </c>
      <c r="G10" s="95">
        <f t="shared" si="19"/>
        <v>6.9886678107244485E-2</v>
      </c>
      <c r="H10" s="95">
        <f t="shared" si="20"/>
        <v>0.26569657422337378</v>
      </c>
      <c r="I10" s="95">
        <f t="shared" si="21"/>
        <v>7.9489982814055196E-4</v>
      </c>
      <c r="J10" s="12">
        <f t="shared" si="28"/>
        <v>0</v>
      </c>
      <c r="K10" s="12">
        <f t="shared" si="3"/>
        <v>1335.4694071061119</v>
      </c>
      <c r="L10" s="54">
        <f t="shared" si="4"/>
        <v>4.5894359480189525E-4</v>
      </c>
      <c r="M10" s="10">
        <f t="shared" si="5"/>
        <v>0.10183960677256595</v>
      </c>
      <c r="N10" s="10">
        <f t="shared" si="6"/>
        <v>5.2331171148791073E-5</v>
      </c>
      <c r="O10" s="10">
        <f t="shared" si="7"/>
        <v>1.989536958387714E-4</v>
      </c>
      <c r="P10" s="10">
        <f t="shared" si="8"/>
        <v>5.9522129365962467E-7</v>
      </c>
      <c r="Q10" s="54">
        <f t="shared" si="9"/>
        <v>1.7289632811013273E-2</v>
      </c>
      <c r="R10" s="10">
        <f t="shared" si="10"/>
        <v>1.070779469624785E-3</v>
      </c>
      <c r="S10" s="10">
        <f t="shared" si="11"/>
        <v>5.1908562672387437E-4</v>
      </c>
      <c r="T10" s="10">
        <f t="shared" si="12"/>
        <v>0.29728369683529787</v>
      </c>
      <c r="U10" s="10">
        <f t="shared" si="13"/>
        <v>0.68383679519937812</v>
      </c>
      <c r="V10" s="10">
        <f t="shared" si="14"/>
        <v>9.9448481657007974E-9</v>
      </c>
      <c r="W10" s="10">
        <f t="shared" si="15"/>
        <v>1.131139483503365E-10</v>
      </c>
      <c r="X10" s="163">
        <f t="shared" si="22"/>
        <v>1</v>
      </c>
      <c r="Y10" s="54">
        <f t="shared" si="16"/>
        <v>1.3097629040999768</v>
      </c>
      <c r="Z10" s="54">
        <f t="shared" si="17"/>
        <v>1.5873463225762441E-2</v>
      </c>
      <c r="AA10" s="113"/>
    </row>
    <row r="11" spans="1:40" x14ac:dyDescent="0.2">
      <c r="A11" s="20">
        <f t="shared" si="23"/>
        <v>6.0000000000000005E-2</v>
      </c>
      <c r="B11" s="23">
        <f t="shared" si="24"/>
        <v>0.01</v>
      </c>
      <c r="C11" s="12">
        <f t="shared" si="25"/>
        <v>0</v>
      </c>
      <c r="D11" s="12">
        <f t="shared" si="26"/>
        <v>1198.51644454703</v>
      </c>
      <c r="E11" s="23">
        <f t="shared" si="18"/>
        <v>0.599807501404235</v>
      </c>
      <c r="F11" s="23">
        <f t="shared" si="27"/>
        <v>135.99705109464162</v>
      </c>
      <c r="G11" s="95">
        <f t="shared" si="19"/>
        <v>8.2984307148244257E-2</v>
      </c>
      <c r="H11" s="95">
        <f t="shared" si="20"/>
        <v>0.26553783959111615</v>
      </c>
      <c r="I11" s="95">
        <f t="shared" si="21"/>
        <v>9.5363446039817637E-4</v>
      </c>
      <c r="J11" s="12">
        <f t="shared" si="28"/>
        <v>0</v>
      </c>
      <c r="K11" s="12">
        <f t="shared" si="3"/>
        <v>1335.4627789242757</v>
      </c>
      <c r="L11" s="54">
        <f t="shared" si="4"/>
        <v>4.4913831435076311E-4</v>
      </c>
      <c r="M11" s="10">
        <f t="shared" si="5"/>
        <v>0.10183514901417783</v>
      </c>
      <c r="N11" s="10">
        <f t="shared" si="6"/>
        <v>6.2138989163807836E-5</v>
      </c>
      <c r="O11" s="10">
        <f t="shared" si="7"/>
        <v>1.9883582214474648E-4</v>
      </c>
      <c r="P11" s="10">
        <f t="shared" si="8"/>
        <v>7.1408539080837237E-7</v>
      </c>
      <c r="Q11" s="54">
        <f t="shared" si="9"/>
        <v>1.7290517433332875E-2</v>
      </c>
      <c r="R11" s="10">
        <f t="shared" si="10"/>
        <v>1.0479559974539325E-3</v>
      </c>
      <c r="S11" s="10">
        <f t="shared" si="11"/>
        <v>5.1880462834026696E-4</v>
      </c>
      <c r="T11" s="10">
        <f t="shared" si="12"/>
        <v>0.29728589385537557</v>
      </c>
      <c r="U11" s="10">
        <f t="shared" si="13"/>
        <v>0.68385681614048932</v>
      </c>
      <c r="V11" s="10">
        <f t="shared" si="14"/>
        <v>1.1809298680743648E-8</v>
      </c>
      <c r="W11" s="10">
        <f t="shared" si="15"/>
        <v>1.3570944389490071E-10</v>
      </c>
      <c r="X11" s="163">
        <f t="shared" si="22"/>
        <v>1</v>
      </c>
      <c r="Y11" s="54">
        <f t="shared" si="16"/>
        <v>1.2818745528031539</v>
      </c>
      <c r="Z11" s="54">
        <f t="shared" si="17"/>
        <v>1.5865229649986864E-2</v>
      </c>
      <c r="AA11" s="113"/>
    </row>
    <row r="12" spans="1:40" x14ac:dyDescent="0.2">
      <c r="A12" s="20">
        <f t="shared" si="23"/>
        <v>7.0000000000000007E-2</v>
      </c>
      <c r="B12" s="23">
        <f t="shared" si="24"/>
        <v>0.01</v>
      </c>
      <c r="C12" s="12">
        <f t="shared" si="25"/>
        <v>0</v>
      </c>
      <c r="D12" s="12">
        <f t="shared" si="26"/>
        <v>1198.51644454703</v>
      </c>
      <c r="E12" s="23">
        <f t="shared" si="18"/>
        <v>0.58698875587620347</v>
      </c>
      <c r="F12" s="23">
        <f t="shared" si="27"/>
        <v>135.99056239572934</v>
      </c>
      <c r="G12" s="95">
        <f t="shared" si="19"/>
        <v>9.5803052676275799E-2</v>
      </c>
      <c r="H12" s="95">
        <f t="shared" si="20"/>
        <v>0.26537918729461629</v>
      </c>
      <c r="I12" s="95">
        <f t="shared" si="21"/>
        <v>1.112286756898045E-3</v>
      </c>
      <c r="J12" s="12">
        <f t="shared" si="28"/>
        <v>0</v>
      </c>
      <c r="K12" s="12">
        <f t="shared" si="3"/>
        <v>1335.4562902253635</v>
      </c>
      <c r="L12" s="54">
        <f t="shared" si="4"/>
        <v>4.3954172081300152E-4</v>
      </c>
      <c r="M12" s="10">
        <f t="shared" si="5"/>
        <v>0.10183078502163512</v>
      </c>
      <c r="N12" s="10">
        <f t="shared" si="6"/>
        <v>7.1738066889563763E-5</v>
      </c>
      <c r="O12" s="10">
        <f t="shared" si="7"/>
        <v>1.9871798817903093E-4</v>
      </c>
      <c r="P12" s="10">
        <f t="shared" si="8"/>
        <v>8.328889272073009E-7</v>
      </c>
      <c r="Q12" s="54">
        <f t="shared" si="9"/>
        <v>1.7291383553058221E-2</v>
      </c>
      <c r="R12" s="10">
        <f t="shared" si="10"/>
        <v>1.0256160323408427E-3</v>
      </c>
      <c r="S12" s="10">
        <f t="shared" si="11"/>
        <v>5.1852314730666351E-4</v>
      </c>
      <c r="T12" s="10">
        <f t="shared" si="12"/>
        <v>0.29728804517495072</v>
      </c>
      <c r="U12" s="10">
        <f t="shared" si="13"/>
        <v>0.68387641829979517</v>
      </c>
      <c r="V12" s="10">
        <f t="shared" si="14"/>
        <v>1.3634252938214753E-8</v>
      </c>
      <c r="W12" s="10">
        <f t="shared" si="15"/>
        <v>1.5829557158912914E-10</v>
      </c>
      <c r="X12" s="163">
        <f t="shared" si="22"/>
        <v>1</v>
      </c>
      <c r="Y12" s="54">
        <f t="shared" si="16"/>
        <v>1.2545757896219161</v>
      </c>
      <c r="Z12" s="54">
        <f t="shared" si="17"/>
        <v>1.5856973418417717E-2</v>
      </c>
      <c r="AA12" s="113"/>
    </row>
    <row r="13" spans="1:40" x14ac:dyDescent="0.2">
      <c r="A13" s="20">
        <f t="shared" si="23"/>
        <v>0.08</v>
      </c>
      <c r="B13" s="23">
        <f t="shared" si="24"/>
        <v>0.01</v>
      </c>
      <c r="C13" s="12">
        <f t="shared" si="25"/>
        <v>0</v>
      </c>
      <c r="D13" s="12">
        <f t="shared" si="26"/>
        <v>1198.51644454703</v>
      </c>
      <c r="E13" s="23">
        <f t="shared" si="18"/>
        <v>0.57444299797998433</v>
      </c>
      <c r="F13" s="23">
        <f t="shared" si="27"/>
        <v>135.98421023191415</v>
      </c>
      <c r="G13" s="95">
        <f t="shared" si="19"/>
        <v>0.10834881057249496</v>
      </c>
      <c r="H13" s="95">
        <f t="shared" si="20"/>
        <v>0.26522061756043214</v>
      </c>
      <c r="I13" s="95">
        <f t="shared" si="21"/>
        <v>1.2708564910822221E-3</v>
      </c>
      <c r="J13" s="12">
        <f t="shared" si="28"/>
        <v>0</v>
      </c>
      <c r="K13" s="12">
        <f t="shared" si="3"/>
        <v>1335.4499380615484</v>
      </c>
      <c r="L13" s="54">
        <f t="shared" si="4"/>
        <v>4.3014940628460254E-4</v>
      </c>
      <c r="M13" s="10">
        <f t="shared" si="5"/>
        <v>0.10182651281507409</v>
      </c>
      <c r="N13" s="10">
        <f t="shared" si="6"/>
        <v>8.1132813357097448E-5</v>
      </c>
      <c r="O13" s="10">
        <f t="shared" si="7"/>
        <v>1.986001945871584E-4</v>
      </c>
      <c r="P13" s="10">
        <f t="shared" si="8"/>
        <v>9.5163169719930804E-7</v>
      </c>
      <c r="Q13" s="54">
        <f t="shared" si="9"/>
        <v>1.7292231557011279E-2</v>
      </c>
      <c r="R13" s="10">
        <f t="shared" si="10"/>
        <v>1.0037494559938867E-3</v>
      </c>
      <c r="S13" s="10">
        <f t="shared" si="11"/>
        <v>5.1824119790305941E-4</v>
      </c>
      <c r="T13" s="10">
        <f t="shared" si="12"/>
        <v>0.2972901517459865</v>
      </c>
      <c r="U13" s="10">
        <f t="shared" si="13"/>
        <v>0.68389561044169567</v>
      </c>
      <c r="V13" s="10">
        <f t="shared" si="14"/>
        <v>1.5420537469137358E-8</v>
      </c>
      <c r="W13" s="10">
        <f t="shared" si="15"/>
        <v>1.8087222217836446E-10</v>
      </c>
      <c r="X13" s="163">
        <f t="shared" si="22"/>
        <v>1.0000000000000002</v>
      </c>
      <c r="Y13" s="54">
        <f t="shared" si="16"/>
        <v>1.2278543274761273</v>
      </c>
      <c r="Z13" s="54">
        <f t="shared" si="17"/>
        <v>1.5848695135949314E-2</v>
      </c>
      <c r="AA13" s="113"/>
    </row>
    <row r="14" spans="1:40" x14ac:dyDescent="0.2">
      <c r="A14" s="20">
        <f t="shared" si="23"/>
        <v>0.09</v>
      </c>
      <c r="B14" s="23">
        <f t="shared" si="24"/>
        <v>0.01</v>
      </c>
      <c r="C14" s="12">
        <f t="shared" si="25"/>
        <v>0</v>
      </c>
      <c r="D14" s="12">
        <f t="shared" si="26"/>
        <v>1198.51644454703</v>
      </c>
      <c r="E14" s="23">
        <f t="shared" si="18"/>
        <v>0.56216445470522303</v>
      </c>
      <c r="F14" s="23">
        <f t="shared" si="27"/>
        <v>135.97799171680109</v>
      </c>
      <c r="G14" s="95">
        <f t="shared" si="19"/>
        <v>0.12062735384725623</v>
      </c>
      <c r="H14" s="95">
        <f t="shared" si="20"/>
        <v>0.26506213060907263</v>
      </c>
      <c r="I14" s="95">
        <f t="shared" si="21"/>
        <v>1.4293434424417152E-3</v>
      </c>
      <c r="J14" s="12">
        <f t="shared" si="28"/>
        <v>0</v>
      </c>
      <c r="K14" s="12">
        <f t="shared" si="3"/>
        <v>1335.4437195464352</v>
      </c>
      <c r="L14" s="54">
        <f t="shared" si="4"/>
        <v>4.2095705455573549E-4</v>
      </c>
      <c r="M14" s="10">
        <f t="shared" si="5"/>
        <v>0.10182233045581592</v>
      </c>
      <c r="N14" s="10">
        <f t="shared" si="6"/>
        <v>9.0327545879826087E-5</v>
      </c>
      <c r="O14" s="10">
        <f t="shared" si="7"/>
        <v>1.9848244199994987E-4</v>
      </c>
      <c r="P14" s="10">
        <f t="shared" si="8"/>
        <v>1.0703135006896222E-6</v>
      </c>
      <c r="Q14" s="54">
        <f t="shared" si="9"/>
        <v>1.7293061824129177E-2</v>
      </c>
      <c r="R14" s="10">
        <f t="shared" si="10"/>
        <v>9.8234635663288603E-4</v>
      </c>
      <c r="S14" s="10">
        <f t="shared" si="11"/>
        <v>5.1795879410705399E-4</v>
      </c>
      <c r="T14" s="10">
        <f t="shared" si="12"/>
        <v>0.29729221450118387</v>
      </c>
      <c r="U14" s="10">
        <f t="shared" si="13"/>
        <v>0.68391440115154578</v>
      </c>
      <c r="V14" s="10">
        <f t="shared" si="14"/>
        <v>1.7168961935328913E-8</v>
      </c>
      <c r="W14" s="10">
        <f t="shared" si="15"/>
        <v>2.034392894572477E-10</v>
      </c>
      <c r="X14" s="163">
        <f t="shared" si="22"/>
        <v>0.99999999999999989</v>
      </c>
      <c r="Y14" s="54">
        <f t="shared" si="16"/>
        <v>1.2016981278993133</v>
      </c>
      <c r="Z14" s="54">
        <f t="shared" si="17"/>
        <v>1.5840395394763444E-2</v>
      </c>
      <c r="AA14" s="113"/>
      <c r="AB14"/>
    </row>
    <row r="15" spans="1:40" x14ac:dyDescent="0.2">
      <c r="A15" s="20">
        <f t="shared" si="23"/>
        <v>9.9999999999999992E-2</v>
      </c>
      <c r="B15" s="23">
        <f t="shared" si="24"/>
        <v>0.01</v>
      </c>
      <c r="C15" s="12">
        <f t="shared" si="25"/>
        <v>0</v>
      </c>
      <c r="D15" s="12">
        <f t="shared" si="26"/>
        <v>1198.51644454703</v>
      </c>
      <c r="E15" s="23">
        <f t="shared" si="18"/>
        <v>0.55014747342622994</v>
      </c>
      <c r="F15" s="23">
        <f t="shared" si="27"/>
        <v>135.97190402418462</v>
      </c>
      <c r="G15" s="95">
        <f t="shared" si="19"/>
        <v>0.13264433512624937</v>
      </c>
      <c r="H15" s="95">
        <f t="shared" si="20"/>
        <v>0.26490372665512502</v>
      </c>
      <c r="I15" s="95">
        <f t="shared" si="21"/>
        <v>1.5877473963893498E-3</v>
      </c>
      <c r="J15" s="12">
        <f t="shared" si="28"/>
        <v>0</v>
      </c>
      <c r="K15" s="12">
        <f t="shared" si="3"/>
        <v>1335.4376318538186</v>
      </c>
      <c r="L15" s="54">
        <f t="shared" si="4"/>
        <v>4.1196043926254345E-4</v>
      </c>
      <c r="M15" s="10">
        <f t="shared" si="5"/>
        <v>0.10181823604553668</v>
      </c>
      <c r="N15" s="10">
        <f t="shared" si="6"/>
        <v>9.9326491902220905E-5</v>
      </c>
      <c r="O15" s="10">
        <f t="shared" si="7"/>
        <v>1.9836473103382055E-4</v>
      </c>
      <c r="P15" s="10">
        <f t="shared" si="8"/>
        <v>1.1889341430234233E-6</v>
      </c>
      <c r="Q15" s="54">
        <f t="shared" si="9"/>
        <v>1.7293874725616269E-2</v>
      </c>
      <c r="R15" s="10">
        <f t="shared" si="10"/>
        <v>9.6139702499463647E-4</v>
      </c>
      <c r="S15" s="10">
        <f t="shared" si="11"/>
        <v>5.1767594959990077E-4</v>
      </c>
      <c r="T15" s="10">
        <f t="shared" si="12"/>
        <v>0.29729423435434743</v>
      </c>
      <c r="U15" s="10">
        <f t="shared" si="13"/>
        <v>0.68393279883912583</v>
      </c>
      <c r="V15" s="10">
        <f t="shared" si="14"/>
        <v>1.8880319455693323E-8</v>
      </c>
      <c r="W15" s="10">
        <f t="shared" si="15"/>
        <v>2.2599667019510724E-10</v>
      </c>
      <c r="X15" s="163">
        <f t="shared" si="22"/>
        <v>1.0000000000000002</v>
      </c>
      <c r="Y15" s="54">
        <f t="shared" si="16"/>
        <v>1.176095396322401</v>
      </c>
      <c r="Z15" s="54">
        <f t="shared" si="17"/>
        <v>1.58320747745807E-2</v>
      </c>
      <c r="AA15" s="113"/>
    </row>
    <row r="16" spans="1:40" x14ac:dyDescent="0.2">
      <c r="A16" s="20">
        <f t="shared" si="23"/>
        <v>0.10999999999999999</v>
      </c>
      <c r="B16" s="23">
        <f t="shared" si="24"/>
        <v>0.01</v>
      </c>
      <c r="C16" s="12">
        <f t="shared" si="25"/>
        <v>0</v>
      </c>
      <c r="D16" s="12">
        <f t="shared" si="26"/>
        <v>1198.51644454703</v>
      </c>
      <c r="E16" s="23">
        <f t="shared" si="18"/>
        <v>0.53838651946300597</v>
      </c>
      <c r="F16" s="23">
        <f t="shared" si="27"/>
        <v>135.96594438682914</v>
      </c>
      <c r="G16" s="95">
        <f t="shared" si="19"/>
        <v>0.14440528908947339</v>
      </c>
      <c r="H16" s="95">
        <f t="shared" si="20"/>
        <v>0.26474540590737922</v>
      </c>
      <c r="I16" s="95">
        <f t="shared" si="21"/>
        <v>1.7460681441351569E-3</v>
      </c>
      <c r="J16" s="12">
        <f t="shared" si="28"/>
        <v>0</v>
      </c>
      <c r="K16" s="12">
        <f t="shared" si="3"/>
        <v>1335.4316722164631</v>
      </c>
      <c r="L16" s="54">
        <f t="shared" si="4"/>
        <v>4.0315542207369309E-4</v>
      </c>
      <c r="M16" s="10">
        <f t="shared" si="5"/>
        <v>0.10181422772545275</v>
      </c>
      <c r="N16" s="10">
        <f t="shared" si="6"/>
        <v>1.0813379081372156E-4</v>
      </c>
      <c r="O16" s="10">
        <f t="shared" si="7"/>
        <v>1.9824706229108069E-4</v>
      </c>
      <c r="P16" s="10">
        <f t="shared" si="8"/>
        <v>1.3074934348660055E-6</v>
      </c>
      <c r="Q16" s="54">
        <f t="shared" si="9"/>
        <v>1.7294670625093662E-2</v>
      </c>
      <c r="R16" s="10">
        <f t="shared" si="10"/>
        <v>9.4089195040632072E-4</v>
      </c>
      <c r="S16" s="10">
        <f t="shared" si="11"/>
        <v>5.1739267777245013E-4</v>
      </c>
      <c r="T16" s="10">
        <f t="shared" si="12"/>
        <v>0.29729621220074398</v>
      </c>
      <c r="U16" s="10">
        <f t="shared" si="13"/>
        <v>0.68395081174205241</v>
      </c>
      <c r="V16" s="10">
        <f t="shared" si="14"/>
        <v>2.0555386926968183E-8</v>
      </c>
      <c r="W16" s="10">
        <f t="shared" si="15"/>
        <v>2.4854426406302406E-10</v>
      </c>
      <c r="X16" s="163">
        <f t="shared" si="22"/>
        <v>1</v>
      </c>
      <c r="Y16" s="54">
        <f t="shared" si="16"/>
        <v>1.1510345774335096</v>
      </c>
      <c r="Z16" s="54">
        <f t="shared" si="17"/>
        <v>1.5823733842907452E-2</v>
      </c>
      <c r="AA16" s="113"/>
    </row>
    <row r="17" spans="1:27" x14ac:dyDescent="0.2">
      <c r="A17" s="20">
        <f t="shared" si="23"/>
        <v>0.11999999999999998</v>
      </c>
      <c r="B17" s="23">
        <f t="shared" si="24"/>
        <v>0.01</v>
      </c>
      <c r="C17" s="12">
        <f t="shared" si="25"/>
        <v>0</v>
      </c>
      <c r="D17" s="12">
        <f t="shared" si="26"/>
        <v>1198.51644454703</v>
      </c>
      <c r="E17" s="23">
        <f t="shared" si="18"/>
        <v>0.5268761736886709</v>
      </c>
      <c r="F17" s="23">
        <f t="shared" si="27"/>
        <v>135.96011009527277</v>
      </c>
      <c r="G17" s="95">
        <f t="shared" si="19"/>
        <v>0.15591563486380849</v>
      </c>
      <c r="H17" s="95">
        <f t="shared" si="20"/>
        <v>0.26458716856895015</v>
      </c>
      <c r="I17" s="95">
        <f t="shared" si="21"/>
        <v>1.9043054825642314E-3</v>
      </c>
      <c r="J17" s="12">
        <f t="shared" si="28"/>
        <v>0</v>
      </c>
      <c r="K17" s="12">
        <f t="shared" si="3"/>
        <v>1335.4258379249068</v>
      </c>
      <c r="L17" s="54">
        <f t="shared" si="4"/>
        <v>3.9453795091112955E-4</v>
      </c>
      <c r="M17" s="10">
        <f t="shared" si="5"/>
        <v>0.10181030367552169</v>
      </c>
      <c r="N17" s="10">
        <f t="shared" si="6"/>
        <v>1.1675349572843587E-4</v>
      </c>
      <c r="O17" s="10">
        <f t="shared" si="7"/>
        <v>1.9812943636023038E-4</v>
      </c>
      <c r="P17" s="10">
        <f t="shared" si="8"/>
        <v>1.425991192085437E-6</v>
      </c>
      <c r="Q17" s="54">
        <f t="shared" si="9"/>
        <v>1.7295449878746229E-2</v>
      </c>
      <c r="R17" s="10">
        <f t="shared" si="10"/>
        <v>9.2082181692606266E-4</v>
      </c>
      <c r="S17" s="10">
        <f t="shared" si="11"/>
        <v>5.1710899173098754E-4</v>
      </c>
      <c r="T17" s="10">
        <f t="shared" si="12"/>
        <v>0.29729814891745732</v>
      </c>
      <c r="U17" s="10">
        <f t="shared" si="13"/>
        <v>0.68396844792913214</v>
      </c>
      <c r="V17" s="10">
        <f t="shared" si="14"/>
        <v>2.2194925338987552E-8</v>
      </c>
      <c r="W17" s="10">
        <f t="shared" si="15"/>
        <v>2.7108197356254137E-10</v>
      </c>
      <c r="X17" s="163">
        <f t="shared" si="22"/>
        <v>1</v>
      </c>
      <c r="Y17" s="54">
        <f t="shared" si="16"/>
        <v>1.1265043506131533</v>
      </c>
      <c r="Z17" s="54">
        <f t="shared" si="17"/>
        <v>1.5815373155278575E-2</v>
      </c>
      <c r="AA17" s="113"/>
    </row>
    <row r="18" spans="1:27" x14ac:dyDescent="0.2">
      <c r="A18" s="20">
        <f t="shared" si="23"/>
        <v>0.12999999999999998</v>
      </c>
      <c r="B18" s="23">
        <f t="shared" si="24"/>
        <v>0.01</v>
      </c>
      <c r="C18" s="12">
        <f t="shared" si="25"/>
        <v>0</v>
      </c>
      <c r="D18" s="12">
        <f t="shared" si="26"/>
        <v>1198.51644454703</v>
      </c>
      <c r="E18" s="23">
        <f t="shared" si="18"/>
        <v>0.51561113018253935</v>
      </c>
      <c r="F18" s="23">
        <f t="shared" si="27"/>
        <v>135.95439849665394</v>
      </c>
      <c r="G18" s="95">
        <f t="shared" si="19"/>
        <v>0.16718067836994002</v>
      </c>
      <c r="H18" s="95">
        <f t="shared" si="20"/>
        <v>0.26442901483739734</v>
      </c>
      <c r="I18" s="95">
        <f t="shared" si="21"/>
        <v>2.0624592141170171E-3</v>
      </c>
      <c r="J18" s="12">
        <f t="shared" si="28"/>
        <v>0</v>
      </c>
      <c r="K18" s="12">
        <f t="shared" si="3"/>
        <v>1335.420126326288</v>
      </c>
      <c r="L18" s="54">
        <f t="shared" si="4"/>
        <v>3.8610405820449511E-4</v>
      </c>
      <c r="M18" s="10">
        <f t="shared" si="5"/>
        <v>0.10180646211365824</v>
      </c>
      <c r="N18" s="10">
        <f t="shared" si="6"/>
        <v>1.2518957523116749E-4</v>
      </c>
      <c r="O18" s="10">
        <f t="shared" si="7"/>
        <v>1.9801185381624871E-4</v>
      </c>
      <c r="P18" s="10">
        <f t="shared" si="8"/>
        <v>1.5444272356376699E-6</v>
      </c>
      <c r="Q18" s="54">
        <f t="shared" si="9"/>
        <v>1.7296212835467045E-2</v>
      </c>
      <c r="R18" s="10">
        <f t="shared" si="10"/>
        <v>9.0117749954986813E-4</v>
      </c>
      <c r="S18" s="10">
        <f t="shared" si="11"/>
        <v>5.1682490430296295E-4</v>
      </c>
      <c r="T18" s="10">
        <f t="shared" si="12"/>
        <v>0.29730004536373561</v>
      </c>
      <c r="U18" s="10">
        <f t="shared" si="13"/>
        <v>0.68398571530365471</v>
      </c>
      <c r="V18" s="10">
        <f t="shared" si="14"/>
        <v>2.3799680084521654E-8</v>
      </c>
      <c r="W18" s="10">
        <f t="shared" si="15"/>
        <v>2.9360970395598569E-10</v>
      </c>
      <c r="X18" s="163">
        <f t="shared" si="22"/>
        <v>1</v>
      </c>
      <c r="Y18" s="54">
        <f t="shared" si="16"/>
        <v>1.1024936254441973</v>
      </c>
      <c r="Z18" s="54">
        <f t="shared" si="17"/>
        <v>1.5806993255495838E-2</v>
      </c>
      <c r="AA18" s="113"/>
    </row>
    <row r="19" spans="1:27" x14ac:dyDescent="0.2">
      <c r="A19" s="20">
        <f t="shared" si="23"/>
        <v>0.13999999999999999</v>
      </c>
      <c r="B19" s="23">
        <f t="shared" si="24"/>
        <v>0.01</v>
      </c>
      <c r="C19" s="12">
        <f t="shared" si="25"/>
        <v>0</v>
      </c>
      <c r="D19" s="12">
        <f t="shared" si="26"/>
        <v>1198.51644454703</v>
      </c>
      <c r="E19" s="23">
        <f t="shared" si="18"/>
        <v>0.50458619392809734</v>
      </c>
      <c r="F19" s="23">
        <f t="shared" si="27"/>
        <v>135.94880699356042</v>
      </c>
      <c r="G19" s="95">
        <f t="shared" si="19"/>
        <v>0.178205614624382</v>
      </c>
      <c r="H19" s="95">
        <f t="shared" si="20"/>
        <v>0.26427094490484238</v>
      </c>
      <c r="I19" s="95">
        <f t="shared" si="21"/>
        <v>2.2205291466719755E-3</v>
      </c>
      <c r="J19" s="12">
        <f t="shared" si="28"/>
        <v>0</v>
      </c>
      <c r="K19" s="12">
        <f t="shared" si="3"/>
        <v>1335.4145348231943</v>
      </c>
      <c r="L19" s="54">
        <f t="shared" si="4"/>
        <v>3.7784985917867317E-4</v>
      </c>
      <c r="M19" s="10">
        <f t="shared" si="5"/>
        <v>0.1018027012949651</v>
      </c>
      <c r="N19" s="10">
        <f t="shared" si="6"/>
        <v>1.3344591509031013E-4</v>
      </c>
      <c r="O19" s="10">
        <f t="shared" si="7"/>
        <v>1.9789431522087726E-4</v>
      </c>
      <c r="P19" s="10">
        <f t="shared" si="8"/>
        <v>1.6628013914540538E-6</v>
      </c>
      <c r="Q19" s="54">
        <f t="shared" si="9"/>
        <v>1.7296959836999411E-2</v>
      </c>
      <c r="R19" s="10">
        <f t="shared" si="10"/>
        <v>8.8195006048419724E-4</v>
      </c>
      <c r="S19" s="10">
        <f t="shared" si="11"/>
        <v>5.1654042804262046E-4</v>
      </c>
      <c r="T19" s="10">
        <f t="shared" si="12"/>
        <v>0.29730190238133364</v>
      </c>
      <c r="U19" s="10">
        <f t="shared" si="13"/>
        <v>0.68400262160663172</v>
      </c>
      <c r="V19" s="10">
        <f t="shared" si="14"/>
        <v>2.5370381263755998E-8</v>
      </c>
      <c r="W19" s="10">
        <f t="shared" si="15"/>
        <v>3.1612736319837009E-10</v>
      </c>
      <c r="X19" s="163">
        <f t="shared" si="22"/>
        <v>1.0000000000000002</v>
      </c>
      <c r="Y19" s="54">
        <f t="shared" si="16"/>
        <v>1.078991537295908</v>
      </c>
      <c r="Z19" s="54">
        <f t="shared" si="17"/>
        <v>1.5798594675862185E-2</v>
      </c>
      <c r="AA19" s="113"/>
    </row>
    <row r="20" spans="1:27" x14ac:dyDescent="0.2">
      <c r="A20" s="20">
        <f t="shared" si="23"/>
        <v>0.15</v>
      </c>
      <c r="B20" s="23">
        <f t="shared" si="24"/>
        <v>0.01</v>
      </c>
      <c r="C20" s="12">
        <f t="shared" si="25"/>
        <v>0</v>
      </c>
      <c r="D20" s="12">
        <f t="shared" si="26"/>
        <v>1198.51644454703</v>
      </c>
      <c r="E20" s="23">
        <f t="shared" si="18"/>
        <v>0.49379627855513825</v>
      </c>
      <c r="F20" s="23">
        <f t="shared" si="27"/>
        <v>135.94333304290058</v>
      </c>
      <c r="G20" s="95">
        <f t="shared" si="19"/>
        <v>0.18899552999734109</v>
      </c>
      <c r="H20" s="95">
        <f t="shared" si="20"/>
        <v>0.26411295895808373</v>
      </c>
      <c r="I20" s="95">
        <f t="shared" si="21"/>
        <v>2.3785150934305973E-3</v>
      </c>
      <c r="J20" s="12">
        <f t="shared" si="28"/>
        <v>0</v>
      </c>
      <c r="K20" s="12">
        <f t="shared" si="3"/>
        <v>1335.4090608725346</v>
      </c>
      <c r="L20" s="54">
        <f t="shared" si="4"/>
        <v>3.697715501739218E-4</v>
      </c>
      <c r="M20" s="10">
        <f t="shared" si="5"/>
        <v>0.10179901951097846</v>
      </c>
      <c r="N20" s="10">
        <f t="shared" si="6"/>
        <v>1.4152631993814276E-4</v>
      </c>
      <c r="O20" s="10">
        <f t="shared" si="7"/>
        <v>1.9777682112289744E-4</v>
      </c>
      <c r="P20" s="10">
        <f t="shared" si="8"/>
        <v>1.7811134903312056E-6</v>
      </c>
      <c r="Q20" s="54">
        <f t="shared" si="9"/>
        <v>1.7297691218076363E-2</v>
      </c>
      <c r="R20" s="10">
        <f t="shared" si="10"/>
        <v>8.6313074548338155E-4</v>
      </c>
      <c r="S20" s="10">
        <f t="shared" si="11"/>
        <v>5.162555752365206E-4</v>
      </c>
      <c r="T20" s="10">
        <f t="shared" si="12"/>
        <v>0.29730372079484885</v>
      </c>
      <c r="U20" s="10">
        <f t="shared" si="13"/>
        <v>0.68401917441997606</v>
      </c>
      <c r="V20" s="10">
        <f t="shared" si="14"/>
        <v>2.6907743983472977E-8</v>
      </c>
      <c r="W20" s="10">
        <f t="shared" si="15"/>
        <v>3.3863486187084539E-10</v>
      </c>
      <c r="X20" s="163">
        <f t="shared" si="22"/>
        <v>1</v>
      </c>
      <c r="Y20" s="54">
        <f t="shared" si="16"/>
        <v>1.0559874429813778</v>
      </c>
      <c r="Z20" s="54">
        <f t="shared" si="17"/>
        <v>1.5790177937411751E-2</v>
      </c>
      <c r="AA20" s="113"/>
    </row>
    <row r="21" spans="1:27" x14ac:dyDescent="0.2">
      <c r="A21" s="20">
        <f t="shared" si="23"/>
        <v>0.16</v>
      </c>
      <c r="B21" s="23">
        <f t="shared" si="24"/>
        <v>0.01</v>
      </c>
      <c r="C21" s="12">
        <f t="shared" si="25"/>
        <v>0</v>
      </c>
      <c r="D21" s="12">
        <f t="shared" si="26"/>
        <v>1198.51644454703</v>
      </c>
      <c r="E21" s="23">
        <f t="shared" si="18"/>
        <v>0.48323640412532448</v>
      </c>
      <c r="F21" s="23">
        <f t="shared" si="27"/>
        <v>135.937974154796</v>
      </c>
      <c r="G21" s="95">
        <f t="shared" si="19"/>
        <v>0.19955540442715486</v>
      </c>
      <c r="H21" s="95">
        <f t="shared" si="20"/>
        <v>0.2639550571787096</v>
      </c>
      <c r="I21" s="95">
        <f t="shared" si="21"/>
        <v>2.5364168728047149E-3</v>
      </c>
      <c r="J21" s="12">
        <f t="shared" si="28"/>
        <v>0</v>
      </c>
      <c r="K21" s="12">
        <f t="shared" si="3"/>
        <v>1335.40370198443</v>
      </c>
      <c r="L21" s="54">
        <f t="shared" si="4"/>
        <v>3.6186540699806953E-4</v>
      </c>
      <c r="M21" s="10">
        <f t="shared" si="5"/>
        <v>0.10179541508892788</v>
      </c>
      <c r="N21" s="10">
        <f t="shared" si="6"/>
        <v>1.4943451491905595E-4</v>
      </c>
      <c r="O21" s="10">
        <f t="shared" si="7"/>
        <v>1.9765937205840333E-4</v>
      </c>
      <c r="P21" s="10">
        <f t="shared" si="8"/>
        <v>1.8993633678231993E-6</v>
      </c>
      <c r="Q21" s="54">
        <f t="shared" si="9"/>
        <v>1.7298407306557812E-2</v>
      </c>
      <c r="R21" s="10">
        <f t="shared" si="10"/>
        <v>8.4471098025112185E-4</v>
      </c>
      <c r="S21" s="10">
        <f t="shared" si="11"/>
        <v>5.1597035790896769E-4</v>
      </c>
      <c r="T21" s="10">
        <f t="shared" si="12"/>
        <v>0.29730550141205325</v>
      </c>
      <c r="U21" s="10">
        <f t="shared" si="13"/>
        <v>0.68403538116962825</v>
      </c>
      <c r="V21" s="10">
        <f t="shared" si="14"/>
        <v>2.8412468650999943E-8</v>
      </c>
      <c r="W21" s="10">
        <f t="shared" si="15"/>
        <v>3.6113211311567355E-10</v>
      </c>
      <c r="X21" s="163">
        <f t="shared" si="22"/>
        <v>1</v>
      </c>
      <c r="Y21" s="54">
        <f t="shared" si="16"/>
        <v>1.0334709164876328</v>
      </c>
      <c r="Z21" s="54">
        <f t="shared" si="17"/>
        <v>1.5781743550135969E-2</v>
      </c>
      <c r="AA21" s="113"/>
    </row>
    <row r="22" spans="1:27" x14ac:dyDescent="0.2">
      <c r="A22" s="20">
        <f t="shared" si="23"/>
        <v>0.17</v>
      </c>
      <c r="B22" s="23">
        <f t="shared" si="24"/>
        <v>0.01</v>
      </c>
      <c r="C22" s="12">
        <f t="shared" si="25"/>
        <v>0</v>
      </c>
      <c r="D22" s="12">
        <f t="shared" si="26"/>
        <v>1198.51644454703</v>
      </c>
      <c r="E22" s="23">
        <f t="shared" si="18"/>
        <v>0.47290169496044815</v>
      </c>
      <c r="F22" s="23">
        <f t="shared" si="27"/>
        <v>135.9327278914958</v>
      </c>
      <c r="G22" s="95">
        <f t="shared" si="19"/>
        <v>0.20989011359203119</v>
      </c>
      <c r="H22" s="95">
        <f t="shared" si="20"/>
        <v>0.26379723974320823</v>
      </c>
      <c r="I22" s="95">
        <f t="shared" si="21"/>
        <v>2.6942343083060745E-3</v>
      </c>
      <c r="J22" s="12">
        <f t="shared" si="28"/>
        <v>0</v>
      </c>
      <c r="K22" s="12">
        <f t="shared" si="3"/>
        <v>1335.3984557211297</v>
      </c>
      <c r="L22" s="54">
        <f t="shared" si="4"/>
        <v>3.541277833102451E-4</v>
      </c>
      <c r="M22" s="10">
        <f t="shared" si="5"/>
        <v>0.10179188639101028</v>
      </c>
      <c r="N22" s="10">
        <f t="shared" si="6"/>
        <v>1.571741473062347E-4</v>
      </c>
      <c r="O22" s="10">
        <f t="shared" si="7"/>
        <v>1.9754196855106804E-4</v>
      </c>
      <c r="P22" s="10">
        <f t="shared" si="8"/>
        <v>2.0175508641360221E-6</v>
      </c>
      <c r="Q22" s="54">
        <f t="shared" si="9"/>
        <v>1.7299108423565229E-2</v>
      </c>
      <c r="R22" s="10">
        <f t="shared" si="10"/>
        <v>8.2668236690525837E-4</v>
      </c>
      <c r="S22" s="10">
        <f t="shared" si="11"/>
        <v>5.1568478782733113E-4</v>
      </c>
      <c r="T22" s="10">
        <f t="shared" si="12"/>
        <v>0.29730724502421746</v>
      </c>
      <c r="U22" s="10">
        <f t="shared" si="13"/>
        <v>0.68405124912862436</v>
      </c>
      <c r="V22" s="10">
        <f t="shared" si="14"/>
        <v>2.9885241262987981E-8</v>
      </c>
      <c r="W22" s="10">
        <f t="shared" si="15"/>
        <v>3.8361903257268798E-10</v>
      </c>
      <c r="X22" s="163">
        <f t="shared" si="22"/>
        <v>1</v>
      </c>
      <c r="Y22" s="54">
        <f t="shared" si="16"/>
        <v>1.01143174477766</v>
      </c>
      <c r="Z22" s="54">
        <f t="shared" si="17"/>
        <v>1.5773292013205369E-2</v>
      </c>
      <c r="AA22" s="113"/>
    </row>
    <row r="23" spans="1:27" x14ac:dyDescent="0.2">
      <c r="A23" s="20">
        <f t="shared" si="23"/>
        <v>0.18000000000000002</v>
      </c>
      <c r="B23" s="23">
        <f t="shared" si="24"/>
        <v>0.01</v>
      </c>
      <c r="C23" s="12">
        <f t="shared" si="25"/>
        <v>0</v>
      </c>
      <c r="D23" s="12">
        <f t="shared" si="26"/>
        <v>1198.51644454703</v>
      </c>
      <c r="E23" s="23">
        <f t="shared" si="18"/>
        <v>0.46278737751267157</v>
      </c>
      <c r="F23" s="23">
        <f t="shared" si="27"/>
        <v>135.92759186631184</v>
      </c>
      <c r="G23" s="95">
        <f t="shared" si="19"/>
        <v>0.2200044310398078</v>
      </c>
      <c r="H23" s="95">
        <f t="shared" si="20"/>
        <v>0.26363950682307619</v>
      </c>
      <c r="I23" s="95">
        <f t="shared" si="21"/>
        <v>2.8519672284381282E-3</v>
      </c>
      <c r="J23" s="12">
        <f t="shared" si="28"/>
        <v>0</v>
      </c>
      <c r="K23" s="12">
        <f t="shared" si="3"/>
        <v>1335.3933196959458</v>
      </c>
      <c r="L23" s="54">
        <f t="shared" si="4"/>
        <v>3.4655510903562338E-4</v>
      </c>
      <c r="M23" s="10">
        <f t="shared" si="5"/>
        <v>0.10178843181367797</v>
      </c>
      <c r="N23" s="10">
        <f t="shared" si="6"/>
        <v>1.6474878808731824E-4</v>
      </c>
      <c r="O23" s="10">
        <f t="shared" si="7"/>
        <v>1.9742461111240542E-4</v>
      </c>
      <c r="P23" s="10">
        <f t="shared" si="8"/>
        <v>2.1356758240242579E-6</v>
      </c>
      <c r="Q23" s="54">
        <f t="shared" si="9"/>
        <v>1.7299794883614016E-2</v>
      </c>
      <c r="R23" s="10">
        <f t="shared" si="10"/>
        <v>8.0903668050503639E-4</v>
      </c>
      <c r="S23" s="10">
        <f t="shared" si="11"/>
        <v>5.1539887650727369E-4</v>
      </c>
      <c r="T23" s="10">
        <f t="shared" si="12"/>
        <v>0.2973089524064314</v>
      </c>
      <c r="U23" s="10">
        <f t="shared" si="13"/>
        <v>0.68406678542011301</v>
      </c>
      <c r="V23" s="10">
        <f t="shared" si="14"/>
        <v>3.1326733689086453E-8</v>
      </c>
      <c r="W23" s="10">
        <f t="shared" si="15"/>
        <v>4.0609553831721453E-10</v>
      </c>
      <c r="X23" s="163">
        <f t="shared" si="22"/>
        <v>0.99999999999999989</v>
      </c>
      <c r="Y23" s="54">
        <f t="shared" si="16"/>
        <v>0.98985992366362785</v>
      </c>
      <c r="Z23" s="54">
        <f t="shared" si="17"/>
        <v>1.5764823815187609E-2</v>
      </c>
      <c r="AA23" s="113"/>
    </row>
    <row r="24" spans="1:27" x14ac:dyDescent="0.2">
      <c r="A24" s="20">
        <f t="shared" si="23"/>
        <v>0.19000000000000003</v>
      </c>
      <c r="B24" s="23">
        <f t="shared" si="24"/>
        <v>0.01</v>
      </c>
      <c r="C24" s="12">
        <f t="shared" si="25"/>
        <v>0</v>
      </c>
      <c r="D24" s="12">
        <f t="shared" si="26"/>
        <v>1198.51644454703</v>
      </c>
      <c r="E24" s="23">
        <f t="shared" si="18"/>
        <v>0.4528887782760353</v>
      </c>
      <c r="F24" s="23">
        <f t="shared" si="27"/>
        <v>135.92256374257445</v>
      </c>
      <c r="G24" s="95">
        <f t="shared" si="19"/>
        <v>0.22990303027644407</v>
      </c>
      <c r="H24" s="95">
        <f t="shared" si="20"/>
        <v>0.26348185858492429</v>
      </c>
      <c r="I24" s="95">
        <f t="shared" si="21"/>
        <v>3.0096154665900043E-3</v>
      </c>
      <c r="J24" s="12">
        <f t="shared" si="28"/>
        <v>0</v>
      </c>
      <c r="K24" s="12">
        <f t="shared" si="3"/>
        <v>1335.3882915722088</v>
      </c>
      <c r="L24" s="54">
        <f t="shared" si="4"/>
        <v>3.3914388881066968E-4</v>
      </c>
      <c r="M24" s="10">
        <f t="shared" si="5"/>
        <v>0.10178504978694032</v>
      </c>
      <c r="N24" s="10">
        <f t="shared" si="6"/>
        <v>1.7216193351955299E-4</v>
      </c>
      <c r="O24" s="10">
        <f t="shared" si="7"/>
        <v>1.9730730024202626E-4</v>
      </c>
      <c r="P24" s="10">
        <f t="shared" si="8"/>
        <v>2.2537380966899577E-6</v>
      </c>
      <c r="Q24" s="54">
        <f t="shared" si="9"/>
        <v>1.73004669947435E-2</v>
      </c>
      <c r="R24" s="10">
        <f t="shared" si="10"/>
        <v>7.9176586564005383E-4</v>
      </c>
      <c r="S24" s="10">
        <f t="shared" si="11"/>
        <v>5.1511263521787903E-4</v>
      </c>
      <c r="T24" s="10">
        <f t="shared" si="12"/>
        <v>0.29731062431791799</v>
      </c>
      <c r="U24" s="10">
        <f t="shared" si="13"/>
        <v>0.68408199702031514</v>
      </c>
      <c r="V24" s="10">
        <f t="shared" si="14"/>
        <v>3.2737603950578656E-8</v>
      </c>
      <c r="W24" s="10">
        <f t="shared" si="15"/>
        <v>4.2856155079942291E-10</v>
      </c>
      <c r="X24" s="163">
        <f t="shared" si="22"/>
        <v>1.0000000000000002</v>
      </c>
      <c r="Y24" s="54">
        <f t="shared" si="16"/>
        <v>0.96874565375051525</v>
      </c>
      <c r="Z24" s="54">
        <f t="shared" si="17"/>
        <v>1.575633943426144E-2</v>
      </c>
      <c r="AA24" s="113"/>
    </row>
    <row r="25" spans="1:27" x14ac:dyDescent="0.2">
      <c r="A25" s="20">
        <f t="shared" si="23"/>
        <v>0.20000000000000004</v>
      </c>
      <c r="B25" s="23">
        <f t="shared" si="24"/>
        <v>0.01</v>
      </c>
      <c r="C25" s="12">
        <f t="shared" si="25"/>
        <v>0</v>
      </c>
      <c r="D25" s="12">
        <f t="shared" si="26"/>
        <v>1198.51644454703</v>
      </c>
      <c r="E25" s="23">
        <f t="shared" si="18"/>
        <v>0.44320132173853016</v>
      </c>
      <c r="F25" s="23">
        <f t="shared" si="27"/>
        <v>135.91764123260853</v>
      </c>
      <c r="G25" s="95">
        <f t="shared" si="19"/>
        <v>0.23959048681394923</v>
      </c>
      <c r="H25" s="95">
        <f t="shared" si="20"/>
        <v>0.26332429519058165</v>
      </c>
      <c r="I25" s="95">
        <f t="shared" si="21"/>
        <v>3.1671788609326187E-3</v>
      </c>
      <c r="J25" s="12">
        <f t="shared" si="28"/>
        <v>0</v>
      </c>
      <c r="K25" s="12">
        <f t="shared" si="3"/>
        <v>1335.3833690622425</v>
      </c>
      <c r="L25" s="54">
        <f t="shared" si="4"/>
        <v>3.3189070045837332E-4</v>
      </c>
      <c r="M25" s="10">
        <f t="shared" si="5"/>
        <v>0.10178173877367899</v>
      </c>
      <c r="N25" s="10">
        <f t="shared" si="6"/>
        <v>1.7941700665494948E-4</v>
      </c>
      <c r="O25" s="10">
        <f t="shared" si="7"/>
        <v>1.9719003642788968E-4</v>
      </c>
      <c r="P25" s="10">
        <f t="shared" si="8"/>
        <v>2.3717375356836543E-6</v>
      </c>
      <c r="Q25" s="54">
        <f t="shared" si="9"/>
        <v>1.7301125058644624E-2</v>
      </c>
      <c r="R25" s="10">
        <f t="shared" si="10"/>
        <v>7.748620330800943E-4</v>
      </c>
      <c r="S25" s="10">
        <f t="shared" si="11"/>
        <v>5.1482607498668637E-4</v>
      </c>
      <c r="T25" s="10">
        <f t="shared" si="12"/>
        <v>0.29731226150234252</v>
      </c>
      <c r="U25" s="10">
        <f t="shared" si="13"/>
        <v>0.68409689076143276</v>
      </c>
      <c r="V25" s="10">
        <f t="shared" si="14"/>
        <v>3.411849649404419E-8</v>
      </c>
      <c r="W25" s="10">
        <f t="shared" si="15"/>
        <v>4.5101699278507875E-10</v>
      </c>
      <c r="X25" s="163">
        <f t="shared" si="22"/>
        <v>1.0000000000000002</v>
      </c>
      <c r="Y25" s="54">
        <f t="shared" si="16"/>
        <v>0.94807933644937714</v>
      </c>
      <c r="Z25" s="54">
        <f t="shared" si="17"/>
        <v>1.5747839338426783E-2</v>
      </c>
      <c r="AA25" s="113"/>
    </row>
    <row r="26" spans="1:27" x14ac:dyDescent="0.2">
      <c r="A26" s="20">
        <f t="shared" si="23"/>
        <v>0.21000000000000005</v>
      </c>
      <c r="B26" s="23">
        <f t="shared" si="24"/>
        <v>0.01</v>
      </c>
      <c r="C26" s="12">
        <f t="shared" si="25"/>
        <v>0</v>
      </c>
      <c r="D26" s="12">
        <f t="shared" si="26"/>
        <v>1198.51644454703</v>
      </c>
      <c r="E26" s="23">
        <f t="shared" si="18"/>
        <v>0.43372052837403641</v>
      </c>
      <c r="F26" s="23">
        <f t="shared" si="27"/>
        <v>135.9128220967296</v>
      </c>
      <c r="G26" s="95">
        <f t="shared" si="19"/>
        <v>0.24907128017844302</v>
      </c>
      <c r="H26" s="95">
        <f t="shared" si="20"/>
        <v>0.26316681679719739</v>
      </c>
      <c r="I26" s="95">
        <f t="shared" si="21"/>
        <v>3.3246572543168865E-3</v>
      </c>
      <c r="J26" s="12">
        <f t="shared" si="28"/>
        <v>0</v>
      </c>
      <c r="K26" s="12">
        <f t="shared" si="3"/>
        <v>1335.3785499263636</v>
      </c>
      <c r="L26" s="54">
        <f t="shared" si="4"/>
        <v>3.2479219349296342E-4</v>
      </c>
      <c r="M26" s="10">
        <f t="shared" si="5"/>
        <v>0.10177849726897606</v>
      </c>
      <c r="N26" s="10">
        <f t="shared" si="6"/>
        <v>1.8651735883594767E-4</v>
      </c>
      <c r="O26" s="10">
        <f t="shared" si="7"/>
        <v>1.9707282014654881E-4</v>
      </c>
      <c r="P26" s="10">
        <f t="shared" si="8"/>
        <v>2.4896739988074672E-6</v>
      </c>
      <c r="Q26" s="54">
        <f t="shared" si="9"/>
        <v>1.73017693707854E-2</v>
      </c>
      <c r="R26" s="10">
        <f t="shared" si="10"/>
        <v>7.5831745648503445E-4</v>
      </c>
      <c r="S26" s="10">
        <f t="shared" si="11"/>
        <v>5.1453920660462875E-4</v>
      </c>
      <c r="T26" s="10">
        <f t="shared" si="12"/>
        <v>0.2973138646881156</v>
      </c>
      <c r="U26" s="10">
        <f t="shared" si="13"/>
        <v>0.68411147333450506</v>
      </c>
      <c r="V26" s="10">
        <f t="shared" si="14"/>
        <v>3.5470042460114133E-8</v>
      </c>
      <c r="W26" s="10">
        <f t="shared" si="15"/>
        <v>4.7346178929766808E-10</v>
      </c>
      <c r="X26" s="163">
        <f t="shared" si="22"/>
        <v>1</v>
      </c>
      <c r="Y26" s="54">
        <f t="shared" si="16"/>
        <v>0.92785157005945407</v>
      </c>
      <c r="Z26" s="54">
        <f t="shared" si="17"/>
        <v>1.5739323985710992E-2</v>
      </c>
      <c r="AA26" s="113"/>
    </row>
    <row r="27" spans="1:27" x14ac:dyDescent="0.2">
      <c r="A27" s="20">
        <f t="shared" si="23"/>
        <v>0.22000000000000006</v>
      </c>
      <c r="B27" s="23">
        <f t="shared" si="24"/>
        <v>0.01</v>
      </c>
      <c r="C27" s="12">
        <f t="shared" si="25"/>
        <v>0</v>
      </c>
      <c r="D27" s="12">
        <f t="shared" si="26"/>
        <v>1198.51644454703</v>
      </c>
      <c r="E27" s="23">
        <f t="shared" si="18"/>
        <v>0.42444201267344189</v>
      </c>
      <c r="F27" s="23">
        <f t="shared" si="27"/>
        <v>135.90810414225936</v>
      </c>
      <c r="G27" s="95">
        <f t="shared" si="19"/>
        <v>0.25834979587903756</v>
      </c>
      <c r="H27" s="95">
        <f t="shared" si="20"/>
        <v>0.2630094235573403</v>
      </c>
      <c r="I27" s="95">
        <f t="shared" si="21"/>
        <v>3.4820504941739964E-3</v>
      </c>
      <c r="J27" s="12">
        <f t="shared" si="28"/>
        <v>0</v>
      </c>
      <c r="K27" s="12">
        <f t="shared" si="3"/>
        <v>1335.3738319718932</v>
      </c>
      <c r="L27" s="54">
        <f t="shared" si="4"/>
        <v>3.1784508765360885E-4</v>
      </c>
      <c r="M27" s="10">
        <f t="shared" si="5"/>
        <v>0.10177532379945568</v>
      </c>
      <c r="N27" s="10">
        <f t="shared" si="6"/>
        <v>1.9346627116209304E-4</v>
      </c>
      <c r="O27" s="10">
        <f t="shared" si="7"/>
        <v>1.969556518633923E-4</v>
      </c>
      <c r="P27" s="10">
        <f t="shared" si="8"/>
        <v>2.6075473480202854E-6</v>
      </c>
      <c r="Q27" s="54">
        <f t="shared" si="9"/>
        <v>1.7302400220534069E-2</v>
      </c>
      <c r="R27" s="10">
        <f t="shared" si="10"/>
        <v>7.4212456917401807E-4</v>
      </c>
      <c r="S27" s="10">
        <f t="shared" si="11"/>
        <v>5.1425204063088102E-4</v>
      </c>
      <c r="T27" s="10">
        <f t="shared" si="12"/>
        <v>0.29731543458869231</v>
      </c>
      <c r="U27" s="10">
        <f t="shared" si="13"/>
        <v>0.68412575129221287</v>
      </c>
      <c r="V27" s="10">
        <f t="shared" si="14"/>
        <v>3.6792859947385092E-8</v>
      </c>
      <c r="W27" s="10">
        <f t="shared" si="15"/>
        <v>4.9589586756186831E-10</v>
      </c>
      <c r="X27" s="163">
        <f t="shared" si="22"/>
        <v>1</v>
      </c>
      <c r="Y27" s="54">
        <f t="shared" si="16"/>
        <v>0.90805314591832398</v>
      </c>
      <c r="Z27" s="54">
        <f t="shared" si="17"/>
        <v>1.5730793824371335E-2</v>
      </c>
      <c r="AA27" s="113"/>
    </row>
    <row r="28" spans="1:27" x14ac:dyDescent="0.2">
      <c r="A28" s="20">
        <f t="shared" si="23"/>
        <v>0.23000000000000007</v>
      </c>
      <c r="B28" s="23">
        <f t="shared" si="24"/>
        <v>0.01</v>
      </c>
      <c r="C28" s="12">
        <f t="shared" si="25"/>
        <v>0</v>
      </c>
      <c r="D28" s="12">
        <f t="shared" si="26"/>
        <v>1198.51644454703</v>
      </c>
      <c r="E28" s="23">
        <f t="shared" si="18"/>
        <v>0.41536148121425864</v>
      </c>
      <c r="F28" s="23">
        <f t="shared" si="27"/>
        <v>135.90348522256065</v>
      </c>
      <c r="G28" s="95">
        <f t="shared" si="19"/>
        <v>0.26743032733822081</v>
      </c>
      <c r="H28" s="95">
        <f t="shared" si="20"/>
        <v>0.2628521156190966</v>
      </c>
      <c r="I28" s="95">
        <f t="shared" si="21"/>
        <v>3.6393584324177098E-3</v>
      </c>
      <c r="J28" s="12">
        <f t="shared" si="28"/>
        <v>0</v>
      </c>
      <c r="K28" s="12">
        <f t="shared" si="3"/>
        <v>1335.3692130521945</v>
      </c>
      <c r="L28" s="54">
        <f t="shared" si="4"/>
        <v>3.1104617146660528E-4</v>
      </c>
      <c r="M28" s="10">
        <f t="shared" si="5"/>
        <v>0.10177221692263823</v>
      </c>
      <c r="N28" s="10">
        <f t="shared" si="6"/>
        <v>2.0026695592821638E-4</v>
      </c>
      <c r="O28" s="10">
        <f t="shared" si="7"/>
        <v>1.9683853203288036E-4</v>
      </c>
      <c r="P28" s="10">
        <f t="shared" si="8"/>
        <v>2.7253574493449558E-6</v>
      </c>
      <c r="Q28" s="54">
        <f t="shared" si="9"/>
        <v>1.7303017891280047E-2</v>
      </c>
      <c r="R28" s="10">
        <f t="shared" si="10"/>
        <v>7.2627596095308096E-4</v>
      </c>
      <c r="S28" s="10">
        <f t="shared" si="11"/>
        <v>5.1396458739761341E-4</v>
      </c>
      <c r="T28" s="10">
        <f t="shared" si="12"/>
        <v>0.29731697190286438</v>
      </c>
      <c r="U28" s="10">
        <f t="shared" si="13"/>
        <v>0.68413973105163151</v>
      </c>
      <c r="V28" s="10">
        <f t="shared" si="14"/>
        <v>3.8087554271558432E-8</v>
      </c>
      <c r="W28" s="10">
        <f t="shared" si="15"/>
        <v>5.1831915694833303E-10</v>
      </c>
      <c r="X28" s="163">
        <f t="shared" si="22"/>
        <v>1</v>
      </c>
      <c r="Y28" s="54">
        <f t="shared" si="16"/>
        <v>0.88867504461927682</v>
      </c>
      <c r="Z28" s="54">
        <f t="shared" si="17"/>
        <v>1.5722249293093682E-2</v>
      </c>
      <c r="AA28" s="113"/>
    </row>
    <row r="29" spans="1:27" x14ac:dyDescent="0.2">
      <c r="A29" s="20">
        <f t="shared" si="23"/>
        <v>0.24000000000000007</v>
      </c>
      <c r="B29" s="23">
        <f t="shared" si="24"/>
        <v>0.01</v>
      </c>
      <c r="C29" s="12">
        <f t="shared" si="25"/>
        <v>0</v>
      </c>
      <c r="D29" s="12">
        <f t="shared" si="26"/>
        <v>1198.51644454703</v>
      </c>
      <c r="E29" s="23">
        <f t="shared" si="18"/>
        <v>0.40647473076806589</v>
      </c>
      <c r="F29" s="23">
        <f t="shared" si="27"/>
        <v>135.89896323609108</v>
      </c>
      <c r="G29" s="95">
        <f t="shared" si="19"/>
        <v>0.27631707778441356</v>
      </c>
      <c r="H29" s="95">
        <f t="shared" si="20"/>
        <v>0.26269489312616567</v>
      </c>
      <c r="I29" s="95">
        <f t="shared" si="21"/>
        <v>3.7965809253486466E-3</v>
      </c>
      <c r="J29" s="12">
        <f t="shared" si="28"/>
        <v>0</v>
      </c>
      <c r="K29" s="12">
        <f t="shared" si="3"/>
        <v>1335.3646910657249</v>
      </c>
      <c r="L29" s="54">
        <f t="shared" si="4"/>
        <v>3.0439230083556236E-4</v>
      </c>
      <c r="M29" s="10">
        <f t="shared" si="5"/>
        <v>0.101769175226307</v>
      </c>
      <c r="N29" s="10">
        <f t="shared" si="6"/>
        <v>2.0692255803460779E-4</v>
      </c>
      <c r="O29" s="10">
        <f t="shared" si="7"/>
        <v>1.967214610987765E-4</v>
      </c>
      <c r="P29" s="10">
        <f t="shared" si="8"/>
        <v>2.8431041727774604E-6</v>
      </c>
      <c r="Q29" s="54">
        <f t="shared" si="9"/>
        <v>1.7303622660552697E-2</v>
      </c>
      <c r="R29" s="10">
        <f t="shared" si="10"/>
        <v>7.107643750004206E-4</v>
      </c>
      <c r="S29" s="10">
        <f t="shared" si="11"/>
        <v>5.1367685701465804E-4</v>
      </c>
      <c r="T29" s="10">
        <f t="shared" si="12"/>
        <v>0.29731847731504873</v>
      </c>
      <c r="U29" s="10">
        <f t="shared" si="13"/>
        <v>0.68415341889693349</v>
      </c>
      <c r="V29" s="10">
        <f t="shared" si="14"/>
        <v>3.9354718219871085E-8</v>
      </c>
      <c r="W29" s="10">
        <f t="shared" si="15"/>
        <v>5.4073158891976913E-10</v>
      </c>
      <c r="X29" s="163">
        <f t="shared" si="22"/>
        <v>0.99999999999999978</v>
      </c>
      <c r="Y29" s="54">
        <f t="shared" si="16"/>
        <v>0.86970843229510331</v>
      </c>
      <c r="Z29" s="54">
        <f t="shared" si="17"/>
        <v>1.5713690821187551E-2</v>
      </c>
      <c r="AA29" s="113"/>
    </row>
    <row r="30" spans="1:27" x14ac:dyDescent="0.2">
      <c r="A30" s="20">
        <f t="shared" si="23"/>
        <v>0.25000000000000006</v>
      </c>
      <c r="B30" s="23">
        <f t="shared" si="24"/>
        <v>0.01</v>
      </c>
      <c r="C30" s="12">
        <f t="shared" si="25"/>
        <v>0</v>
      </c>
      <c r="D30" s="12">
        <f t="shared" si="26"/>
        <v>1198.51644454703</v>
      </c>
      <c r="E30" s="23">
        <f t="shared" si="18"/>
        <v>0.39777764644511487</v>
      </c>
      <c r="F30" s="23">
        <f t="shared" si="27"/>
        <v>135.8945361254755</v>
      </c>
      <c r="G30" s="95">
        <f t="shared" si="19"/>
        <v>0.28501416210736458</v>
      </c>
      <c r="H30" s="95">
        <f t="shared" si="20"/>
        <v>0.26253775621795378</v>
      </c>
      <c r="I30" s="95">
        <f t="shared" si="21"/>
        <v>3.9537178335605225E-3</v>
      </c>
      <c r="J30" s="12">
        <f t="shared" si="28"/>
        <v>0</v>
      </c>
      <c r="K30" s="12">
        <f t="shared" si="3"/>
        <v>1335.3602639551095</v>
      </c>
      <c r="L30" s="54">
        <f t="shared" si="4"/>
        <v>2.9788039765910458E-4</v>
      </c>
      <c r="M30" s="10">
        <f t="shared" si="5"/>
        <v>0.10176619732788741</v>
      </c>
      <c r="N30" s="10">
        <f t="shared" si="6"/>
        <v>2.1343615636966852E-4</v>
      </c>
      <c r="O30" s="10">
        <f t="shared" si="7"/>
        <v>1.9660443949437412E-4</v>
      </c>
      <c r="P30" s="10">
        <f t="shared" si="8"/>
        <v>2.9607873921980305E-6</v>
      </c>
      <c r="Q30" s="54">
        <f t="shared" si="9"/>
        <v>1.7304214800137982E-2</v>
      </c>
      <c r="R30" s="10">
        <f t="shared" si="10"/>
        <v>6.9558270480849242E-4</v>
      </c>
      <c r="S30" s="10">
        <f t="shared" si="11"/>
        <v>5.1338885937408495E-4</v>
      </c>
      <c r="T30" s="10">
        <f t="shared" si="12"/>
        <v>0.29731995149557044</v>
      </c>
      <c r="U30" s="10">
        <f t="shared" si="13"/>
        <v>0.68416682098204362</v>
      </c>
      <c r="V30" s="10">
        <f t="shared" si="14"/>
        <v>4.0594932300884392E-8</v>
      </c>
      <c r="W30" s="10">
        <f t="shared" si="15"/>
        <v>5.6313309697827629E-10</v>
      </c>
      <c r="X30" s="163">
        <f t="shared" si="22"/>
        <v>1</v>
      </c>
      <c r="Y30" s="54">
        <f t="shared" si="16"/>
        <v>0.85114465696746222</v>
      </c>
      <c r="Z30" s="54">
        <f t="shared" si="17"/>
        <v>1.5705118828777544E-2</v>
      </c>
      <c r="AA30" s="113"/>
    </row>
    <row r="31" spans="1:27" x14ac:dyDescent="0.2">
      <c r="A31" s="20">
        <f t="shared" si="23"/>
        <v>0.26000000000000006</v>
      </c>
      <c r="B31" s="23">
        <f t="shared" si="24"/>
        <v>0.01</v>
      </c>
      <c r="C31" s="12">
        <f t="shared" si="25"/>
        <v>0</v>
      </c>
      <c r="D31" s="12">
        <f t="shared" si="26"/>
        <v>1198.51644454703</v>
      </c>
      <c r="E31" s="23">
        <f t="shared" si="18"/>
        <v>0.38926619987544026</v>
      </c>
      <c r="F31" s="23">
        <f t="shared" si="27"/>
        <v>135.89020187659651</v>
      </c>
      <c r="G31" s="95">
        <f t="shared" si="19"/>
        <v>0.2935256086770392</v>
      </c>
      <c r="H31" s="95">
        <f t="shared" si="20"/>
        <v>0.26238070502966598</v>
      </c>
      <c r="I31" s="95">
        <f t="shared" si="21"/>
        <v>4.1107690218482977E-3</v>
      </c>
      <c r="J31" s="12">
        <f t="shared" si="28"/>
        <v>0</v>
      </c>
      <c r="K31" s="12">
        <f t="shared" si="3"/>
        <v>1335.3559297062304</v>
      </c>
      <c r="L31" s="54">
        <f t="shared" si="4"/>
        <v>2.9150744847561075E-4</v>
      </c>
      <c r="M31" s="10">
        <f t="shared" si="5"/>
        <v>0.10176328187383828</v>
      </c>
      <c r="N31" s="10">
        <f t="shared" si="6"/>
        <v>2.1981076516551875E-4</v>
      </c>
      <c r="O31" s="10">
        <f t="shared" si="7"/>
        <v>1.9648746764271905E-4</v>
      </c>
      <c r="P31" s="10">
        <f t="shared" si="8"/>
        <v>3.0784069852841705E-6</v>
      </c>
      <c r="Q31" s="54">
        <f t="shared" si="9"/>
        <v>1.730479457619289E-2</v>
      </c>
      <c r="R31" s="10">
        <f t="shared" si="10"/>
        <v>6.80723991182122E-4</v>
      </c>
      <c r="S31" s="10">
        <f t="shared" si="11"/>
        <v>5.1310060415469172E-4</v>
      </c>
      <c r="T31" s="10">
        <f t="shared" si="12"/>
        <v>0.29732139510093986</v>
      </c>
      <c r="U31" s="10">
        <f t="shared" si="13"/>
        <v>0.68417994333324195</v>
      </c>
      <c r="V31" s="10">
        <f t="shared" si="14"/>
        <v>4.1808764989697084E-8</v>
      </c>
      <c r="W31" s="10">
        <f t="shared" si="15"/>
        <v>5.8552361661392081E-10</v>
      </c>
      <c r="X31" s="163">
        <f t="shared" si="22"/>
        <v>1</v>
      </c>
      <c r="Y31" s="54">
        <f t="shared" si="16"/>
        <v>0.83297524496099529</v>
      </c>
      <c r="Z31" s="54">
        <f t="shared" si="17"/>
        <v>1.5696533726991143E-2</v>
      </c>
      <c r="AA31" s="113"/>
    </row>
    <row r="32" spans="1:27" x14ac:dyDescent="0.2">
      <c r="A32" s="20">
        <f t="shared" si="23"/>
        <v>0.27000000000000007</v>
      </c>
      <c r="B32" s="23">
        <f t="shared" si="24"/>
        <v>0.01</v>
      </c>
      <c r="C32" s="12">
        <f t="shared" si="25"/>
        <v>0</v>
      </c>
      <c r="D32" s="12">
        <f t="shared" si="26"/>
        <v>1198.51644454703</v>
      </c>
      <c r="E32" s="23">
        <f t="shared" si="18"/>
        <v>0.38093644742583033</v>
      </c>
      <c r="F32" s="23">
        <f t="shared" si="27"/>
        <v>135.88595851770307</v>
      </c>
      <c r="G32" s="95">
        <f t="shared" si="19"/>
        <v>0.30185536112664912</v>
      </c>
      <c r="H32" s="95">
        <f t="shared" si="20"/>
        <v>0.2622237396923961</v>
      </c>
      <c r="I32" s="95">
        <f t="shared" si="21"/>
        <v>4.2677343591182087E-3</v>
      </c>
      <c r="J32" s="12">
        <f t="shared" si="28"/>
        <v>0</v>
      </c>
      <c r="K32" s="12">
        <f t="shared" si="3"/>
        <v>1335.3516863473371</v>
      </c>
      <c r="L32" s="54">
        <f t="shared" si="4"/>
        <v>2.8527050313451681E-4</v>
      </c>
      <c r="M32" s="10">
        <f t="shared" si="5"/>
        <v>0.10176042753905498</v>
      </c>
      <c r="N32" s="10">
        <f t="shared" si="6"/>
        <v>2.2604933532703369E-4</v>
      </c>
      <c r="O32" s="10">
        <f t="shared" si="7"/>
        <v>1.9637054595682691E-4</v>
      </c>
      <c r="P32" s="10">
        <f t="shared" si="8"/>
        <v>3.1959628334255402E-6</v>
      </c>
      <c r="Q32" s="54">
        <f t="shared" si="9"/>
        <v>1.7305362249357869E-2</v>
      </c>
      <c r="R32" s="10">
        <f t="shared" si="10"/>
        <v>6.6618141929182279E-4</v>
      </c>
      <c r="S32" s="10">
        <f t="shared" si="11"/>
        <v>5.1281210082640611E-4</v>
      </c>
      <c r="T32" s="10">
        <f t="shared" si="12"/>
        <v>0.29732280877412604</v>
      </c>
      <c r="U32" s="10">
        <f t="shared" si="13"/>
        <v>0.68419279185172177</v>
      </c>
      <c r="V32" s="10">
        <f t="shared" si="14"/>
        <v>4.299677296864887E-8</v>
      </c>
      <c r="W32" s="10">
        <f t="shared" si="15"/>
        <v>6.0790308525452165E-10</v>
      </c>
      <c r="X32" s="163">
        <f t="shared" si="22"/>
        <v>0.99999999999999989</v>
      </c>
      <c r="Y32" s="54">
        <f t="shared" si="16"/>
        <v>0.81519189738135289</v>
      </c>
      <c r="Z32" s="54">
        <f t="shared" si="17"/>
        <v>1.5687935918142989E-2</v>
      </c>
      <c r="AA32" s="113"/>
    </row>
    <row r="33" spans="1:27" x14ac:dyDescent="0.2">
      <c r="A33" s="20">
        <f t="shared" si="23"/>
        <v>0.28000000000000008</v>
      </c>
      <c r="B33" s="23">
        <f t="shared" si="24"/>
        <v>0.01</v>
      </c>
      <c r="C33" s="12">
        <f t="shared" si="25"/>
        <v>0</v>
      </c>
      <c r="D33" s="12">
        <f t="shared" si="26"/>
        <v>1198.51644454703</v>
      </c>
      <c r="E33" s="23">
        <f t="shared" si="18"/>
        <v>0.37278452845201682</v>
      </c>
      <c r="F33" s="23">
        <f t="shared" si="27"/>
        <v>135.88180411853656</v>
      </c>
      <c r="G33" s="95">
        <f t="shared" si="19"/>
        <v>0.31000728010046263</v>
      </c>
      <c r="H33" s="95">
        <f t="shared" si="20"/>
        <v>0.26206686033321469</v>
      </c>
      <c r="I33" s="95">
        <f t="shared" si="21"/>
        <v>4.4246137182996385E-3</v>
      </c>
      <c r="J33" s="12">
        <f t="shared" si="28"/>
        <v>0</v>
      </c>
      <c r="K33" s="12">
        <f t="shared" si="3"/>
        <v>1335.3475319481706</v>
      </c>
      <c r="L33" s="54">
        <f t="shared" si="4"/>
        <v>2.7916667349371779E-4</v>
      </c>
      <c r="M33" s="10">
        <f t="shared" si="5"/>
        <v>0.10175763302628442</v>
      </c>
      <c r="N33" s="10">
        <f t="shared" si="6"/>
        <v>2.3215475573477531E-4</v>
      </c>
      <c r="O33" s="10">
        <f t="shared" si="7"/>
        <v>1.9625367483989658E-4</v>
      </c>
      <c r="P33" s="10">
        <f t="shared" si="8"/>
        <v>3.3134548216406729E-6</v>
      </c>
      <c r="Q33" s="54">
        <f t="shared" si="9"/>
        <v>1.7305918074867144E-2</v>
      </c>
      <c r="R33" s="10">
        <f t="shared" si="10"/>
        <v>6.5194831578151244E-4</v>
      </c>
      <c r="S33" s="10">
        <f t="shared" si="11"/>
        <v>5.1252335865460588E-4</v>
      </c>
      <c r="T33" s="10">
        <f t="shared" si="12"/>
        <v>0.297324193144825</v>
      </c>
      <c r="U33" s="10">
        <f t="shared" si="13"/>
        <v>0.68420537231609901</v>
      </c>
      <c r="V33" s="10">
        <f t="shared" si="14"/>
        <v>4.4159501363580683E-8</v>
      </c>
      <c r="W33" s="10">
        <f t="shared" si="15"/>
        <v>6.3027144221662136E-10</v>
      </c>
      <c r="X33" s="163">
        <f t="shared" si="22"/>
        <v>1</v>
      </c>
      <c r="Y33" s="54">
        <f t="shared" si="16"/>
        <v>0.79778648665628882</v>
      </c>
      <c r="Z33" s="54">
        <f t="shared" si="17"/>
        <v>1.5679325795915754E-2</v>
      </c>
      <c r="AA33" s="113"/>
    </row>
    <row r="34" spans="1:27" x14ac:dyDescent="0.2">
      <c r="A34" s="20">
        <f t="shared" si="23"/>
        <v>0.29000000000000009</v>
      </c>
      <c r="B34" s="23">
        <f t="shared" si="24"/>
        <v>0.01</v>
      </c>
      <c r="C34" s="12">
        <f t="shared" si="25"/>
        <v>0</v>
      </c>
      <c r="D34" s="12">
        <f t="shared" si="26"/>
        <v>1198.51644454703</v>
      </c>
      <c r="E34" s="23">
        <f t="shared" si="18"/>
        <v>0.36480666358545394</v>
      </c>
      <c r="F34" s="23">
        <f t="shared" si="27"/>
        <v>135.87773678947431</v>
      </c>
      <c r="G34" s="95">
        <f t="shared" si="19"/>
        <v>0.31798514496702551</v>
      </c>
      <c r="H34" s="95">
        <f t="shared" si="20"/>
        <v>0.26191006707525555</v>
      </c>
      <c r="I34" s="95">
        <f t="shared" si="21"/>
        <v>4.5814069762587957E-3</v>
      </c>
      <c r="J34" s="12">
        <f t="shared" si="28"/>
        <v>0</v>
      </c>
      <c r="K34" s="12">
        <f t="shared" si="3"/>
        <v>1335.3434646191081</v>
      </c>
      <c r="L34" s="54">
        <f t="shared" si="4"/>
        <v>2.7319313214260645E-4</v>
      </c>
      <c r="M34" s="10">
        <f t="shared" si="5"/>
        <v>0.10175489706555155</v>
      </c>
      <c r="N34" s="10">
        <f t="shared" si="6"/>
        <v>2.3812985452227996E-4</v>
      </c>
      <c r="O34" s="10">
        <f t="shared" si="7"/>
        <v>1.9613685468551905E-4</v>
      </c>
      <c r="P34" s="10">
        <f t="shared" si="8"/>
        <v>3.4308828384954811E-6</v>
      </c>
      <c r="Q34" s="54">
        <f t="shared" si="9"/>
        <v>1.7306462302656984E-2</v>
      </c>
      <c r="R34" s="10">
        <f t="shared" si="10"/>
        <v>6.3801814592981431E-4</v>
      </c>
      <c r="S34" s="10">
        <f t="shared" si="11"/>
        <v>5.1223438670435298E-4</v>
      </c>
      <c r="T34" s="10">
        <f t="shared" si="12"/>
        <v>0.29732554882972206</v>
      </c>
      <c r="U34" s="10">
        <f t="shared" si="13"/>
        <v>0.68421769038487434</v>
      </c>
      <c r="V34" s="10">
        <f t="shared" si="14"/>
        <v>4.5297483975717399E-8</v>
      </c>
      <c r="W34" s="10">
        <f t="shared" si="15"/>
        <v>6.5262862865761485E-10</v>
      </c>
      <c r="X34" s="163">
        <f t="shared" si="22"/>
        <v>1.0000000000000002</v>
      </c>
      <c r="Y34" s="54">
        <f t="shared" si="16"/>
        <v>0.78075105313897553</v>
      </c>
      <c r="Z34" s="54">
        <f t="shared" si="17"/>
        <v>1.5670703745537487E-2</v>
      </c>
      <c r="AA34" s="113"/>
    </row>
    <row r="35" spans="1:27" x14ac:dyDescent="0.2">
      <c r="A35" s="20">
        <f t="shared" si="23"/>
        <v>0.3000000000000001</v>
      </c>
      <c r="B35" s="23">
        <f t="shared" si="24"/>
        <v>0.01</v>
      </c>
      <c r="C35" s="12">
        <f t="shared" si="25"/>
        <v>0</v>
      </c>
      <c r="D35" s="12">
        <f t="shared" si="26"/>
        <v>1198.51644454703</v>
      </c>
      <c r="E35" s="23">
        <f t="shared" si="18"/>
        <v>0.35699915305406416</v>
      </c>
      <c r="F35" s="23">
        <f t="shared" si="27"/>
        <v>135.8737546806899</v>
      </c>
      <c r="G35" s="95">
        <f t="shared" si="19"/>
        <v>0.3257926554984153</v>
      </c>
      <c r="H35" s="95">
        <f t="shared" si="20"/>
        <v>0.2617533600378002</v>
      </c>
      <c r="I35" s="95">
        <f t="shared" si="21"/>
        <v>4.7381140137141703E-3</v>
      </c>
      <c r="J35" s="12">
        <f t="shared" si="28"/>
        <v>0</v>
      </c>
      <c r="K35" s="12">
        <f t="shared" si="3"/>
        <v>1335.3394825103239</v>
      </c>
      <c r="L35" s="54">
        <f t="shared" si="4"/>
        <v>2.673471111502944E-4</v>
      </c>
      <c r="M35" s="10">
        <f t="shared" si="5"/>
        <v>0.10175221841359687</v>
      </c>
      <c r="N35" s="10">
        <f t="shared" si="6"/>
        <v>2.43977400328157E-4</v>
      </c>
      <c r="O35" s="10">
        <f t="shared" si="7"/>
        <v>1.9602008587788199E-4</v>
      </c>
      <c r="P35" s="10">
        <f t="shared" si="8"/>
        <v>3.5482467760235183E-6</v>
      </c>
      <c r="Q35" s="54">
        <f t="shared" si="9"/>
        <v>1.7306995177472025E-2</v>
      </c>
      <c r="R35" s="10">
        <f t="shared" si="10"/>
        <v>6.2438451086414771E-4</v>
      </c>
      <c r="S35" s="10">
        <f t="shared" si="11"/>
        <v>5.1194519384454857E-4</v>
      </c>
      <c r="T35" s="10">
        <f t="shared" si="12"/>
        <v>0.29732687643275091</v>
      </c>
      <c r="U35" s="10">
        <f t="shared" si="13"/>
        <v>0.68422975159885024</v>
      </c>
      <c r="V35" s="10">
        <f t="shared" si="14"/>
        <v>4.6411243509238775E-8</v>
      </c>
      <c r="W35" s="10">
        <f t="shared" si="15"/>
        <v>6.749745875290141E-10</v>
      </c>
      <c r="X35" s="163">
        <f t="shared" si="22"/>
        <v>1</v>
      </c>
      <c r="Y35" s="54">
        <f t="shared" si="16"/>
        <v>0.76407780177269768</v>
      </c>
      <c r="Z35" s="54">
        <f t="shared" si="17"/>
        <v>1.5662070143955667E-2</v>
      </c>
      <c r="AA35" s="113"/>
    </row>
    <row r="36" spans="1:27" x14ac:dyDescent="0.2">
      <c r="A36" s="20">
        <f t="shared" si="23"/>
        <v>0.31000000000000011</v>
      </c>
      <c r="B36" s="23">
        <f t="shared" si="24"/>
        <v>0.01</v>
      </c>
      <c r="C36" s="12">
        <f t="shared" si="25"/>
        <v>0</v>
      </c>
      <c r="D36" s="12">
        <f t="shared" si="26"/>
        <v>1198.51644454703</v>
      </c>
      <c r="E36" s="23">
        <f t="shared" si="18"/>
        <v>0.34935837503633715</v>
      </c>
      <c r="F36" s="23">
        <f t="shared" si="27"/>
        <v>135.86985598133032</v>
      </c>
      <c r="G36" s="95">
        <f t="shared" si="19"/>
        <v>0.3334334335161423</v>
      </c>
      <c r="H36" s="95">
        <f t="shared" si="20"/>
        <v>0.26159673933636063</v>
      </c>
      <c r="I36" s="95">
        <f t="shared" si="21"/>
        <v>4.8947347151537266E-3</v>
      </c>
      <c r="J36" s="12">
        <f t="shared" si="28"/>
        <v>0</v>
      </c>
      <c r="K36" s="12">
        <f t="shared" si="3"/>
        <v>1335.3355838109644</v>
      </c>
      <c r="L36" s="54">
        <f t="shared" si="4"/>
        <v>2.6162590083856686E-4</v>
      </c>
      <c r="M36" s="10">
        <f t="shared" si="5"/>
        <v>0.10174959585332567</v>
      </c>
      <c r="N36" s="10">
        <f t="shared" si="6"/>
        <v>2.4970010352344844E-4</v>
      </c>
      <c r="O36" s="10">
        <f t="shared" si="7"/>
        <v>1.9590336879197052E-4</v>
      </c>
      <c r="P36" s="10">
        <f t="shared" si="8"/>
        <v>3.66554652964797E-6</v>
      </c>
      <c r="Q36" s="54">
        <f t="shared" si="9"/>
        <v>1.730751693896955E-2</v>
      </c>
      <c r="R36" s="10">
        <f t="shared" si="10"/>
        <v>6.1104114482680213E-4</v>
      </c>
      <c r="S36" s="10">
        <f t="shared" si="11"/>
        <v>5.1165578875200649E-4</v>
      </c>
      <c r="T36" s="10">
        <f t="shared" si="12"/>
        <v>0.2973281765453476</v>
      </c>
      <c r="U36" s="10">
        <f t="shared" si="13"/>
        <v>0.68424156138350312</v>
      </c>
      <c r="V36" s="10">
        <f t="shared" si="14"/>
        <v>4.750129179460401E-8</v>
      </c>
      <c r="W36" s="10">
        <f t="shared" si="15"/>
        <v>6.9730926353082391E-10</v>
      </c>
      <c r="X36" s="163">
        <f t="shared" si="22"/>
        <v>1.0000000000000002</v>
      </c>
      <c r="Y36" s="54">
        <f t="shared" si="16"/>
        <v>0.74775909881607594</v>
      </c>
      <c r="Z36" s="54">
        <f t="shared" si="17"/>
        <v>1.5653425360007928E-2</v>
      </c>
      <c r="AA36" s="113"/>
    </row>
    <row r="37" spans="1:27" x14ac:dyDescent="0.2">
      <c r="A37" s="20">
        <f t="shared" si="23"/>
        <v>0.32000000000000012</v>
      </c>
      <c r="B37" s="23">
        <f t="shared" si="24"/>
        <v>0.01</v>
      </c>
      <c r="C37" s="12">
        <f t="shared" si="25"/>
        <v>0</v>
      </c>
      <c r="D37" s="12">
        <f t="shared" si="26"/>
        <v>1198.51644454703</v>
      </c>
      <c r="E37" s="23">
        <f t="shared" si="18"/>
        <v>0.3418807840481764</v>
      </c>
      <c r="F37" s="23">
        <f t="shared" si="27"/>
        <v>135.86603891870945</v>
      </c>
      <c r="G37" s="95">
        <f t="shared" si="19"/>
        <v>0.34091102450430305</v>
      </c>
      <c r="H37" s="95">
        <f t="shared" si="20"/>
        <v>0.26144020508276056</v>
      </c>
      <c r="I37" s="95">
        <f t="shared" si="21"/>
        <v>5.0512689687538057E-3</v>
      </c>
      <c r="J37" s="12">
        <f t="shared" si="28"/>
        <v>0</v>
      </c>
      <c r="K37" s="12">
        <f t="shared" ref="K37:K68" si="29">SUM(C37:J37)</f>
        <v>1335.3317667483436</v>
      </c>
      <c r="L37" s="54">
        <f t="shared" ref="L37:L68" si="30">+E37/$K37*P_t</f>
        <v>2.5602684857912707E-4</v>
      </c>
      <c r="M37" s="10">
        <f t="shared" ref="M37:M68" si="31">+F37/$K37*P_t</f>
        <v>0.10174702819326752</v>
      </c>
      <c r="N37" s="10">
        <f t="shared" ref="N37:N68" si="32">+G37/$K37*P_t</f>
        <v>2.5530061741469156E-4</v>
      </c>
      <c r="O37" s="10">
        <f t="shared" ref="O37:O68" si="33">+H37/$K37*P_t</f>
        <v>1.9578670379376327E-4</v>
      </c>
      <c r="P37" s="10">
        <f t="shared" ref="P37:P68" si="34">+I37/$K37*P_t</f>
        <v>3.7827819981053194E-6</v>
      </c>
      <c r="Q37" s="54">
        <f t="shared" ref="Q37:Q68" si="35">1/(1+K1_*L37+K2_*M37+SQRT(K2_*K3_*M37)+1/K6_*N37+K7_*O37+P37/K10_)</f>
        <v>1.7308027821821843E-2</v>
      </c>
      <c r="R37" s="10">
        <f t="shared" ref="R37:R68" si="36">K1_*L37*Q37</f>
        <v>5.9798191249219772E-4</v>
      </c>
      <c r="S37" s="10">
        <f t="shared" ref="S37:S68" si="37">K7_*O37*Q37</f>
        <v>5.1136617991544525E-4</v>
      </c>
      <c r="T37" s="10">
        <f t="shared" ref="T37:T68" si="38">K2_*M37*Q37</f>
        <v>0.29732944974669839</v>
      </c>
      <c r="U37" s="10">
        <f t="shared" ref="U37:U68" si="39">SQRT(K2_*K3_*M37)*Q37</f>
        <v>0.68425312505130942</v>
      </c>
      <c r="V37" s="10">
        <f t="shared" ref="V37:V68" si="40">N37/K6_*Q37</f>
        <v>4.8568130007694941E-8</v>
      </c>
      <c r="W37" s="10">
        <f t="shared" ref="W37:W68" si="41">P37/K10_*Q37</f>
        <v>7.196326030670018E-10</v>
      </c>
      <c r="X37" s="163">
        <f t="shared" si="22"/>
        <v>0.99999999999999978</v>
      </c>
      <c r="Y37" s="54">
        <f t="shared" ref="Y37:Y68" si="42">(k4f*K1_*SQRT(K2_*K3_*M37)*L37+k5f*K1_*K2_*L37*M37-k4r/K6_*N37-k5r/K6_*SQRT(K2_*K3_*M37)*N37)*Q37*Q37</f>
        <v>0.73178746862796118</v>
      </c>
      <c r="Z37" s="54">
        <f t="shared" ref="Z37:Z68" si="43">(k8f*K7_*SQRT(K2_*K3_*M37)*O37+k9f*K7_*K2_*O37*M37-k8r/K10_*P37-k9r/K10_*SQRT(K2_*K3_*M37)*P37)*Q37*Q37</f>
        <v>1.5644769754589456E-2</v>
      </c>
      <c r="AA37" s="113"/>
    </row>
    <row r="38" spans="1:27" x14ac:dyDescent="0.2">
      <c r="A38" s="20">
        <f t="shared" si="23"/>
        <v>0.33000000000000013</v>
      </c>
      <c r="B38" s="23">
        <f t="shared" si="24"/>
        <v>0.01</v>
      </c>
      <c r="C38" s="12">
        <f t="shared" si="25"/>
        <v>0</v>
      </c>
      <c r="D38" s="12">
        <f t="shared" si="26"/>
        <v>1198.51644454703</v>
      </c>
      <c r="E38" s="23">
        <f t="shared" ref="E38:E69" si="44">+E37-$B37*$Y37</f>
        <v>0.33456290936189681</v>
      </c>
      <c r="F38" s="23">
        <f t="shared" si="27"/>
        <v>135.86230175751754</v>
      </c>
      <c r="G38" s="95">
        <f t="shared" ref="G38:G69" si="45">+G37+$B37*$Y37</f>
        <v>0.34822889919058264</v>
      </c>
      <c r="H38" s="95">
        <f t="shared" ref="H38:H69" si="46">+H37-$B37*$Z37</f>
        <v>0.26128375738521464</v>
      </c>
      <c r="I38" s="95">
        <f t="shared" ref="I38:I69" si="47">+I37+$B37*$Z37</f>
        <v>5.2077166662997006E-3</v>
      </c>
      <c r="J38" s="12">
        <f t="shared" si="28"/>
        <v>0</v>
      </c>
      <c r="K38" s="12">
        <f t="shared" si="29"/>
        <v>1335.3280295871516</v>
      </c>
      <c r="L38" s="54">
        <f t="shared" si="30"/>
        <v>2.5054735761469404E-4</v>
      </c>
      <c r="M38" s="10">
        <f t="shared" si="31"/>
        <v>0.10174451426704688</v>
      </c>
      <c r="N38" s="10">
        <f t="shared" si="32"/>
        <v>2.6078153942312278E-4</v>
      </c>
      <c r="O38" s="10">
        <f t="shared" si="33"/>
        <v>1.956700912404248E-4</v>
      </c>
      <c r="P38" s="10">
        <f t="shared" si="34"/>
        <v>3.8999530833706753E-6</v>
      </c>
      <c r="Q38" s="54">
        <f t="shared" si="35"/>
        <v>1.7308528055816674E-2</v>
      </c>
      <c r="R38" s="10">
        <f t="shared" si="36"/>
        <v>5.8520080633454364E-4</v>
      </c>
      <c r="S38" s="10">
        <f t="shared" si="37"/>
        <v>5.1107637563940626E-4</v>
      </c>
      <c r="T38" s="10">
        <f t="shared" si="38"/>
        <v>0.29733069660398614</v>
      </c>
      <c r="U38" s="10">
        <f t="shared" si="39"/>
        <v>0.68426444780402995</v>
      </c>
      <c r="V38" s="10">
        <f t="shared" si="40"/>
        <v>4.9612248884842752E-8</v>
      </c>
      <c r="W38" s="10">
        <f t="shared" si="41"/>
        <v>7.4194455420198365E-10</v>
      </c>
      <c r="X38" s="163">
        <f t="shared" si="22"/>
        <v>1.0000000000000002</v>
      </c>
      <c r="Y38" s="54">
        <f t="shared" si="42"/>
        <v>0.71615559051117084</v>
      </c>
      <c r="Z38" s="54">
        <f t="shared" si="43"/>
        <v>1.5636103680817273E-2</v>
      </c>
      <c r="AA38" s="113"/>
    </row>
    <row r="39" spans="1:27" x14ac:dyDescent="0.2">
      <c r="A39" s="20">
        <f t="shared" si="23"/>
        <v>0.34000000000000014</v>
      </c>
      <c r="B39" s="23">
        <f t="shared" si="24"/>
        <v>0.01</v>
      </c>
      <c r="C39" s="12">
        <f t="shared" si="25"/>
        <v>0</v>
      </c>
      <c r="D39" s="12">
        <f t="shared" si="26"/>
        <v>1198.51644454703</v>
      </c>
      <c r="E39" s="23">
        <f t="shared" si="44"/>
        <v>0.32740135345678512</v>
      </c>
      <c r="F39" s="23">
        <f t="shared" si="27"/>
        <v>135.85864279904658</v>
      </c>
      <c r="G39" s="95">
        <f t="shared" si="45"/>
        <v>0.35539045509569434</v>
      </c>
      <c r="H39" s="95">
        <f t="shared" si="46"/>
        <v>0.26112739634840648</v>
      </c>
      <c r="I39" s="95">
        <f t="shared" si="47"/>
        <v>5.3640777031078732E-3</v>
      </c>
      <c r="J39" s="12">
        <f t="shared" si="28"/>
        <v>0</v>
      </c>
      <c r="K39" s="12">
        <f t="shared" si="29"/>
        <v>1335.3243706286803</v>
      </c>
      <c r="L39" s="54">
        <f t="shared" si="30"/>
        <v>2.4518488590352184E-4</v>
      </c>
      <c r="M39" s="10">
        <f t="shared" si="31"/>
        <v>0.10174205293286406</v>
      </c>
      <c r="N39" s="10">
        <f t="shared" si="32"/>
        <v>2.661454122404536E-4</v>
      </c>
      <c r="O39" s="10">
        <f t="shared" si="33"/>
        <v>1.95553531480494E-4</v>
      </c>
      <c r="P39" s="10">
        <f t="shared" si="34"/>
        <v>4.0170596905847129E-6</v>
      </c>
      <c r="Q39" s="54">
        <f t="shared" si="35"/>
        <v>1.730901786595582E-2</v>
      </c>
      <c r="R39" s="10">
        <f t="shared" si="36"/>
        <v>5.726919440451017E-4</v>
      </c>
      <c r="S39" s="10">
        <f t="shared" si="37"/>
        <v>5.1078638404809177E-4</v>
      </c>
      <c r="T39" s="10">
        <f t="shared" si="38"/>
        <v>0.29733191767262851</v>
      </c>
      <c r="U39" s="10">
        <f t="shared" si="39"/>
        <v>0.68427553473494851</v>
      </c>
      <c r="V39" s="10">
        <f t="shared" si="40"/>
        <v>5.0634128933802297E-8</v>
      </c>
      <c r="W39" s="10">
        <f t="shared" si="41"/>
        <v>7.642450666182472E-10</v>
      </c>
      <c r="X39" s="163">
        <f t="shared" si="22"/>
        <v>1</v>
      </c>
      <c r="Y39" s="54">
        <f t="shared" si="42"/>
        <v>0.70085629561419693</v>
      </c>
      <c r="Z39" s="54">
        <f t="shared" si="43"/>
        <v>1.5627427484191245E-2</v>
      </c>
      <c r="AA39" s="113"/>
    </row>
    <row r="40" spans="1:27" x14ac:dyDescent="0.2">
      <c r="A40" s="20">
        <f t="shared" si="23"/>
        <v>0.35000000000000014</v>
      </c>
      <c r="B40" s="23">
        <f t="shared" si="24"/>
        <v>0.01</v>
      </c>
      <c r="C40" s="12">
        <f t="shared" si="25"/>
        <v>0</v>
      </c>
      <c r="D40" s="12">
        <f t="shared" si="26"/>
        <v>1198.51644454703</v>
      </c>
      <c r="E40" s="23">
        <f t="shared" si="44"/>
        <v>0.32039279050064312</v>
      </c>
      <c r="F40" s="23">
        <f t="shared" si="27"/>
        <v>135.8550603804311</v>
      </c>
      <c r="G40" s="95">
        <f t="shared" si="45"/>
        <v>0.36239901805183633</v>
      </c>
      <c r="H40" s="95">
        <f t="shared" si="46"/>
        <v>0.26097112207356454</v>
      </c>
      <c r="I40" s="95">
        <f t="shared" si="47"/>
        <v>5.520351977949786E-3</v>
      </c>
      <c r="J40" s="12">
        <f t="shared" si="28"/>
        <v>0</v>
      </c>
      <c r="K40" s="12">
        <f t="shared" si="29"/>
        <v>1335.3207882100651</v>
      </c>
      <c r="L40" s="54">
        <f t="shared" si="30"/>
        <v>2.3993694498691557E-4</v>
      </c>
      <c r="M40" s="10">
        <f t="shared" si="31"/>
        <v>0.10173964307298655</v>
      </c>
      <c r="N40" s="10">
        <f t="shared" si="32"/>
        <v>2.7139472496164404E-4</v>
      </c>
      <c r="O40" s="10">
        <f t="shared" si="33"/>
        <v>1.9543702485406829E-4</v>
      </c>
      <c r="P40" s="10">
        <f t="shared" si="34"/>
        <v>4.1341017279822016E-6</v>
      </c>
      <c r="Q40" s="54">
        <f t="shared" si="35"/>
        <v>1.7309497472551807E-2</v>
      </c>
      <c r="R40" s="10">
        <f t="shared" si="36"/>
        <v>5.6044956599827784E-4</v>
      </c>
      <c r="S40" s="10">
        <f t="shared" si="37"/>
        <v>5.104962130891295E-4</v>
      </c>
      <c r="T40" s="10">
        <f t="shared" si="38"/>
        <v>0.29733311349651481</v>
      </c>
      <c r="U40" s="10">
        <f t="shared" si="39"/>
        <v>0.68428639083107134</v>
      </c>
      <c r="V40" s="10">
        <f t="shared" si="40"/>
        <v>5.1634240640738273E-8</v>
      </c>
      <c r="W40" s="10">
        <f t="shared" si="41"/>
        <v>7.8653409157489398E-10</v>
      </c>
      <c r="X40" s="163">
        <f t="shared" si="22"/>
        <v>1.0000000000000002</v>
      </c>
      <c r="Y40" s="54">
        <f t="shared" si="42"/>
        <v>0.68588256389005853</v>
      </c>
      <c r="Z40" s="54">
        <f t="shared" si="43"/>
        <v>1.5618741502752052E-2</v>
      </c>
      <c r="AA40" s="113"/>
    </row>
    <row r="41" spans="1:27" x14ac:dyDescent="0.2">
      <c r="A41" s="20">
        <f t="shared" si="23"/>
        <v>0.36000000000000015</v>
      </c>
      <c r="B41" s="23">
        <f t="shared" si="24"/>
        <v>0.01</v>
      </c>
      <c r="C41" s="12">
        <f t="shared" si="25"/>
        <v>0</v>
      </c>
      <c r="D41" s="12">
        <f t="shared" si="26"/>
        <v>1198.51644454703</v>
      </c>
      <c r="E41" s="23">
        <f t="shared" si="44"/>
        <v>0.31353396486174251</v>
      </c>
      <c r="F41" s="23">
        <f t="shared" si="27"/>
        <v>135.85155287390413</v>
      </c>
      <c r="G41" s="95">
        <f t="shared" si="45"/>
        <v>0.36925784369073694</v>
      </c>
      <c r="H41" s="95">
        <f t="shared" si="46"/>
        <v>0.260814934658537</v>
      </c>
      <c r="I41" s="95">
        <f t="shared" si="47"/>
        <v>5.6765393929773065E-3</v>
      </c>
      <c r="J41" s="12">
        <f t="shared" si="28"/>
        <v>0</v>
      </c>
      <c r="K41" s="12">
        <f t="shared" si="29"/>
        <v>1335.3172807035382</v>
      </c>
      <c r="L41" s="54">
        <f t="shared" si="30"/>
        <v>2.3480109887932474E-4</v>
      </c>
      <c r="M41" s="10">
        <f t="shared" si="31"/>
        <v>0.10173728359325063</v>
      </c>
      <c r="N41" s="10">
        <f t="shared" si="32"/>
        <v>2.7653191419509387E-4</v>
      </c>
      <c r="O41" s="10">
        <f t="shared" si="33"/>
        <v>1.9532057169298483E-4</v>
      </c>
      <c r="P41" s="10">
        <f t="shared" si="34"/>
        <v>4.2510791068220955E-6</v>
      </c>
      <c r="Q41" s="54">
        <f t="shared" si="35"/>
        <v>1.730996709132274E-2</v>
      </c>
      <c r="R41" s="10">
        <f t="shared" si="36"/>
        <v>5.4846803276575797E-4</v>
      </c>
      <c r="S41" s="10">
        <f t="shared" si="37"/>
        <v>5.1020587053726273E-4</v>
      </c>
      <c r="T41" s="10">
        <f t="shared" si="38"/>
        <v>0.29733428460823697</v>
      </c>
      <c r="U41" s="10">
        <f t="shared" si="39"/>
        <v>0.68429702097528089</v>
      </c>
      <c r="V41" s="10">
        <f t="shared" si="40"/>
        <v>5.2613044673286469E-8</v>
      </c>
      <c r="W41" s="10">
        <f t="shared" si="41"/>
        <v>8.0881158186722523E-10</v>
      </c>
      <c r="X41" s="163">
        <f t="shared" si="22"/>
        <v>0.99999999999999989</v>
      </c>
      <c r="Y41" s="54">
        <f t="shared" si="42"/>
        <v>0.67122752111144246</v>
      </c>
      <c r="Z41" s="54">
        <f t="shared" si="43"/>
        <v>1.5610046067236087E-2</v>
      </c>
      <c r="AA41" s="113"/>
    </row>
    <row r="42" spans="1:27" x14ac:dyDescent="0.2">
      <c r="A42" s="20">
        <f t="shared" si="23"/>
        <v>0.37000000000000016</v>
      </c>
      <c r="B42" s="23">
        <f t="shared" si="24"/>
        <v>0.01</v>
      </c>
      <c r="C42" s="12">
        <f t="shared" si="25"/>
        <v>0</v>
      </c>
      <c r="D42" s="12">
        <f t="shared" si="26"/>
        <v>1198.51644454703</v>
      </c>
      <c r="E42" s="23">
        <f t="shared" si="44"/>
        <v>0.30682168965062806</v>
      </c>
      <c r="F42" s="23">
        <f t="shared" si="27"/>
        <v>135.84811868606823</v>
      </c>
      <c r="G42" s="95">
        <f t="shared" si="45"/>
        <v>0.37597011890185139</v>
      </c>
      <c r="H42" s="95">
        <f t="shared" si="46"/>
        <v>0.26065883419786462</v>
      </c>
      <c r="I42" s="95">
        <f t="shared" si="47"/>
        <v>5.8326398536496672E-3</v>
      </c>
      <c r="J42" s="12">
        <f t="shared" si="28"/>
        <v>0</v>
      </c>
      <c r="K42" s="12">
        <f t="shared" si="29"/>
        <v>1335.3138465157024</v>
      </c>
      <c r="L42" s="54">
        <f t="shared" si="30"/>
        <v>2.2977496298059996E-4</v>
      </c>
      <c r="M42" s="10">
        <f t="shared" si="31"/>
        <v>0.10173497342257265</v>
      </c>
      <c r="N42" s="10">
        <f t="shared" si="32"/>
        <v>2.8155936515066331E-4</v>
      </c>
      <c r="O42" s="10">
        <f t="shared" si="33"/>
        <v>1.9520417232099708E-4</v>
      </c>
      <c r="P42" s="10">
        <f t="shared" si="34"/>
        <v>4.3679917413191289E-6</v>
      </c>
      <c r="Q42" s="54">
        <f t="shared" si="35"/>
        <v>1.7310426933485432E-2</v>
      </c>
      <c r="R42" s="10">
        <f t="shared" si="36"/>
        <v>5.3674182267792283E-4</v>
      </c>
      <c r="S42" s="10">
        <f t="shared" si="37"/>
        <v>5.0991536399796762E-4</v>
      </c>
      <c r="T42" s="10">
        <f t="shared" si="38"/>
        <v>0.29733543152931635</v>
      </c>
      <c r="U42" s="10">
        <f t="shared" si="39"/>
        <v>0.68430742994845273</v>
      </c>
      <c r="V42" s="10">
        <f t="shared" si="40"/>
        <v>5.3570992079753427E-8</v>
      </c>
      <c r="W42" s="10">
        <f t="shared" si="41"/>
        <v>8.310774917872915E-10</v>
      </c>
      <c r="X42" s="163">
        <f t="shared" si="22"/>
        <v>1</v>
      </c>
      <c r="Y42" s="54">
        <f t="shared" si="42"/>
        <v>0.65688443594129731</v>
      </c>
      <c r="Z42" s="54">
        <f t="shared" si="43"/>
        <v>1.5601341501227333E-2</v>
      </c>
      <c r="AA42" s="113"/>
    </row>
    <row r="43" spans="1:27" x14ac:dyDescent="0.2">
      <c r="A43" s="20">
        <f t="shared" si="23"/>
        <v>0.38000000000000017</v>
      </c>
      <c r="B43" s="23">
        <f t="shared" si="24"/>
        <v>0.01</v>
      </c>
      <c r="C43" s="12">
        <f t="shared" si="25"/>
        <v>0</v>
      </c>
      <c r="D43" s="12">
        <f t="shared" si="26"/>
        <v>1198.51644454703</v>
      </c>
      <c r="E43" s="23">
        <f t="shared" si="44"/>
        <v>0.3002528452912151</v>
      </c>
      <c r="F43" s="23">
        <f t="shared" si="27"/>
        <v>135.84475625718102</v>
      </c>
      <c r="G43" s="95">
        <f t="shared" si="45"/>
        <v>0.38253896326126435</v>
      </c>
      <c r="H43" s="95">
        <f t="shared" si="46"/>
        <v>0.26050282078285236</v>
      </c>
      <c r="I43" s="95">
        <f t="shared" si="47"/>
        <v>5.9886532686619408E-3</v>
      </c>
      <c r="J43" s="12">
        <f t="shared" si="28"/>
        <v>0</v>
      </c>
      <c r="K43" s="12">
        <f t="shared" si="29"/>
        <v>1335.310484086815</v>
      </c>
      <c r="L43" s="54">
        <f t="shared" si="30"/>
        <v>2.2485620301000662E-4</v>
      </c>
      <c r="M43" s="10">
        <f t="shared" si="31"/>
        <v>0.10173271151247031</v>
      </c>
      <c r="N43" s="10">
        <f t="shared" si="32"/>
        <v>2.8647941270593189E-4</v>
      </c>
      <c r="O43" s="10">
        <f t="shared" si="33"/>
        <v>1.9508782705394815E-4</v>
      </c>
      <c r="P43" s="10">
        <f t="shared" si="34"/>
        <v>4.4848395485769206E-6</v>
      </c>
      <c r="Q43" s="54">
        <f t="shared" si="35"/>
        <v>1.7310877205846672E-2</v>
      </c>
      <c r="R43" s="10">
        <f t="shared" si="36"/>
        <v>5.2526552943177112E-4</v>
      </c>
      <c r="S43" s="10">
        <f t="shared" si="37"/>
        <v>5.0962470091099827E-4</v>
      </c>
      <c r="T43" s="10">
        <f t="shared" si="38"/>
        <v>0.2973365547704267</v>
      </c>
      <c r="U43" s="10">
        <f t="shared" si="39"/>
        <v>0.68431762243152761</v>
      </c>
      <c r="V43" s="10">
        <f t="shared" si="40"/>
        <v>5.450852448451648E-8</v>
      </c>
      <c r="W43" s="10">
        <f t="shared" si="41"/>
        <v>8.5333177708539422E-10</v>
      </c>
      <c r="X43" s="163">
        <f t="shared" si="22"/>
        <v>1</v>
      </c>
      <c r="Y43" s="54">
        <f t="shared" si="42"/>
        <v>0.64284671705803809</v>
      </c>
      <c r="Z43" s="54">
        <f t="shared" si="43"/>
        <v>1.5592628121306226E-2</v>
      </c>
      <c r="AA43" s="113"/>
    </row>
    <row r="44" spans="1:27" x14ac:dyDescent="0.2">
      <c r="A44" s="20">
        <f t="shared" si="23"/>
        <v>0.39000000000000018</v>
      </c>
      <c r="B44" s="23">
        <f t="shared" si="24"/>
        <v>0.01</v>
      </c>
      <c r="C44" s="12">
        <f t="shared" si="25"/>
        <v>0</v>
      </c>
      <c r="D44" s="12">
        <f t="shared" si="26"/>
        <v>1198.51644454703</v>
      </c>
      <c r="E44" s="23">
        <f t="shared" si="44"/>
        <v>0.29382437812063472</v>
      </c>
      <c r="F44" s="23">
        <f t="shared" si="27"/>
        <v>135.84146406045511</v>
      </c>
      <c r="G44" s="95">
        <f t="shared" si="45"/>
        <v>0.38896743043184473</v>
      </c>
      <c r="H44" s="95">
        <f t="shared" si="46"/>
        <v>0.26034689450163928</v>
      </c>
      <c r="I44" s="95">
        <f t="shared" si="47"/>
        <v>6.144579549875003E-3</v>
      </c>
      <c r="J44" s="12">
        <f t="shared" si="28"/>
        <v>0</v>
      </c>
      <c r="K44" s="12">
        <f t="shared" si="29"/>
        <v>1335.3071918900894</v>
      </c>
      <c r="L44" s="54">
        <f t="shared" si="30"/>
        <v>2.2004253396159328E-4</v>
      </c>
      <c r="M44" s="10">
        <f t="shared" si="31"/>
        <v>0.10173049683659337</v>
      </c>
      <c r="N44" s="10">
        <f t="shared" si="32"/>
        <v>2.9129434245109726E-4</v>
      </c>
      <c r="O44" s="10">
        <f t="shared" si="33"/>
        <v>1.9497153619994038E-4</v>
      </c>
      <c r="P44" s="10">
        <f t="shared" si="34"/>
        <v>4.6016224485225196E-6</v>
      </c>
      <c r="Q44" s="54">
        <f t="shared" si="35"/>
        <v>1.7311318110892822E-2</v>
      </c>
      <c r="R44" s="10">
        <f t="shared" si="36"/>
        <v>5.1403385974459561E-4</v>
      </c>
      <c r="S44" s="10">
        <f t="shared" si="37"/>
        <v>5.0933388855386248E-4</v>
      </c>
      <c r="T44" s="10">
        <f t="shared" si="38"/>
        <v>0.29733765483161212</v>
      </c>
      <c r="U44" s="10">
        <f t="shared" si="39"/>
        <v>0.6843276030075478</v>
      </c>
      <c r="V44" s="10">
        <f t="shared" si="40"/>
        <v>5.5426074279686984E-8</v>
      </c>
      <c r="W44" s="10">
        <f t="shared" si="41"/>
        <v>8.7557439493251493E-10</v>
      </c>
      <c r="X44" s="163">
        <f t="shared" si="22"/>
        <v>0.99999999999999989</v>
      </c>
      <c r="Y44" s="54">
        <f t="shared" si="42"/>
        <v>0.62910791033453439</v>
      </c>
      <c r="Z44" s="54">
        <f t="shared" si="43"/>
        <v>1.5583906237195697E-2</v>
      </c>
      <c r="AA44" s="113"/>
    </row>
    <row r="45" spans="1:27" x14ac:dyDescent="0.2">
      <c r="A45" s="20">
        <f t="shared" si="23"/>
        <v>0.40000000000000019</v>
      </c>
      <c r="B45" s="23">
        <f t="shared" si="24"/>
        <v>0.01</v>
      </c>
      <c r="C45" s="12">
        <f t="shared" si="25"/>
        <v>0</v>
      </c>
      <c r="D45" s="12">
        <f t="shared" si="26"/>
        <v>1198.51644454703</v>
      </c>
      <c r="E45" s="23">
        <f t="shared" si="44"/>
        <v>0.28753329901728936</v>
      </c>
      <c r="F45" s="23">
        <f t="shared" si="27"/>
        <v>135.83824060137226</v>
      </c>
      <c r="G45" s="95">
        <f t="shared" si="45"/>
        <v>0.39525850953519009</v>
      </c>
      <c r="H45" s="95">
        <f t="shared" si="46"/>
        <v>0.26019105543926735</v>
      </c>
      <c r="I45" s="95">
        <f t="shared" si="47"/>
        <v>6.3004186122469601E-3</v>
      </c>
      <c r="J45" s="12">
        <f t="shared" si="28"/>
        <v>0</v>
      </c>
      <c r="K45" s="12">
        <f t="shared" si="29"/>
        <v>1335.3039684310061</v>
      </c>
      <c r="L45" s="54">
        <f t="shared" si="30"/>
        <v>2.1533171908052031E-4</v>
      </c>
      <c r="M45" s="10">
        <f t="shared" si="31"/>
        <v>0.10172832839026412</v>
      </c>
      <c r="N45" s="10">
        <f t="shared" si="32"/>
        <v>2.9600639171290888E-4</v>
      </c>
      <c r="O45" s="10">
        <f t="shared" si="33"/>
        <v>1.9485530005950189E-4</v>
      </c>
      <c r="P45" s="10">
        <f t="shared" si="34"/>
        <v>4.718340363842405E-6</v>
      </c>
      <c r="Q45" s="54">
        <f t="shared" si="35"/>
        <v>1.7311749846877649E-2</v>
      </c>
      <c r="R45" s="10">
        <f t="shared" si="36"/>
        <v>5.0304163105265758E-4</v>
      </c>
      <c r="S45" s="10">
        <f t="shared" si="37"/>
        <v>5.0904293404522834E-4</v>
      </c>
      <c r="T45" s="10">
        <f t="shared" si="38"/>
        <v>0.29733873220250279</v>
      </c>
      <c r="U45" s="10">
        <f t="shared" si="39"/>
        <v>0.68433737616365165</v>
      </c>
      <c r="V45" s="10">
        <f t="shared" si="40"/>
        <v>5.6324064813097521E-8</v>
      </c>
      <c r="W45" s="10">
        <f t="shared" si="41"/>
        <v>8.9780530388365958E-10</v>
      </c>
      <c r="X45" s="163">
        <f t="shared" si="22"/>
        <v>1.0000000000000002</v>
      </c>
      <c r="Y45" s="54">
        <f t="shared" si="42"/>
        <v>0.61566169607004395</v>
      </c>
      <c r="Z45" s="54">
        <f t="shared" si="43"/>
        <v>1.5575176151904298E-2</v>
      </c>
      <c r="AA45" s="113"/>
    </row>
    <row r="46" spans="1:27" x14ac:dyDescent="0.2">
      <c r="A46" s="20">
        <f t="shared" si="23"/>
        <v>0.4100000000000002</v>
      </c>
      <c r="B46" s="23">
        <f t="shared" si="24"/>
        <v>0.01</v>
      </c>
      <c r="C46" s="12">
        <f t="shared" si="25"/>
        <v>0</v>
      </c>
      <c r="D46" s="12">
        <f t="shared" si="26"/>
        <v>1198.51644454703</v>
      </c>
      <c r="E46" s="23">
        <f t="shared" si="44"/>
        <v>0.28137668205658894</v>
      </c>
      <c r="F46" s="23">
        <f t="shared" si="27"/>
        <v>135.83508441701116</v>
      </c>
      <c r="G46" s="95">
        <f t="shared" si="45"/>
        <v>0.40141512649589051</v>
      </c>
      <c r="H46" s="95">
        <f t="shared" si="46"/>
        <v>0.2600353036777483</v>
      </c>
      <c r="I46" s="95">
        <f t="shared" si="47"/>
        <v>6.4561703737660032E-3</v>
      </c>
      <c r="J46" s="12">
        <f t="shared" si="28"/>
        <v>0</v>
      </c>
      <c r="K46" s="12">
        <f t="shared" si="29"/>
        <v>1335.3008122466451</v>
      </c>
      <c r="L46" s="54">
        <f t="shared" si="30"/>
        <v>2.1072156885995776E-4</v>
      </c>
      <c r="M46" s="10">
        <f t="shared" si="31"/>
        <v>0.10172620519002641</v>
      </c>
      <c r="N46" s="10">
        <f t="shared" si="32"/>
        <v>3.0061775055802528E-4</v>
      </c>
      <c r="O46" s="10">
        <f t="shared" si="33"/>
        <v>1.9473911892574873E-4</v>
      </c>
      <c r="P46" s="10">
        <f t="shared" si="34"/>
        <v>4.8349932199198536E-6</v>
      </c>
      <c r="Q46" s="54">
        <f t="shared" si="35"/>
        <v>1.7312172607908516E-2</v>
      </c>
      <c r="R46" s="10">
        <f t="shared" si="36"/>
        <v>4.9228376925411444E-4</v>
      </c>
      <c r="S46" s="10">
        <f t="shared" si="37"/>
        <v>5.0875184434826166E-4</v>
      </c>
      <c r="T46" s="10">
        <f t="shared" si="38"/>
        <v>0.29733978736252387</v>
      </c>
      <c r="U46" s="10">
        <f t="shared" si="39"/>
        <v>0.68434694629303017</v>
      </c>
      <c r="V46" s="10">
        <f t="shared" si="40"/>
        <v>5.7202910572674116E-8</v>
      </c>
      <c r="W46" s="10">
        <f t="shared" si="41"/>
        <v>9.2002446384208573E-10</v>
      </c>
      <c r="X46" s="163">
        <f t="shared" si="22"/>
        <v>0.99999999999999989</v>
      </c>
      <c r="Y46" s="54">
        <f t="shared" si="42"/>
        <v>0.60250188627427159</v>
      </c>
      <c r="Z46" s="54">
        <f t="shared" si="43"/>
        <v>1.5566438161866489E-2</v>
      </c>
      <c r="AA46" s="113"/>
    </row>
    <row r="47" spans="1:27" x14ac:dyDescent="0.2">
      <c r="A47" s="20">
        <f t="shared" si="23"/>
        <v>0.42000000000000021</v>
      </c>
      <c r="B47" s="23">
        <f t="shared" si="24"/>
        <v>0.01</v>
      </c>
      <c r="C47" s="12">
        <f t="shared" si="25"/>
        <v>0</v>
      </c>
      <c r="D47" s="12">
        <f t="shared" si="26"/>
        <v>1198.51644454703</v>
      </c>
      <c r="E47" s="23">
        <f t="shared" si="44"/>
        <v>0.27535166319384624</v>
      </c>
      <c r="F47" s="23">
        <f t="shared" si="27"/>
        <v>135.83199407538899</v>
      </c>
      <c r="G47" s="95">
        <f t="shared" si="45"/>
        <v>0.40744014535863321</v>
      </c>
      <c r="H47" s="95">
        <f t="shared" si="46"/>
        <v>0.25987963929612962</v>
      </c>
      <c r="I47" s="95">
        <f t="shared" si="47"/>
        <v>6.6118347553846685E-3</v>
      </c>
      <c r="J47" s="12">
        <f t="shared" si="28"/>
        <v>0</v>
      </c>
      <c r="K47" s="12">
        <f t="shared" si="29"/>
        <v>1335.2977219050229</v>
      </c>
      <c r="L47" s="54">
        <f t="shared" si="30"/>
        <v>2.0620994005817039E-4</v>
      </c>
      <c r="M47" s="10">
        <f t="shared" si="31"/>
        <v>0.10172412627320461</v>
      </c>
      <c r="N47" s="10">
        <f t="shared" si="32"/>
        <v>3.0513056277618186E-4</v>
      </c>
      <c r="O47" s="10">
        <f t="shared" si="33"/>
        <v>1.9462299308454475E-4</v>
      </c>
      <c r="P47" s="10">
        <f t="shared" si="34"/>
        <v>4.9515809447737193E-6</v>
      </c>
      <c r="Q47" s="54">
        <f t="shared" si="35"/>
        <v>1.7312586584030887E-2</v>
      </c>
      <c r="R47" s="10">
        <f t="shared" si="36"/>
        <v>4.8175530649546307E-4</v>
      </c>
      <c r="S47" s="10">
        <f t="shared" si="37"/>
        <v>5.084606262738987E-4</v>
      </c>
      <c r="T47" s="10">
        <f t="shared" si="38"/>
        <v>0.29734082078110324</v>
      </c>
      <c r="U47" s="10">
        <f t="shared" si="39"/>
        <v>0.68435631769684724</v>
      </c>
      <c r="V47" s="10">
        <f t="shared" si="40"/>
        <v>5.8063017367254359E-8</v>
      </c>
      <c r="W47" s="10">
        <f t="shared" si="41"/>
        <v>9.4223183602440629E-10</v>
      </c>
      <c r="X47" s="163">
        <f t="shared" si="22"/>
        <v>1</v>
      </c>
      <c r="Y47" s="54">
        <f t="shared" si="42"/>
        <v>0.5896224220027354</v>
      </c>
      <c r="Z47" s="54">
        <f t="shared" si="43"/>
        <v>1.5557692557080224E-2</v>
      </c>
      <c r="AA47" s="113"/>
    </row>
    <row r="48" spans="1:27" x14ac:dyDescent="0.2">
      <c r="A48" s="20">
        <f t="shared" si="23"/>
        <v>0.43000000000000022</v>
      </c>
      <c r="B48" s="23">
        <f t="shared" si="24"/>
        <v>0.01</v>
      </c>
      <c r="C48" s="12">
        <f t="shared" si="25"/>
        <v>0</v>
      </c>
      <c r="D48" s="12">
        <f t="shared" si="26"/>
        <v>1198.51644454703</v>
      </c>
      <c r="E48" s="23">
        <f t="shared" si="44"/>
        <v>0.26945543897381891</v>
      </c>
      <c r="F48" s="23">
        <f t="shared" si="27"/>
        <v>135.8289681748162</v>
      </c>
      <c r="G48" s="95">
        <f t="shared" si="45"/>
        <v>0.41333636957866055</v>
      </c>
      <c r="H48" s="95">
        <f t="shared" si="46"/>
        <v>0.25972406237055884</v>
      </c>
      <c r="I48" s="95">
        <f t="shared" si="47"/>
        <v>6.7674116809554709E-3</v>
      </c>
      <c r="J48" s="12">
        <f t="shared" si="28"/>
        <v>0</v>
      </c>
      <c r="K48" s="12">
        <f t="shared" si="29"/>
        <v>1335.2946960044505</v>
      </c>
      <c r="L48" s="54">
        <f t="shared" si="30"/>
        <v>2.0179473473541065E-4</v>
      </c>
      <c r="M48" s="10">
        <f t="shared" si="31"/>
        <v>0.10172209069747064</v>
      </c>
      <c r="N48" s="10">
        <f t="shared" si="32"/>
        <v>3.0954692684354295E-4</v>
      </c>
      <c r="O48" s="10">
        <f t="shared" si="33"/>
        <v>1.9450692281465723E-4</v>
      </c>
      <c r="P48" s="10">
        <f t="shared" si="34"/>
        <v>5.068103468998513E-6</v>
      </c>
      <c r="Q48" s="54">
        <f t="shared" si="35"/>
        <v>1.7312991961311218E-2</v>
      </c>
      <c r="R48" s="10">
        <f t="shared" si="36"/>
        <v>4.7145137900076465E-4</v>
      </c>
      <c r="S48" s="10">
        <f t="shared" si="37"/>
        <v>5.0816928648405191E-4</v>
      </c>
      <c r="T48" s="10">
        <f t="shared" si="38"/>
        <v>0.29734183291787314</v>
      </c>
      <c r="U48" s="10">
        <f t="shared" si="39"/>
        <v>0.68436549458612106</v>
      </c>
      <c r="V48" s="10">
        <f t="shared" si="40"/>
        <v>5.8904782503910191E-8</v>
      </c>
      <c r="W48" s="10">
        <f t="shared" si="41"/>
        <v>9.6442738292653653E-10</v>
      </c>
      <c r="X48" s="163">
        <f t="shared" si="22"/>
        <v>1</v>
      </c>
      <c r="Y48" s="54">
        <f t="shared" si="42"/>
        <v>0.57701737074261683</v>
      </c>
      <c r="Z48" s="54">
        <f t="shared" si="43"/>
        <v>1.5548939621241742E-2</v>
      </c>
      <c r="AA48" s="113"/>
    </row>
    <row r="49" spans="1:27" x14ac:dyDescent="0.2">
      <c r="A49" s="20">
        <f t="shared" si="23"/>
        <v>0.44000000000000022</v>
      </c>
      <c r="B49" s="23">
        <f t="shared" si="24"/>
        <v>0.01</v>
      </c>
      <c r="C49" s="12">
        <f t="shared" si="25"/>
        <v>0</v>
      </c>
      <c r="D49" s="12">
        <f t="shared" si="26"/>
        <v>1198.51644454703</v>
      </c>
      <c r="E49" s="23">
        <f t="shared" si="44"/>
        <v>0.26368526526639274</v>
      </c>
      <c r="F49" s="23">
        <f t="shared" si="27"/>
        <v>135.82600534326437</v>
      </c>
      <c r="G49" s="95">
        <f t="shared" si="45"/>
        <v>0.41910654328608671</v>
      </c>
      <c r="H49" s="95">
        <f t="shared" si="46"/>
        <v>0.25956857297434643</v>
      </c>
      <c r="I49" s="95">
        <f t="shared" si="47"/>
        <v>6.9229010771678879E-3</v>
      </c>
      <c r="J49" s="12">
        <f t="shared" si="28"/>
        <v>0</v>
      </c>
      <c r="K49" s="12">
        <f t="shared" si="29"/>
        <v>1335.2917331728981</v>
      </c>
      <c r="L49" s="54">
        <f t="shared" si="30"/>
        <v>1.9747389931024898E-4</v>
      </c>
      <c r="M49" s="10">
        <f t="shared" si="31"/>
        <v>0.10172009754042052</v>
      </c>
      <c r="N49" s="10">
        <f t="shared" si="32"/>
        <v>3.1386889686661404E-4</v>
      </c>
      <c r="O49" s="10">
        <f t="shared" si="33"/>
        <v>1.9439090838791002E-4</v>
      </c>
      <c r="P49" s="10">
        <f t="shared" si="34"/>
        <v>5.1845607257058385E-6</v>
      </c>
      <c r="Q49" s="54">
        <f t="shared" si="35"/>
        <v>1.7313388921918211E-2</v>
      </c>
      <c r="R49" s="10">
        <f t="shared" si="36"/>
        <v>4.6136722494293062E-4</v>
      </c>
      <c r="S49" s="10">
        <f t="shared" si="37"/>
        <v>5.0787783149475142E-4</v>
      </c>
      <c r="T49" s="10">
        <f t="shared" si="38"/>
        <v>0.2973428242228694</v>
      </c>
      <c r="U49" s="10">
        <f t="shared" si="39"/>
        <v>0.68437448108356858</v>
      </c>
      <c r="V49" s="10">
        <f t="shared" si="40"/>
        <v>5.9728594961835427E-8</v>
      </c>
      <c r="W49" s="10">
        <f t="shared" si="41"/>
        <v>9.8661106829047697E-10</v>
      </c>
      <c r="X49" s="163">
        <f t="shared" si="22"/>
        <v>0.99999999999999978</v>
      </c>
      <c r="Y49" s="54">
        <f t="shared" si="42"/>
        <v>0.5646809238482966</v>
      </c>
      <c r="Z49" s="54">
        <f t="shared" si="43"/>
        <v>1.5540179631877734E-2</v>
      </c>
      <c r="AA49" s="113"/>
    </row>
    <row r="50" spans="1:27" x14ac:dyDescent="0.2">
      <c r="A50" s="20">
        <f t="shared" si="23"/>
        <v>0.45000000000000023</v>
      </c>
      <c r="B50" s="23">
        <f t="shared" si="24"/>
        <v>0.01</v>
      </c>
      <c r="C50" s="12">
        <f t="shared" si="25"/>
        <v>0</v>
      </c>
      <c r="D50" s="12">
        <f t="shared" si="26"/>
        <v>1198.51644454703</v>
      </c>
      <c r="E50" s="23">
        <f t="shared" si="44"/>
        <v>0.25803845602790976</v>
      </c>
      <c r="F50" s="23">
        <f t="shared" si="27"/>
        <v>135.82310423774697</v>
      </c>
      <c r="G50" s="95">
        <f t="shared" si="45"/>
        <v>0.42475335252456969</v>
      </c>
      <c r="H50" s="95">
        <f t="shared" si="46"/>
        <v>0.25941317117802765</v>
      </c>
      <c r="I50" s="95">
        <f t="shared" si="47"/>
        <v>7.0783028734866657E-3</v>
      </c>
      <c r="J50" s="12">
        <f t="shared" si="28"/>
        <v>0</v>
      </c>
      <c r="K50" s="12">
        <f t="shared" si="29"/>
        <v>1335.2888320673808</v>
      </c>
      <c r="L50" s="54">
        <f t="shared" si="30"/>
        <v>1.9324542363497333E-4</v>
      </c>
      <c r="M50" s="10">
        <f t="shared" si="31"/>
        <v>0.10171814589915863</v>
      </c>
      <c r="N50" s="10">
        <f t="shared" si="32"/>
        <v>3.1809848350707688E-4</v>
      </c>
      <c r="O50" s="10">
        <f t="shared" si="33"/>
        <v>1.9427495006933245E-4</v>
      </c>
      <c r="P50" s="10">
        <f t="shared" si="34"/>
        <v>5.300952650467074E-6</v>
      </c>
      <c r="Q50" s="54">
        <f t="shared" si="35"/>
        <v>1.7313777644202586E-2</v>
      </c>
      <c r="R50" s="10">
        <f t="shared" si="36"/>
        <v>4.5149818235635131E-4</v>
      </c>
      <c r="S50" s="10">
        <f t="shared" si="37"/>
        <v>5.0758626767922414E-4</v>
      </c>
      <c r="T50" s="10">
        <f t="shared" si="38"/>
        <v>0.2973437951367261</v>
      </c>
      <c r="U50" s="10">
        <f t="shared" si="39"/>
        <v>0.68438328122541714</v>
      </c>
      <c r="V50" s="10">
        <f t="shared" si="40"/>
        <v>6.0534835562855911E-8</v>
      </c>
      <c r="W50" s="10">
        <f t="shared" si="41"/>
        <v>1.0087828570719058E-9</v>
      </c>
      <c r="X50" s="163">
        <f t="shared" si="22"/>
        <v>0.99999999999999978</v>
      </c>
      <c r="Y50" s="54">
        <f t="shared" si="42"/>
        <v>0.55260739402576864</v>
      </c>
      <c r="Z50" s="54">
        <f t="shared" si="43"/>
        <v>1.553141286047487E-2</v>
      </c>
      <c r="AA50" s="113"/>
    </row>
    <row r="51" spans="1:27" x14ac:dyDescent="0.2">
      <c r="A51" s="20">
        <f t="shared" si="23"/>
        <v>0.46000000000000024</v>
      </c>
      <c r="B51" s="23">
        <f t="shared" si="24"/>
        <v>0.01</v>
      </c>
      <c r="C51" s="12">
        <f t="shared" si="25"/>
        <v>0</v>
      </c>
      <c r="D51" s="12">
        <f t="shared" si="26"/>
        <v>1198.51644454703</v>
      </c>
      <c r="E51" s="23">
        <f t="shared" si="44"/>
        <v>0.25251238208765209</v>
      </c>
      <c r="F51" s="23">
        <f t="shared" si="27"/>
        <v>135.82026354371254</v>
      </c>
      <c r="G51" s="95">
        <f t="shared" si="45"/>
        <v>0.43027942646482736</v>
      </c>
      <c r="H51" s="95">
        <f t="shared" si="46"/>
        <v>0.25925785704942289</v>
      </c>
      <c r="I51" s="95">
        <f t="shared" si="47"/>
        <v>7.2336170020914142E-3</v>
      </c>
      <c r="J51" s="12">
        <f t="shared" si="28"/>
        <v>0</v>
      </c>
      <c r="K51" s="12">
        <f t="shared" si="29"/>
        <v>1335.2859913733466</v>
      </c>
      <c r="L51" s="54">
        <f t="shared" si="30"/>
        <v>1.8910734008970032E-4</v>
      </c>
      <c r="M51" s="10">
        <f t="shared" si="31"/>
        <v>0.10171623488989119</v>
      </c>
      <c r="N51" s="10">
        <f t="shared" si="32"/>
        <v>3.222376548879116E-4</v>
      </c>
      <c r="O51" s="10">
        <f t="shared" si="33"/>
        <v>1.9415904811730648E-4</v>
      </c>
      <c r="P51" s="10">
        <f t="shared" si="34"/>
        <v>5.4172791812573519E-6</v>
      </c>
      <c r="Q51" s="54">
        <f t="shared" si="35"/>
        <v>1.7314158302775193E-2</v>
      </c>
      <c r="R51" s="10">
        <f t="shared" si="36"/>
        <v>4.4183968709015975E-4</v>
      </c>
      <c r="S51" s="10">
        <f t="shared" si="37"/>
        <v>5.072946012709106E-4</v>
      </c>
      <c r="T51" s="10">
        <f t="shared" si="38"/>
        <v>0.29734474609086703</v>
      </c>
      <c r="U51" s="10">
        <f t="shared" si="39"/>
        <v>0.68439189896317687</v>
      </c>
      <c r="V51" s="10">
        <f t="shared" si="40"/>
        <v>6.1323877138620414E-8</v>
      </c>
      <c r="W51" s="10">
        <f t="shared" si="41"/>
        <v>1.0309427154085664E-9</v>
      </c>
      <c r="X51" s="163">
        <f t="shared" si="22"/>
        <v>0.99999999999999989</v>
      </c>
      <c r="Y51" s="54">
        <f t="shared" si="42"/>
        <v>0.54079121286513532</v>
      </c>
      <c r="Z51" s="54">
        <f t="shared" si="43"/>
        <v>1.5522639572606736E-2</v>
      </c>
      <c r="AA51" s="113"/>
    </row>
    <row r="52" spans="1:27" x14ac:dyDescent="0.2">
      <c r="A52" s="20">
        <f t="shared" si="23"/>
        <v>0.47000000000000025</v>
      </c>
      <c r="B52" s="23">
        <f t="shared" si="24"/>
        <v>0.01</v>
      </c>
      <c r="C52" s="12">
        <f t="shared" si="25"/>
        <v>0</v>
      </c>
      <c r="D52" s="12">
        <f t="shared" si="26"/>
        <v>1198.51644454703</v>
      </c>
      <c r="E52" s="23">
        <f t="shared" si="44"/>
        <v>0.24710446995900073</v>
      </c>
      <c r="F52" s="23">
        <f t="shared" si="27"/>
        <v>135.81748197445035</v>
      </c>
      <c r="G52" s="95">
        <f t="shared" si="45"/>
        <v>0.43568733859347869</v>
      </c>
      <c r="H52" s="95">
        <f t="shared" si="46"/>
        <v>0.25910263065369682</v>
      </c>
      <c r="I52" s="95">
        <f t="shared" si="47"/>
        <v>7.3888433978174812E-3</v>
      </c>
      <c r="J52" s="12">
        <f t="shared" si="28"/>
        <v>0</v>
      </c>
      <c r="K52" s="12">
        <f t="shared" si="29"/>
        <v>1335.2832098040842</v>
      </c>
      <c r="L52" s="54">
        <f t="shared" si="30"/>
        <v>1.850577226948405E-4</v>
      </c>
      <c r="M52" s="10">
        <f t="shared" si="31"/>
        <v>0.10171436364752748</v>
      </c>
      <c r="N52" s="10">
        <f t="shared" si="32"/>
        <v>3.2628833748115781E-4</v>
      </c>
      <c r="O52" s="10">
        <f t="shared" si="33"/>
        <v>1.940432027837098E-4</v>
      </c>
      <c r="P52" s="10">
        <f t="shared" si="34"/>
        <v>5.5335402584007548E-6</v>
      </c>
      <c r="Q52" s="54">
        <f t="shared" si="35"/>
        <v>1.7314531068583647E-2</v>
      </c>
      <c r="R52" s="10">
        <f t="shared" si="36"/>
        <v>4.3238727080142843E-4</v>
      </c>
      <c r="S52" s="10">
        <f t="shared" si="37"/>
        <v>5.0700283836641979E-4</v>
      </c>
      <c r="T52" s="10">
        <f t="shared" si="38"/>
        <v>0.29734567750769253</v>
      </c>
      <c r="U52" s="10">
        <f t="shared" si="39"/>
        <v>0.68440033816538071</v>
      </c>
      <c r="V52" s="10">
        <f t="shared" si="40"/>
        <v>6.2096084694529498E-8</v>
      </c>
      <c r="W52" s="10">
        <f t="shared" si="41"/>
        <v>1.0530906105894282E-9</v>
      </c>
      <c r="X52" s="163">
        <f t="shared" si="22"/>
        <v>1</v>
      </c>
      <c r="Y52" s="54">
        <f t="shared" si="42"/>
        <v>0.52922692842039665</v>
      </c>
      <c r="Z52" s="54">
        <f t="shared" si="43"/>
        <v>1.5513860028058237E-2</v>
      </c>
      <c r="AA52" s="113"/>
    </row>
    <row r="53" spans="1:27" x14ac:dyDescent="0.2">
      <c r="A53" s="20">
        <f t="shared" si="23"/>
        <v>0.48000000000000026</v>
      </c>
      <c r="B53" s="23">
        <f t="shared" si="24"/>
        <v>0.01</v>
      </c>
      <c r="C53" s="12">
        <f t="shared" si="25"/>
        <v>0</v>
      </c>
      <c r="D53" s="12">
        <f t="shared" si="26"/>
        <v>1198.51644454703</v>
      </c>
      <c r="E53" s="23">
        <f t="shared" si="44"/>
        <v>0.24181220067479678</v>
      </c>
      <c r="F53" s="23">
        <f t="shared" si="27"/>
        <v>135.81475827050809</v>
      </c>
      <c r="G53" s="95">
        <f t="shared" si="45"/>
        <v>0.44097960787768264</v>
      </c>
      <c r="H53" s="95">
        <f t="shared" si="46"/>
        <v>0.25894749205341622</v>
      </c>
      <c r="I53" s="95">
        <f t="shared" si="47"/>
        <v>7.5439819980980634E-3</v>
      </c>
      <c r="J53" s="12">
        <f t="shared" si="28"/>
        <v>0</v>
      </c>
      <c r="K53" s="12">
        <f t="shared" si="29"/>
        <v>1335.2804861001421</v>
      </c>
      <c r="L53" s="54">
        <f t="shared" si="30"/>
        <v>1.8109468624157035E-4</v>
      </c>
      <c r="M53" s="10">
        <f t="shared" si="31"/>
        <v>0.10171253132528921</v>
      </c>
      <c r="N53" s="10">
        <f t="shared" si="32"/>
        <v>3.3025241697766448E-4</v>
      </c>
      <c r="O53" s="10">
        <f t="shared" si="33"/>
        <v>1.939274143140559E-4</v>
      </c>
      <c r="P53" s="10">
        <f t="shared" si="34"/>
        <v>5.6497358245167128E-6</v>
      </c>
      <c r="Q53" s="54">
        <f t="shared" si="35"/>
        <v>1.7314896108987517E-2</v>
      </c>
      <c r="R53" s="10">
        <f t="shared" si="36"/>
        <v>4.2313655898761017E-4</v>
      </c>
      <c r="S53" s="10">
        <f t="shared" si="37"/>
        <v>5.0671098492842577E-4</v>
      </c>
      <c r="T53" s="10">
        <f t="shared" si="38"/>
        <v>0.29734658980076423</v>
      </c>
      <c r="U53" s="10">
        <f t="shared" si="39"/>
        <v>0.68440860261929015</v>
      </c>
      <c r="V53" s="10">
        <f t="shared" si="40"/>
        <v>6.2851815570458773E-8</v>
      </c>
      <c r="W53" s="10">
        <f t="shared" si="41"/>
        <v>1.0752265110246081E-9</v>
      </c>
      <c r="X53" s="163">
        <f t="shared" si="22"/>
        <v>0.99999999999999989</v>
      </c>
      <c r="Y53" s="54">
        <f t="shared" si="42"/>
        <v>0.51790920283575337</v>
      </c>
      <c r="Z53" s="54">
        <f t="shared" si="43"/>
        <v>1.5505074480947505E-2</v>
      </c>
      <c r="AA53" s="113"/>
    </row>
    <row r="54" spans="1:27" x14ac:dyDescent="0.2">
      <c r="A54" s="20">
        <f t="shared" si="23"/>
        <v>0.49000000000000027</v>
      </c>
      <c r="B54" s="23">
        <f t="shared" si="24"/>
        <v>0.01</v>
      </c>
      <c r="C54" s="12">
        <f t="shared" si="25"/>
        <v>0</v>
      </c>
      <c r="D54" s="12">
        <f t="shared" si="26"/>
        <v>1198.51644454703</v>
      </c>
      <c r="E54" s="23">
        <f t="shared" si="44"/>
        <v>0.23663310864643924</v>
      </c>
      <c r="F54" s="23">
        <f t="shared" si="27"/>
        <v>135.81209119912151</v>
      </c>
      <c r="G54" s="95">
        <f t="shared" si="45"/>
        <v>0.44615869990604018</v>
      </c>
      <c r="H54" s="95">
        <f t="shared" si="46"/>
        <v>0.25879244130860674</v>
      </c>
      <c r="I54" s="95">
        <f t="shared" si="47"/>
        <v>7.6990327429075382E-3</v>
      </c>
      <c r="J54" s="12">
        <f t="shared" si="28"/>
        <v>0</v>
      </c>
      <c r="K54" s="12">
        <f t="shared" si="29"/>
        <v>1335.2778190287554</v>
      </c>
      <c r="L54" s="54">
        <f t="shared" si="30"/>
        <v>1.7721638543996763E-4</v>
      </c>
      <c r="M54" s="10">
        <f t="shared" si="31"/>
        <v>0.10171073709432807</v>
      </c>
      <c r="N54" s="10">
        <f t="shared" si="32"/>
        <v>3.3413173913917314E-4</v>
      </c>
      <c r="O54" s="10">
        <f t="shared" si="33"/>
        <v>1.9381168294763205E-4</v>
      </c>
      <c r="P54" s="10">
        <f t="shared" si="34"/>
        <v>5.7658658244676035E-6</v>
      </c>
      <c r="Q54" s="54">
        <f t="shared" si="35"/>
        <v>1.7315253587831973E-2</v>
      </c>
      <c r="R54" s="10">
        <f t="shared" si="36"/>
        <v>4.1408326905753492E-4</v>
      </c>
      <c r="S54" s="10">
        <f t="shared" si="37"/>
        <v>5.0641904678850507E-4</v>
      </c>
      <c r="T54" s="10">
        <f t="shared" si="38"/>
        <v>0.29734748337498501</v>
      </c>
      <c r="U54" s="10">
        <f t="shared" si="39"/>
        <v>0.68441669603256716</v>
      </c>
      <c r="V54" s="10">
        <f t="shared" si="40"/>
        <v>6.3591419598332759E-8</v>
      </c>
      <c r="W54" s="10">
        <f t="shared" si="41"/>
        <v>1.0973503862160323E-9</v>
      </c>
      <c r="X54" s="163">
        <f t="shared" si="22"/>
        <v>1.0000000000000002</v>
      </c>
      <c r="Y54" s="54">
        <f t="shared" si="42"/>
        <v>0.5068328100176458</v>
      </c>
      <c r="Z54" s="54">
        <f t="shared" si="43"/>
        <v>1.5496283179845416E-2</v>
      </c>
      <c r="AA54" s="113"/>
    </row>
    <row r="55" spans="1:27" x14ac:dyDescent="0.2">
      <c r="A55" s="20">
        <f t="shared" si="23"/>
        <v>0.50000000000000022</v>
      </c>
      <c r="B55" s="23">
        <f t="shared" si="24"/>
        <v>0.01</v>
      </c>
      <c r="C55" s="12">
        <f t="shared" si="25"/>
        <v>0</v>
      </c>
      <c r="D55" s="12">
        <f t="shared" si="26"/>
        <v>1198.51644454703</v>
      </c>
      <c r="E55" s="23">
        <f t="shared" si="44"/>
        <v>0.23156478054626278</v>
      </c>
      <c r="F55" s="23">
        <f t="shared" si="27"/>
        <v>135.80947955365554</v>
      </c>
      <c r="G55" s="95">
        <f t="shared" si="45"/>
        <v>0.45122702800621661</v>
      </c>
      <c r="H55" s="95">
        <f t="shared" si="46"/>
        <v>0.25863747847680829</v>
      </c>
      <c r="I55" s="95">
        <f t="shared" si="47"/>
        <v>7.8539955747059919E-3</v>
      </c>
      <c r="J55" s="12">
        <f t="shared" si="28"/>
        <v>0</v>
      </c>
      <c r="K55" s="12">
        <f t="shared" si="29"/>
        <v>1335.2752073832899</v>
      </c>
      <c r="L55" s="54">
        <f t="shared" si="30"/>
        <v>1.7342101408447127E-4</v>
      </c>
      <c r="M55" s="10">
        <f t="shared" si="31"/>
        <v>0.10170898014335071</v>
      </c>
      <c r="N55" s="10">
        <f t="shared" si="32"/>
        <v>3.3792811063307056E-4</v>
      </c>
      <c r="O55" s="10">
        <f t="shared" si="33"/>
        <v>1.9369600891763324E-4</v>
      </c>
      <c r="P55" s="10">
        <f t="shared" si="34"/>
        <v>5.8819302053074871E-6</v>
      </c>
      <c r="Q55" s="54">
        <f t="shared" si="35"/>
        <v>1.7315603665520023E-2</v>
      </c>
      <c r="R55" s="10">
        <f t="shared" si="36"/>
        <v>4.0522320844028724E-4</v>
      </c>
      <c r="S55" s="10">
        <f t="shared" si="37"/>
        <v>5.0612702964991511E-4</v>
      </c>
      <c r="T55" s="10">
        <f t="shared" si="38"/>
        <v>0.29734835862677561</v>
      </c>
      <c r="U55" s="10">
        <f t="shared" si="39"/>
        <v>0.68442462203491283</v>
      </c>
      <c r="V55" s="10">
        <f t="shared" si="40"/>
        <v>6.4315239256604036E-8</v>
      </c>
      <c r="W55" s="10">
        <f t="shared" si="41"/>
        <v>1.1194622067288174E-9</v>
      </c>
      <c r="X55" s="163">
        <f t="shared" si="22"/>
        <v>1.0000000000000002</v>
      </c>
      <c r="Y55" s="54">
        <f t="shared" si="42"/>
        <v>0.49599263335176064</v>
      </c>
      <c r="Z55" s="54">
        <f t="shared" si="43"/>
        <v>1.5487486367892572E-2</v>
      </c>
      <c r="AA55" s="113"/>
    </row>
    <row r="56" spans="1:27" x14ac:dyDescent="0.2">
      <c r="A56" s="20">
        <f t="shared" si="23"/>
        <v>0.51000000000000023</v>
      </c>
      <c r="B56" s="23">
        <f t="shared" si="24"/>
        <v>0.01</v>
      </c>
      <c r="C56" s="12">
        <f t="shared" si="25"/>
        <v>0</v>
      </c>
      <c r="D56" s="12">
        <f t="shared" si="26"/>
        <v>1198.51644454703</v>
      </c>
      <c r="E56" s="23">
        <f t="shared" si="44"/>
        <v>0.22660485421274518</v>
      </c>
      <c r="F56" s="23">
        <f t="shared" si="27"/>
        <v>135.80692215305695</v>
      </c>
      <c r="G56" s="95">
        <f t="shared" si="45"/>
        <v>0.45618695433973422</v>
      </c>
      <c r="H56" s="95">
        <f t="shared" si="46"/>
        <v>0.25848260361312936</v>
      </c>
      <c r="I56" s="95">
        <f t="shared" si="47"/>
        <v>8.0088704383849182E-3</v>
      </c>
      <c r="J56" s="12">
        <f t="shared" si="28"/>
        <v>0</v>
      </c>
      <c r="K56" s="12">
        <f t="shared" si="29"/>
        <v>1335.2726499826911</v>
      </c>
      <c r="L56" s="54">
        <f t="shared" si="30"/>
        <v>1.6970680423633526E-4</v>
      </c>
      <c r="M56" s="10">
        <f t="shared" si="31"/>
        <v>0.10170725967825177</v>
      </c>
      <c r="N56" s="10">
        <f t="shared" si="32"/>
        <v>3.4164329985014497E-4</v>
      </c>
      <c r="O56" s="10">
        <f t="shared" si="33"/>
        <v>1.9358039245129452E-4</v>
      </c>
      <c r="P56" s="10">
        <f t="shared" si="34"/>
        <v>5.9979289162320041E-6</v>
      </c>
      <c r="Q56" s="54">
        <f t="shared" si="35"/>
        <v>1.7315946499083329E-2</v>
      </c>
      <c r="R56" s="10">
        <f t="shared" si="36"/>
        <v>3.9655227273129967E-4</v>
      </c>
      <c r="S56" s="10">
        <f t="shared" si="37"/>
        <v>5.0583493909031824E-4</v>
      </c>
      <c r="T56" s="10">
        <f t="shared" si="38"/>
        <v>0.2973492159442489</v>
      </c>
      <c r="U56" s="10">
        <f t="shared" si="39"/>
        <v>0.68443238417967456</v>
      </c>
      <c r="V56" s="10">
        <f t="shared" si="40"/>
        <v>6.5023609821692896E-8</v>
      </c>
      <c r="W56" s="10">
        <f t="shared" si="41"/>
        <v>1.1415619441633656E-9</v>
      </c>
      <c r="X56" s="163">
        <f t="shared" si="22"/>
        <v>1.0000000000000002</v>
      </c>
      <c r="Y56" s="54">
        <f t="shared" si="42"/>
        <v>0.4853836634642531</v>
      </c>
      <c r="Z56" s="54">
        <f t="shared" si="43"/>
        <v>1.5478684282914096E-2</v>
      </c>
      <c r="AA56" s="113"/>
    </row>
    <row r="57" spans="1:27" x14ac:dyDescent="0.2">
      <c r="A57" s="20">
        <f t="shared" si="23"/>
        <v>0.52000000000000024</v>
      </c>
      <c r="B57" s="23">
        <f t="shared" si="24"/>
        <v>0.01</v>
      </c>
      <c r="C57" s="12">
        <f t="shared" si="25"/>
        <v>0</v>
      </c>
      <c r="D57" s="12">
        <f t="shared" si="26"/>
        <v>1198.51644454703</v>
      </c>
      <c r="E57" s="23">
        <f t="shared" si="44"/>
        <v>0.22175101757810264</v>
      </c>
      <c r="F57" s="23">
        <f t="shared" si="27"/>
        <v>135.80441784131821</v>
      </c>
      <c r="G57" s="95">
        <f t="shared" si="45"/>
        <v>0.46104079097437672</v>
      </c>
      <c r="H57" s="95">
        <f t="shared" si="46"/>
        <v>0.2583278167703002</v>
      </c>
      <c r="I57" s="95">
        <f t="shared" si="47"/>
        <v>8.1636572812140585E-3</v>
      </c>
      <c r="J57" s="12">
        <f t="shared" si="28"/>
        <v>0</v>
      </c>
      <c r="K57" s="12">
        <f t="shared" si="29"/>
        <v>1335.2701456709519</v>
      </c>
      <c r="L57" s="54">
        <f t="shared" si="30"/>
        <v>1.6607202542274791E-4</v>
      </c>
      <c r="M57" s="10">
        <f t="shared" si="31"/>
        <v>0.10170557492175387</v>
      </c>
      <c r="N57" s="10">
        <f t="shared" si="32"/>
        <v>3.4527903770567049E-4</v>
      </c>
      <c r="O57" s="10">
        <f t="shared" si="33"/>
        <v>1.9346483377001932E-4</v>
      </c>
      <c r="P57" s="10">
        <f t="shared" si="34"/>
        <v>6.1138619085293417E-6</v>
      </c>
      <c r="Q57" s="54">
        <f t="shared" si="35"/>
        <v>1.7316282242251631E-2</v>
      </c>
      <c r="R57" s="10">
        <f t="shared" si="36"/>
        <v>3.8806644387499807E-4</v>
      </c>
      <c r="S57" s="10">
        <f t="shared" si="37"/>
        <v>5.0554278056444868E-4</v>
      </c>
      <c r="T57" s="10">
        <f t="shared" si="38"/>
        <v>0.29735005570737888</v>
      </c>
      <c r="U57" s="10">
        <f t="shared" si="39"/>
        <v>0.6844399859454211</v>
      </c>
      <c r="V57" s="10">
        <f t="shared" si="40"/>
        <v>6.5716859516440802E-8</v>
      </c>
      <c r="W57" s="10">
        <f t="shared" si="41"/>
        <v>1.163649571128143E-9</v>
      </c>
      <c r="X57" s="163">
        <f t="shared" si="22"/>
        <v>1.0000000000000002</v>
      </c>
      <c r="Y57" s="54">
        <f t="shared" si="42"/>
        <v>0.47500099602642287</v>
      </c>
      <c r="Z57" s="54">
        <f t="shared" si="43"/>
        <v>1.5469877157531941E-2</v>
      </c>
      <c r="AA57" s="113"/>
    </row>
    <row r="58" spans="1:27" x14ac:dyDescent="0.2">
      <c r="A58" s="20">
        <f t="shared" si="23"/>
        <v>0.53000000000000025</v>
      </c>
      <c r="B58" s="23">
        <f t="shared" si="24"/>
        <v>0.01</v>
      </c>
      <c r="C58" s="12">
        <f t="shared" si="25"/>
        <v>0</v>
      </c>
      <c r="D58" s="12">
        <f t="shared" si="26"/>
        <v>1198.51644454703</v>
      </c>
      <c r="E58" s="23">
        <f t="shared" si="44"/>
        <v>0.21700100761783842</v>
      </c>
      <c r="F58" s="23">
        <f t="shared" si="27"/>
        <v>135.8019654869523</v>
      </c>
      <c r="G58" s="95">
        <f t="shared" si="45"/>
        <v>0.46579080093464098</v>
      </c>
      <c r="H58" s="95">
        <f t="shared" si="46"/>
        <v>0.25817311799872489</v>
      </c>
      <c r="I58" s="95">
        <f t="shared" si="47"/>
        <v>8.3183560527893777E-3</v>
      </c>
      <c r="J58" s="12">
        <f t="shared" si="28"/>
        <v>0</v>
      </c>
      <c r="K58" s="12">
        <f t="shared" si="29"/>
        <v>1335.2676933165862</v>
      </c>
      <c r="L58" s="54">
        <f t="shared" si="30"/>
        <v>1.6251498385229667E-4</v>
      </c>
      <c r="M58" s="10">
        <f t="shared" si="31"/>
        <v>0.10170392511305539</v>
      </c>
      <c r="N58" s="10">
        <f t="shared" si="32"/>
        <v>3.4883701842414302E-4</v>
      </c>
      <c r="O58" s="10">
        <f t="shared" si="33"/>
        <v>1.9334933308950592E-4</v>
      </c>
      <c r="P58" s="10">
        <f t="shared" si="34"/>
        <v>6.2297291355323248E-6</v>
      </c>
      <c r="Q58" s="54">
        <f t="shared" si="35"/>
        <v>1.7316611045520812E-2</v>
      </c>
      <c r="R58" s="10">
        <f t="shared" si="36"/>
        <v>3.7976178838335133E-4</v>
      </c>
      <c r="S58" s="10">
        <f t="shared" si="37"/>
        <v>5.0525055940672543E-4</v>
      </c>
      <c r="T58" s="10">
        <f t="shared" si="38"/>
        <v>0.29735087828816836</v>
      </c>
      <c r="U58" s="10">
        <f t="shared" si="39"/>
        <v>0.68444743073748604</v>
      </c>
      <c r="V58" s="10">
        <f t="shared" si="40"/>
        <v>6.6395309655631112E-8</v>
      </c>
      <c r="W58" s="10">
        <f t="shared" si="41"/>
        <v>1.1857250612131389E-9</v>
      </c>
      <c r="X58" s="163">
        <f t="shared" si="22"/>
        <v>1</v>
      </c>
      <c r="Y58" s="54">
        <f t="shared" si="42"/>
        <v>0.46483982960210879</v>
      </c>
      <c r="Z58" s="54">
        <f t="shared" si="43"/>
        <v>1.546106521927508E-2</v>
      </c>
      <c r="AA58" s="113"/>
    </row>
    <row r="59" spans="1:27" x14ac:dyDescent="0.2">
      <c r="A59" s="20">
        <f t="shared" si="23"/>
        <v>0.54000000000000026</v>
      </c>
      <c r="B59" s="23">
        <f t="shared" si="24"/>
        <v>0.01</v>
      </c>
      <c r="C59" s="12">
        <f t="shared" si="25"/>
        <v>0</v>
      </c>
      <c r="D59" s="12">
        <f t="shared" si="26"/>
        <v>1198.51644454703</v>
      </c>
      <c r="E59" s="23">
        <f t="shared" si="44"/>
        <v>0.21235260932181732</v>
      </c>
      <c r="F59" s="23">
        <f t="shared" si="27"/>
        <v>135.79956398247819</v>
      </c>
      <c r="G59" s="95">
        <f t="shared" si="45"/>
        <v>0.47043919923066208</v>
      </c>
      <c r="H59" s="95">
        <f t="shared" si="46"/>
        <v>0.25801850734653214</v>
      </c>
      <c r="I59" s="95">
        <f t="shared" si="47"/>
        <v>8.4729667049821284E-3</v>
      </c>
      <c r="J59" s="12">
        <f t="shared" si="28"/>
        <v>0</v>
      </c>
      <c r="K59" s="12">
        <f t="shared" si="29"/>
        <v>1335.2652918121125</v>
      </c>
      <c r="L59" s="54">
        <f t="shared" si="30"/>
        <v>1.590340216464623E-4</v>
      </c>
      <c r="M59" s="10">
        <f t="shared" si="31"/>
        <v>0.10170230950748534</v>
      </c>
      <c r="N59" s="10">
        <f t="shared" si="32"/>
        <v>3.5231890030798345E-4</v>
      </c>
      <c r="O59" s="10">
        <f t="shared" si="33"/>
        <v>1.9323389061987119E-4</v>
      </c>
      <c r="P59" s="10">
        <f t="shared" si="34"/>
        <v>6.3455305525715511E-6</v>
      </c>
      <c r="Q59" s="54">
        <f t="shared" si="35"/>
        <v>1.7316933056219588E-2</v>
      </c>
      <c r="R59" s="10">
        <f t="shared" si="36"/>
        <v>3.7163445558968135E-4</v>
      </c>
      <c r="S59" s="10">
        <f t="shared" si="37"/>
        <v>5.0495828083381216E-4</v>
      </c>
      <c r="T59" s="10">
        <f t="shared" si="38"/>
        <v>0.29735168405081208</v>
      </c>
      <c r="U59" s="10">
        <f t="shared" si="39"/>
        <v>0.68445472188948153</v>
      </c>
      <c r="V59" s="10">
        <f t="shared" si="40"/>
        <v>6.7059274788629569E-8</v>
      </c>
      <c r="W59" s="10">
        <f t="shared" si="41"/>
        <v>1.2077883889639789E-9</v>
      </c>
      <c r="X59" s="163">
        <f t="shared" si="22"/>
        <v>0.99999999999999989</v>
      </c>
      <c r="Y59" s="54">
        <f t="shared" si="42"/>
        <v>0.45489546353706328</v>
      </c>
      <c r="Z59" s="54">
        <f t="shared" si="43"/>
        <v>1.5452248690687337E-2</v>
      </c>
      <c r="AA59" s="113"/>
    </row>
    <row r="60" spans="1:27" x14ac:dyDescent="0.2">
      <c r="A60" s="20">
        <f t="shared" si="23"/>
        <v>0.55000000000000027</v>
      </c>
      <c r="B60" s="23">
        <f t="shared" si="24"/>
        <v>0.01</v>
      </c>
      <c r="C60" s="12">
        <f t="shared" si="25"/>
        <v>0</v>
      </c>
      <c r="D60" s="12">
        <f t="shared" si="26"/>
        <v>1198.51644454703</v>
      </c>
      <c r="E60" s="23">
        <f t="shared" si="44"/>
        <v>0.20780365468644668</v>
      </c>
      <c r="F60" s="23">
        <f t="shared" si="27"/>
        <v>135.79721224391704</v>
      </c>
      <c r="G60" s="95">
        <f t="shared" si="45"/>
        <v>0.47498815386603271</v>
      </c>
      <c r="H60" s="95">
        <f t="shared" si="46"/>
        <v>0.25786398485962525</v>
      </c>
      <c r="I60" s="95">
        <f t="shared" si="47"/>
        <v>8.6274891918890016E-3</v>
      </c>
      <c r="J60" s="12">
        <f t="shared" si="28"/>
        <v>0</v>
      </c>
      <c r="K60" s="12">
        <f t="shared" si="29"/>
        <v>1335.2629400735509</v>
      </c>
      <c r="L60" s="54">
        <f t="shared" si="30"/>
        <v>1.5562751608683167E-4</v>
      </c>
      <c r="M60" s="10">
        <f t="shared" si="31"/>
        <v>0.10170072737616523</v>
      </c>
      <c r="N60" s="10">
        <f t="shared" si="32"/>
        <v>3.5572630649051694E-4</v>
      </c>
      <c r="O60" s="10">
        <f t="shared" si="33"/>
        <v>1.9311850656577139E-4</v>
      </c>
      <c r="P60" s="10">
        <f t="shared" si="34"/>
        <v>6.4612661169295761E-6</v>
      </c>
      <c r="Q60" s="54">
        <f t="shared" si="35"/>
        <v>1.7317248418574901E-2</v>
      </c>
      <c r="R60" s="10">
        <f t="shared" si="36"/>
        <v>3.6368067593710117E-4</v>
      </c>
      <c r="S60" s="10">
        <f t="shared" si="37"/>
        <v>5.0466594994712428E-4</v>
      </c>
      <c r="T60" s="10">
        <f t="shared" si="38"/>
        <v>0.29735247335185727</v>
      </c>
      <c r="U60" s="10">
        <f t="shared" si="39"/>
        <v>0.68446186266478115</v>
      </c>
      <c r="V60" s="10">
        <f t="shared" si="40"/>
        <v>6.770906283919612E-8</v>
      </c>
      <c r="W60" s="10">
        <f t="shared" si="41"/>
        <v>1.2298395298566876E-9</v>
      </c>
      <c r="X60" s="163">
        <f t="shared" si="22"/>
        <v>0.99999999999999989</v>
      </c>
      <c r="Y60" s="54">
        <f t="shared" si="42"/>
        <v>0.4451632958895802</v>
      </c>
      <c r="Z60" s="54">
        <f t="shared" si="43"/>
        <v>1.5443427789433108E-2</v>
      </c>
      <c r="AA60" s="113"/>
    </row>
    <row r="61" spans="1:27" x14ac:dyDescent="0.2">
      <c r="A61" s="20">
        <f t="shared" si="23"/>
        <v>0.56000000000000028</v>
      </c>
      <c r="B61" s="23">
        <f t="shared" si="24"/>
        <v>0.01</v>
      </c>
      <c r="C61" s="12">
        <f t="shared" si="25"/>
        <v>0</v>
      </c>
      <c r="D61" s="12">
        <f t="shared" si="26"/>
        <v>1198.51644454703</v>
      </c>
      <c r="E61" s="23">
        <f t="shared" si="44"/>
        <v>0.20335202172755087</v>
      </c>
      <c r="F61" s="23">
        <f t="shared" si="27"/>
        <v>135.79490921029864</v>
      </c>
      <c r="G61" s="95">
        <f t="shared" si="45"/>
        <v>0.47943978682492849</v>
      </c>
      <c r="H61" s="95">
        <f t="shared" si="46"/>
        <v>0.2577095505817309</v>
      </c>
      <c r="I61" s="95">
        <f t="shared" si="47"/>
        <v>8.7819234697833325E-3</v>
      </c>
      <c r="J61" s="12">
        <f t="shared" si="28"/>
        <v>0</v>
      </c>
      <c r="K61" s="12">
        <f t="shared" si="29"/>
        <v>1335.2606370399326</v>
      </c>
      <c r="L61" s="54">
        <f t="shared" si="30"/>
        <v>1.5229387887772311E-4</v>
      </c>
      <c r="M61" s="10">
        <f t="shared" si="31"/>
        <v>0.10169917800567765</v>
      </c>
      <c r="N61" s="10">
        <f t="shared" si="32"/>
        <v>3.5906082567353499E-4</v>
      </c>
      <c r="O61" s="10">
        <f t="shared" si="33"/>
        <v>1.9300318112652022E-4</v>
      </c>
      <c r="P61" s="10">
        <f t="shared" si="34"/>
        <v>6.5769357877960856E-6</v>
      </c>
      <c r="Q61" s="54">
        <f t="shared" si="35"/>
        <v>1.731755727377603E-2</v>
      </c>
      <c r="R61" s="10">
        <f t="shared" si="36"/>
        <v>3.5589675930095183E-4</v>
      </c>
      <c r="S61" s="10">
        <f t="shared" si="37"/>
        <v>5.0437357173528316E-4</v>
      </c>
      <c r="T61" s="10">
        <f t="shared" si="38"/>
        <v>0.29735324654036049</v>
      </c>
      <c r="U61" s="10">
        <f t="shared" si="39"/>
        <v>0.68446885625797371</v>
      </c>
      <c r="V61" s="10">
        <f t="shared" si="40"/>
        <v>6.834497524251928E-8</v>
      </c>
      <c r="W61" s="10">
        <f t="shared" si="41"/>
        <v>1.2518784602730709E-9</v>
      </c>
      <c r="X61" s="163">
        <f t="shared" si="22"/>
        <v>1.0000000000000002</v>
      </c>
      <c r="Y61" s="54">
        <f t="shared" si="42"/>
        <v>0.43563882140165527</v>
      </c>
      <c r="Z61" s="54">
        <f t="shared" si="43"/>
        <v>1.5434602728400856E-2</v>
      </c>
      <c r="AA61" s="113"/>
    </row>
    <row r="62" spans="1:27" x14ac:dyDescent="0.2">
      <c r="A62" s="20">
        <f t="shared" si="23"/>
        <v>0.57000000000000028</v>
      </c>
      <c r="B62" s="23">
        <f t="shared" si="24"/>
        <v>0.01</v>
      </c>
      <c r="C62" s="12">
        <f t="shared" si="25"/>
        <v>0</v>
      </c>
      <c r="D62" s="12">
        <f t="shared" si="26"/>
        <v>1198.51644454703</v>
      </c>
      <c r="E62" s="23">
        <f t="shared" si="44"/>
        <v>0.19899563351353433</v>
      </c>
      <c r="F62" s="23">
        <f t="shared" si="27"/>
        <v>135.79265384317799</v>
      </c>
      <c r="G62" s="95">
        <f t="shared" si="45"/>
        <v>0.48379617503894506</v>
      </c>
      <c r="H62" s="95">
        <f t="shared" si="46"/>
        <v>0.25755520455444686</v>
      </c>
      <c r="I62" s="95">
        <f t="shared" si="47"/>
        <v>8.9362694970673406E-3</v>
      </c>
      <c r="J62" s="12">
        <f t="shared" si="28"/>
        <v>0</v>
      </c>
      <c r="K62" s="12">
        <f t="shared" si="29"/>
        <v>1335.2583816728118</v>
      </c>
      <c r="L62" s="54">
        <f t="shared" si="30"/>
        <v>1.490315554239267E-4</v>
      </c>
      <c r="M62" s="10">
        <f t="shared" si="31"/>
        <v>0.10169766069774222</v>
      </c>
      <c r="N62" s="10">
        <f t="shared" si="32"/>
        <v>3.6232401284974164E-4</v>
      </c>
      <c r="O62" s="10">
        <f t="shared" si="33"/>
        <v>1.9288791449620536E-4</v>
      </c>
      <c r="P62" s="10">
        <f t="shared" si="34"/>
        <v>6.6925395262241168E-6</v>
      </c>
      <c r="Q62" s="54">
        <f t="shared" si="35"/>
        <v>1.7317859760037371E-2</v>
      </c>
      <c r="R62" s="10">
        <f t="shared" si="36"/>
        <v>3.4827909334462717E-4</v>
      </c>
      <c r="S62" s="10">
        <f t="shared" si="37"/>
        <v>5.0408115107652279E-4</v>
      </c>
      <c r="T62" s="10">
        <f t="shared" si="38"/>
        <v>0.29735400395804173</v>
      </c>
      <c r="U62" s="10">
        <f t="shared" si="39"/>
        <v>0.68447570579628758</v>
      </c>
      <c r="V62" s="10">
        <f t="shared" si="40"/>
        <v>6.8967307079523543E-8</v>
      </c>
      <c r="W62" s="10">
        <f t="shared" si="41"/>
        <v>1.2739051574767213E-9</v>
      </c>
      <c r="X62" s="163">
        <f t="shared" si="22"/>
        <v>1</v>
      </c>
      <c r="Y62" s="54">
        <f t="shared" si="42"/>
        <v>0.42631762950997637</v>
      </c>
      <c r="Z62" s="54">
        <f t="shared" si="43"/>
        <v>1.5425773715804584E-2</v>
      </c>
      <c r="AA62" s="113"/>
    </row>
    <row r="63" spans="1:27" x14ac:dyDescent="0.2">
      <c r="A63" s="20">
        <f t="shared" si="23"/>
        <v>0.58000000000000029</v>
      </c>
      <c r="B63" s="23">
        <f t="shared" si="24"/>
        <v>0.01</v>
      </c>
      <c r="C63" s="12">
        <f t="shared" si="25"/>
        <v>0</v>
      </c>
      <c r="D63" s="12">
        <f t="shared" si="26"/>
        <v>1198.51644454703</v>
      </c>
      <c r="E63" s="23">
        <f t="shared" si="44"/>
        <v>0.19473245721843457</v>
      </c>
      <c r="F63" s="23">
        <f t="shared" si="27"/>
        <v>135.79044512616187</v>
      </c>
      <c r="G63" s="95">
        <f t="shared" si="45"/>
        <v>0.48805935133404482</v>
      </c>
      <c r="H63" s="95">
        <f t="shared" si="46"/>
        <v>0.25740094681728881</v>
      </c>
      <c r="I63" s="95">
        <f t="shared" si="47"/>
        <v>9.0905272342253866E-3</v>
      </c>
      <c r="J63" s="12">
        <f t="shared" si="28"/>
        <v>0</v>
      </c>
      <c r="K63" s="12">
        <f t="shared" si="29"/>
        <v>1335.2561729557958</v>
      </c>
      <c r="L63" s="54">
        <f t="shared" si="30"/>
        <v>1.4583902412326183E-4</v>
      </c>
      <c r="M63" s="10">
        <f t="shared" si="31"/>
        <v>0.10169617476889753</v>
      </c>
      <c r="N63" s="10">
        <f t="shared" si="32"/>
        <v>3.6551739001037533E-4</v>
      </c>
      <c r="O63" s="10">
        <f t="shared" si="33"/>
        <v>1.9277270686380131E-4</v>
      </c>
      <c r="P63" s="10">
        <f t="shared" si="34"/>
        <v>6.8080772950872042E-6</v>
      </c>
      <c r="Q63" s="54">
        <f t="shared" si="35"/>
        <v>1.7318156012660069E-2</v>
      </c>
      <c r="R63" s="10">
        <f t="shared" si="36"/>
        <v>3.4082414190817422E-4</v>
      </c>
      <c r="S63" s="10">
        <f t="shared" si="37"/>
        <v>5.0378869274104489E-4</v>
      </c>
      <c r="T63" s="10">
        <f t="shared" si="38"/>
        <v>0.297354745939436</v>
      </c>
      <c r="U63" s="10">
        <f t="shared" si="39"/>
        <v>0.68448241434098789</v>
      </c>
      <c r="V63" s="10">
        <f t="shared" si="40"/>
        <v>6.9576347208499346E-8</v>
      </c>
      <c r="W63" s="10">
        <f t="shared" si="41"/>
        <v>1.2959195995896194E-9</v>
      </c>
      <c r="X63" s="163">
        <f t="shared" si="22"/>
        <v>1</v>
      </c>
      <c r="Y63" s="54">
        <f t="shared" si="42"/>
        <v>0.41719540239603548</v>
      </c>
      <c r="Z63" s="54">
        <f t="shared" si="43"/>
        <v>1.5416940955283193E-2</v>
      </c>
      <c r="AA63" s="113"/>
    </row>
    <row r="64" spans="1:27" x14ac:dyDescent="0.2">
      <c r="A64" s="20">
        <f t="shared" si="23"/>
        <v>0.5900000000000003</v>
      </c>
      <c r="B64" s="23">
        <f t="shared" si="24"/>
        <v>0.01</v>
      </c>
      <c r="C64" s="12">
        <f t="shared" si="25"/>
        <v>0</v>
      </c>
      <c r="D64" s="12">
        <f t="shared" si="26"/>
        <v>1198.51644454703</v>
      </c>
      <c r="E64" s="23">
        <f t="shared" si="44"/>
        <v>0.19056050319447421</v>
      </c>
      <c r="F64" s="23">
        <f t="shared" si="27"/>
        <v>135.78828206444513</v>
      </c>
      <c r="G64" s="95">
        <f t="shared" si="45"/>
        <v>0.49223130535800519</v>
      </c>
      <c r="H64" s="95">
        <f t="shared" si="46"/>
        <v>0.25724677740773599</v>
      </c>
      <c r="I64" s="95">
        <f t="shared" si="47"/>
        <v>9.2446966437782184E-3</v>
      </c>
      <c r="J64" s="12">
        <f t="shared" si="28"/>
        <v>0</v>
      </c>
      <c r="K64" s="12">
        <f t="shared" si="29"/>
        <v>1335.2540098940792</v>
      </c>
      <c r="L64" s="54">
        <f t="shared" si="30"/>
        <v>1.4271479567366411E-4</v>
      </c>
      <c r="M64" s="10">
        <f t="shared" si="31"/>
        <v>0.10169471955019009</v>
      </c>
      <c r="N64" s="10">
        <f t="shared" si="32"/>
        <v>3.6864244683830016E-4</v>
      </c>
      <c r="O64" s="10">
        <f t="shared" si="33"/>
        <v>1.9265755841328081E-4</v>
      </c>
      <c r="P64" s="10">
        <f t="shared" si="34"/>
        <v>6.9235490590375135E-6</v>
      </c>
      <c r="Q64" s="54">
        <f t="shared" si="35"/>
        <v>1.7318446164092297E-2</v>
      </c>
      <c r="R64" s="10">
        <f t="shared" si="36"/>
        <v>3.3352844342906943E-4</v>
      </c>
      <c r="S64" s="10">
        <f t="shared" si="37"/>
        <v>5.0349620139332539E-4</v>
      </c>
      <c r="T64" s="10">
        <f t="shared" si="38"/>
        <v>0.29735547281204106</v>
      </c>
      <c r="U64" s="10">
        <f t="shared" si="39"/>
        <v>0.68448898488874399</v>
      </c>
      <c r="V64" s="10">
        <f t="shared" si="40"/>
        <v>7.0172378394104468E-8</v>
      </c>
      <c r="W64" s="10">
        <f t="shared" si="41"/>
        <v>1.3179217655693189E-9</v>
      </c>
      <c r="X64" s="163">
        <f t="shared" si="22"/>
        <v>0.99999999999999989</v>
      </c>
      <c r="Y64" s="54">
        <f t="shared" si="42"/>
        <v>0.40826791307467108</v>
      </c>
      <c r="Z64" s="54">
        <f t="shared" si="43"/>
        <v>1.5408104645997749E-2</v>
      </c>
      <c r="AA64" s="113"/>
    </row>
    <row r="65" spans="1:27" x14ac:dyDescent="0.2">
      <c r="A65" s="20">
        <f t="shared" si="23"/>
        <v>0.60000000000000031</v>
      </c>
      <c r="B65" s="23">
        <f t="shared" si="24"/>
        <v>0.01</v>
      </c>
      <c r="C65" s="12">
        <f t="shared" si="25"/>
        <v>0</v>
      </c>
      <c r="D65" s="12">
        <f t="shared" si="26"/>
        <v>1198.51644454703</v>
      </c>
      <c r="E65" s="23">
        <f t="shared" si="44"/>
        <v>0.18647782406372748</v>
      </c>
      <c r="F65" s="23">
        <f t="shared" si="27"/>
        <v>135.78616368435652</v>
      </c>
      <c r="G65" s="95">
        <f t="shared" si="45"/>
        <v>0.49631398448875191</v>
      </c>
      <c r="H65" s="95">
        <f t="shared" si="46"/>
        <v>0.25709269636127602</v>
      </c>
      <c r="I65" s="95">
        <f t="shared" si="47"/>
        <v>9.3987776902381952E-3</v>
      </c>
      <c r="J65" s="12">
        <f t="shared" si="28"/>
        <v>0</v>
      </c>
      <c r="K65" s="12">
        <f t="shared" si="29"/>
        <v>1335.2518915139906</v>
      </c>
      <c r="L65" s="54">
        <f t="shared" si="30"/>
        <v>1.3965741239451641E-4</v>
      </c>
      <c r="M65" s="10">
        <f t="shared" si="31"/>
        <v>0.10169329438686946</v>
      </c>
      <c r="N65" s="10">
        <f t="shared" si="32"/>
        <v>3.7170064138684775E-4</v>
      </c>
      <c r="O65" s="10">
        <f t="shared" si="33"/>
        <v>1.9254246932372328E-4</v>
      </c>
      <c r="P65" s="10">
        <f t="shared" si="34"/>
        <v>7.0389547844648874E-6</v>
      </c>
      <c r="Q65" s="54">
        <f t="shared" si="35"/>
        <v>1.7318730343988443E-2</v>
      </c>
      <c r="R65" s="10">
        <f t="shared" si="36"/>
        <v>3.2638860939458313E-4</v>
      </c>
      <c r="S65" s="10">
        <f t="shared" si="37"/>
        <v>5.0320368159437439E-4</v>
      </c>
      <c r="T65" s="10">
        <f t="shared" si="38"/>
        <v>0.29735618489646254</v>
      </c>
      <c r="U65" s="10">
        <f t="shared" si="39"/>
        <v>0.68449542037297106</v>
      </c>
      <c r="V65" s="10">
        <f t="shared" si="40"/>
        <v>7.0755677433785459E-8</v>
      </c>
      <c r="W65" s="10">
        <f t="shared" si="41"/>
        <v>1.3399116351867055E-9</v>
      </c>
      <c r="X65" s="163">
        <f t="shared" si="22"/>
        <v>1</v>
      </c>
      <c r="Y65" s="54">
        <f t="shared" si="42"/>
        <v>0.39953102352036246</v>
      </c>
      <c r="Z65" s="54">
        <f t="shared" si="43"/>
        <v>1.5399264982726906E-2</v>
      </c>
      <c r="AA65" s="113"/>
    </row>
    <row r="66" spans="1:27" x14ac:dyDescent="0.2">
      <c r="A66" s="20">
        <f t="shared" si="23"/>
        <v>0.61000000000000032</v>
      </c>
      <c r="B66" s="23">
        <f t="shared" si="24"/>
        <v>0.01</v>
      </c>
      <c r="C66" s="12">
        <f t="shared" si="25"/>
        <v>0</v>
      </c>
      <c r="D66" s="12">
        <f t="shared" si="26"/>
        <v>1198.51644454703</v>
      </c>
      <c r="E66" s="23">
        <f t="shared" si="44"/>
        <v>0.18248251382852385</v>
      </c>
      <c r="F66" s="23">
        <f t="shared" si="27"/>
        <v>135.78408903291401</v>
      </c>
      <c r="G66" s="95">
        <f t="shared" si="45"/>
        <v>0.50030929472395558</v>
      </c>
      <c r="H66" s="95">
        <f t="shared" si="46"/>
        <v>0.25693870371144872</v>
      </c>
      <c r="I66" s="95">
        <f t="shared" si="47"/>
        <v>9.552770340065464E-3</v>
      </c>
      <c r="J66" s="12">
        <f t="shared" si="28"/>
        <v>0</v>
      </c>
      <c r="K66" s="12">
        <f t="shared" si="29"/>
        <v>1335.2498168625482</v>
      </c>
      <c r="L66" s="54">
        <f t="shared" si="30"/>
        <v>1.3666544756194395E-4</v>
      </c>
      <c r="M66" s="10">
        <f t="shared" si="31"/>
        <v>0.10169189863808964</v>
      </c>
      <c r="N66" s="10">
        <f t="shared" si="32"/>
        <v>3.7469340074469215E-4</v>
      </c>
      <c r="O66" s="10">
        <f t="shared" si="33"/>
        <v>1.9242743976942124E-4</v>
      </c>
      <c r="P66" s="10">
        <f t="shared" si="34"/>
        <v>7.1542944394568185E-6</v>
      </c>
      <c r="Q66" s="54">
        <f t="shared" si="35"/>
        <v>1.7319008679267028E-2</v>
      </c>
      <c r="R66" s="10">
        <f t="shared" si="36"/>
        <v>3.1940132282514539E-4</v>
      </c>
      <c r="S66" s="10">
        <f t="shared" si="37"/>
        <v>5.029111378039476E-4</v>
      </c>
      <c r="T66" s="10">
        <f t="shared" si="38"/>
        <v>0.29735688250655612</v>
      </c>
      <c r="U66" s="10">
        <f t="shared" si="39"/>
        <v>0.68450172366514339</v>
      </c>
      <c r="V66" s="10">
        <f t="shared" si="40"/>
        <v>7.1326515281666329E-8</v>
      </c>
      <c r="W66" s="10">
        <f t="shared" si="41"/>
        <v>1.3618891890043141E-9</v>
      </c>
      <c r="X66" s="163">
        <f t="shared" si="22"/>
        <v>1</v>
      </c>
      <c r="Y66" s="54">
        <f t="shared" si="42"/>
        <v>0.3909806828305929</v>
      </c>
      <c r="Z66" s="54">
        <f t="shared" si="43"/>
        <v>1.5390422155960155E-2</v>
      </c>
      <c r="AA66" s="113"/>
    </row>
    <row r="67" spans="1:27" x14ac:dyDescent="0.2">
      <c r="A67" s="20">
        <f t="shared" si="23"/>
        <v>0.62000000000000033</v>
      </c>
      <c r="B67" s="23">
        <f t="shared" si="24"/>
        <v>0.01</v>
      </c>
      <c r="C67" s="12">
        <f t="shared" si="25"/>
        <v>0</v>
      </c>
      <c r="D67" s="12">
        <f t="shared" si="26"/>
        <v>1198.51644454703</v>
      </c>
      <c r="E67" s="23">
        <f t="shared" si="44"/>
        <v>0.17857270700021791</v>
      </c>
      <c r="F67" s="23">
        <f t="shared" si="27"/>
        <v>135.78205717738908</v>
      </c>
      <c r="G67" s="95">
        <f t="shared" si="45"/>
        <v>0.50421910155226146</v>
      </c>
      <c r="H67" s="95">
        <f t="shared" si="46"/>
        <v>0.25678479948988914</v>
      </c>
      <c r="I67" s="95">
        <f t="shared" si="47"/>
        <v>9.7066745616250661E-3</v>
      </c>
      <c r="J67" s="12">
        <f t="shared" si="28"/>
        <v>0</v>
      </c>
      <c r="K67" s="12">
        <f t="shared" si="29"/>
        <v>1335.2477850070231</v>
      </c>
      <c r="L67" s="54">
        <f t="shared" si="30"/>
        <v>1.3373750475779942E-4</v>
      </c>
      <c r="M67" s="10">
        <f t="shared" si="31"/>
        <v>0.10169053167661678</v>
      </c>
      <c r="N67" s="10">
        <f t="shared" si="32"/>
        <v>3.7762212168703158E-4</v>
      </c>
      <c r="O67" s="10">
        <f t="shared" si="33"/>
        <v>1.9231246991998456E-4</v>
      </c>
      <c r="P67" s="10">
        <f t="shared" si="34"/>
        <v>7.2695679937593092E-6</v>
      </c>
      <c r="Q67" s="54">
        <f t="shared" si="35"/>
        <v>1.7319281294167526E-2</v>
      </c>
      <c r="R67" s="10">
        <f t="shared" si="36"/>
        <v>3.1256333678814454E-4</v>
      </c>
      <c r="S67" s="10">
        <f t="shared" si="37"/>
        <v>5.0261857438271417E-4</v>
      </c>
      <c r="T67" s="10">
        <f t="shared" si="38"/>
        <v>0.29735756594956753</v>
      </c>
      <c r="U67" s="10">
        <f t="shared" si="39"/>
        <v>0.68450789757608244</v>
      </c>
      <c r="V67" s="10">
        <f t="shared" si="40"/>
        <v>7.188515716995168E-8</v>
      </c>
      <c r="W67" s="10">
        <f t="shared" si="41"/>
        <v>1.3838544083551889E-9</v>
      </c>
      <c r="X67" s="163">
        <f t="shared" si="22"/>
        <v>0.99999999999999989</v>
      </c>
      <c r="Y67" s="54">
        <f t="shared" si="42"/>
        <v>0.38261292542562531</v>
      </c>
      <c r="Z67" s="54">
        <f t="shared" si="43"/>
        <v>1.5381576351989378E-2</v>
      </c>
      <c r="AA67" s="113"/>
    </row>
    <row r="68" spans="1:27" x14ac:dyDescent="0.2">
      <c r="A68" s="20">
        <f t="shared" si="23"/>
        <v>0.63000000000000034</v>
      </c>
      <c r="B68" s="23">
        <f t="shared" si="24"/>
        <v>0.01</v>
      </c>
      <c r="C68" s="12">
        <f t="shared" si="25"/>
        <v>0</v>
      </c>
      <c r="D68" s="12">
        <f t="shared" si="26"/>
        <v>1198.51644454703</v>
      </c>
      <c r="E68" s="23">
        <f t="shared" si="44"/>
        <v>0.17474657774596164</v>
      </c>
      <c r="F68" s="23">
        <f t="shared" si="27"/>
        <v>135.7800672048802</v>
      </c>
      <c r="G68" s="95">
        <f t="shared" si="45"/>
        <v>0.50804523080651776</v>
      </c>
      <c r="H68" s="95">
        <f t="shared" si="46"/>
        <v>0.25663098372636922</v>
      </c>
      <c r="I68" s="95">
        <f t="shared" si="47"/>
        <v>9.8604903251449591E-3</v>
      </c>
      <c r="J68" s="12">
        <f t="shared" si="28"/>
        <v>0</v>
      </c>
      <c r="K68" s="12">
        <f t="shared" si="29"/>
        <v>1335.2457950345142</v>
      </c>
      <c r="L68" s="54">
        <f t="shared" si="30"/>
        <v>1.3087221723206752E-4</v>
      </c>
      <c r="M68" s="10">
        <f t="shared" si="31"/>
        <v>0.10168919288854264</v>
      </c>
      <c r="N68" s="10">
        <f t="shared" si="32"/>
        <v>3.8048817131334649E-4</v>
      </c>
      <c r="O68" s="10">
        <f t="shared" si="33"/>
        <v>1.9219755994044204E-4</v>
      </c>
      <c r="P68" s="10">
        <f t="shared" si="34"/>
        <v>7.3847754187385996E-6</v>
      </c>
      <c r="Q68" s="54">
        <f t="shared" si="35"/>
        <v>1.7319548310306025E-2</v>
      </c>
      <c r="R68" s="10">
        <f t="shared" si="36"/>
        <v>3.0587147294158838E-4</v>
      </c>
      <c r="S68" s="10">
        <f t="shared" si="37"/>
        <v>5.0232599559437807E-4</v>
      </c>
      <c r="T68" s="10">
        <f t="shared" si="38"/>
        <v>0.29735823552626878</v>
      </c>
      <c r="U68" s="10">
        <f t="shared" si="39"/>
        <v>0.68451394485721928</v>
      </c>
      <c r="V68" s="10">
        <f t="shared" si="40"/>
        <v>7.2431862727890231E-8</v>
      </c>
      <c r="W68" s="10">
        <f t="shared" si="41"/>
        <v>1.4058072753222794E-9</v>
      </c>
      <c r="X68" s="163">
        <f t="shared" si="22"/>
        <v>1</v>
      </c>
      <c r="Y68" s="54">
        <f t="shared" si="42"/>
        <v>0.37442386928402682</v>
      </c>
      <c r="Z68" s="54">
        <f t="shared" si="43"/>
        <v>1.5372727752998375E-2</v>
      </c>
      <c r="AA68" s="113"/>
    </row>
    <row r="69" spans="1:27" x14ac:dyDescent="0.2">
      <c r="A69" s="20">
        <f t="shared" si="23"/>
        <v>0.64000000000000035</v>
      </c>
      <c r="B69" s="23">
        <f t="shared" si="24"/>
        <v>0.01</v>
      </c>
      <c r="C69" s="12">
        <f t="shared" si="25"/>
        <v>0</v>
      </c>
      <c r="D69" s="12">
        <f t="shared" si="26"/>
        <v>1198.51644454703</v>
      </c>
      <c r="E69" s="23">
        <f t="shared" si="44"/>
        <v>0.17100233905312137</v>
      </c>
      <c r="F69" s="23">
        <f t="shared" si="27"/>
        <v>135.778118221895</v>
      </c>
      <c r="G69" s="95">
        <f t="shared" si="45"/>
        <v>0.511789469499358</v>
      </c>
      <c r="H69" s="95">
        <f t="shared" si="46"/>
        <v>0.25647725644883923</v>
      </c>
      <c r="I69" s="95">
        <f t="shared" si="47"/>
        <v>1.0014217602674944E-2</v>
      </c>
      <c r="J69" s="12">
        <f t="shared" si="28"/>
        <v>0</v>
      </c>
      <c r="K69" s="12">
        <f t="shared" ref="K69:K100" si="48">SUM(C69:J69)</f>
        <v>1335.2438460515289</v>
      </c>
      <c r="L69" s="54">
        <f t="shared" ref="L69:L100" si="49">+E69/$K69*P_t</f>
        <v>1.280682472784242E-4</v>
      </c>
      <c r="M69" s="10">
        <f t="shared" ref="M69:M100" si="50">+F69/$K69*P_t</f>
        <v>0.10168788167300427</v>
      </c>
      <c r="N69" s="10">
        <f t="shared" ref="N69:N100" si="51">+G69/$K69*P_t</f>
        <v>3.8329288767200006E-4</v>
      </c>
      <c r="O69" s="10">
        <f t="shared" ref="O69:O100" si="52">+H69/$K69*P_t</f>
        <v>1.9208270999134148E-4</v>
      </c>
      <c r="P69" s="10">
        <f t="shared" ref="P69:P100" si="53">+I69/$K69*P_t</f>
        <v>7.4999166873437751E-6</v>
      </c>
      <c r="Q69" s="54">
        <f t="shared" ref="Q69:Q100" si="54">1/(1+K1_*L69+K2_*M69+SQRT(K2_*K3_*M69)+1/K6_*N69+K7_*O69+P69/K10_)</f>
        <v>1.7319809846729723E-2</v>
      </c>
      <c r="R69" s="10">
        <f t="shared" ref="R69:R100" si="55">K1_*L69*Q69</f>
        <v>2.9932262010707358E-4</v>
      </c>
      <c r="S69" s="10">
        <f t="shared" ref="S69:S100" si="56">K7_*O69*Q69</f>
        <v>5.020334056077551E-4</v>
      </c>
      <c r="T69" s="10">
        <f t="shared" ref="T69:T100" si="57">K2_*M69*Q69</f>
        <v>0.29735889153109213</v>
      </c>
      <c r="U69" s="10">
        <f t="shared" ref="U69:U100" si="58">SQRT(K2_*K3_*M69)*Q69</f>
        <v>0.68451986820182953</v>
      </c>
      <c r="V69" s="10">
        <f t="shared" ref="V69:V100" si="59">N69/K6_*Q69</f>
        <v>7.2966886098344063E-8</v>
      </c>
      <c r="W69" s="10">
        <f t="shared" ref="W69:W100" si="60">P69/K10_*Q69</f>
        <v>1.427747772718351E-9</v>
      </c>
      <c r="X69" s="163">
        <f t="shared" si="22"/>
        <v>1</v>
      </c>
      <c r="Y69" s="54">
        <f t="shared" ref="Y69:Y100" si="61">(k4f*K1_*SQRT(K2_*K3_*M69)*L69+k5f*K1_*K2_*L69*M69-k4r/K6_*N69-k5r/K6_*SQRT(K2_*K3_*M69)*N69)*Q69*Q69</f>
        <v>0.36640971421329444</v>
      </c>
      <c r="Z69" s="54">
        <f t="shared" ref="Z69:Z100" si="62">(k8f*K7_*SQRT(K2_*K3_*M69)*O69+k9f*K7_*K2_*O69*M69-k8r/K10_*P69-k9r/K10_*SQRT(K2_*K3_*M69)*P69)*Q69*Q69</f>
        <v>1.536387653715056E-2</v>
      </c>
      <c r="AA69" s="113"/>
    </row>
    <row r="70" spans="1:27" x14ac:dyDescent="0.2">
      <c r="A70" s="20">
        <f t="shared" si="23"/>
        <v>0.65000000000000036</v>
      </c>
      <c r="B70" s="23">
        <f t="shared" si="24"/>
        <v>0.01</v>
      </c>
      <c r="C70" s="12">
        <f t="shared" si="25"/>
        <v>0</v>
      </c>
      <c r="D70" s="12">
        <f t="shared" si="26"/>
        <v>1198.51644454703</v>
      </c>
      <c r="E70" s="23">
        <f t="shared" ref="E70:E101" si="63">+E69-$B69*$Y69</f>
        <v>0.16733824191098842</v>
      </c>
      <c r="F70" s="23">
        <f t="shared" si="27"/>
        <v>135.77620935394125</v>
      </c>
      <c r="G70" s="95">
        <f t="shared" ref="G70:G101" si="64">+G69+$B69*$Y69</f>
        <v>0.51545356664149089</v>
      </c>
      <c r="H70" s="95">
        <f t="shared" ref="H70:H101" si="65">+H69-$B69*$Z69</f>
        <v>0.25632361768346773</v>
      </c>
      <c r="I70" s="95">
        <f t="shared" ref="I70:I101" si="66">+I69+$B69*$Z69</f>
        <v>1.0167856368046449E-2</v>
      </c>
      <c r="J70" s="12">
        <f t="shared" si="28"/>
        <v>0</v>
      </c>
      <c r="K70" s="12">
        <f t="shared" si="48"/>
        <v>1335.2419371835754</v>
      </c>
      <c r="L70" s="54">
        <f t="shared" si="49"/>
        <v>1.2532428562269009E-4</v>
      </c>
      <c r="M70" s="10">
        <f t="shared" si="50"/>
        <v>0.10168659744190921</v>
      </c>
      <c r="N70" s="10">
        <f t="shared" si="51"/>
        <v>3.8603758037194114E-4</v>
      </c>
      <c r="O70" s="10">
        <f t="shared" si="52"/>
        <v>1.9196792022884701E-4</v>
      </c>
      <c r="P70" s="10">
        <f t="shared" si="53"/>
        <v>7.6149917740701724E-6</v>
      </c>
      <c r="Q70" s="54">
        <f t="shared" si="54"/>
        <v>1.7320066019970423E-2</v>
      </c>
      <c r="R70" s="10">
        <f t="shared" si="55"/>
        <v>2.9291373287151614E-4</v>
      </c>
      <c r="S70" s="10">
        <f t="shared" si="56"/>
        <v>5.0174080849880835E-4</v>
      </c>
      <c r="T70" s="10">
        <f t="shared" si="57"/>
        <v>0.29735953425226175</v>
      </c>
      <c r="U70" s="10">
        <f t="shared" si="58"/>
        <v>0.68452567024624555</v>
      </c>
      <c r="V70" s="10">
        <f t="shared" si="59"/>
        <v>7.3490476052009091E-8</v>
      </c>
      <c r="W70" s="10">
        <f t="shared" si="60"/>
        <v>1.4496758840664064E-9</v>
      </c>
      <c r="X70" s="163">
        <f t="shared" ref="X70:X133" si="67">SUM(Q70:W70)</f>
        <v>1</v>
      </c>
      <c r="Y70" s="54">
        <f t="shared" si="61"/>
        <v>0.35856674015494955</v>
      </c>
      <c r="Z70" s="54">
        <f t="shared" si="62"/>
        <v>1.5355022878674901E-2</v>
      </c>
      <c r="AA70" s="113"/>
    </row>
    <row r="71" spans="1:27" x14ac:dyDescent="0.2">
      <c r="A71" s="20">
        <f t="shared" ref="A71:A134" si="68">+A70+B71</f>
        <v>0.66000000000000036</v>
      </c>
      <c r="B71" s="23">
        <f t="shared" ref="B71:B134" si="69">MIN(B70,1-A70)</f>
        <v>0.01</v>
      </c>
      <c r="C71" s="12">
        <f t="shared" ref="C71:C134" si="70">+C70</f>
        <v>0</v>
      </c>
      <c r="D71" s="12">
        <f t="shared" ref="D71:D134" si="71">+D70</f>
        <v>1198.51644454703</v>
      </c>
      <c r="E71" s="23">
        <f t="shared" si="63"/>
        <v>0.16375257450943892</v>
      </c>
      <c r="F71" s="23">
        <f t="shared" ref="F71:F134" si="72">+F70-$B70*(Y70/2+Z70/2)</f>
        <v>135.7743397451261</v>
      </c>
      <c r="G71" s="95">
        <f t="shared" si="64"/>
        <v>0.51903923404304042</v>
      </c>
      <c r="H71" s="95">
        <f t="shared" si="65"/>
        <v>0.25617006745468096</v>
      </c>
      <c r="I71" s="95">
        <f t="shared" si="66"/>
        <v>1.0321406596833197E-2</v>
      </c>
      <c r="J71" s="12">
        <f t="shared" ref="J71:J134" si="73">+J70</f>
        <v>0</v>
      </c>
      <c r="K71" s="12">
        <f t="shared" si="48"/>
        <v>1335.2400675747601</v>
      </c>
      <c r="L71" s="54">
        <f t="shared" si="49"/>
        <v>1.2263905082392264E-4</v>
      </c>
      <c r="M71" s="10">
        <f t="shared" si="50"/>
        <v>0.10168533961966662</v>
      </c>
      <c r="N71" s="10">
        <f t="shared" si="51"/>
        <v>3.8872353118176583E-4</v>
      </c>
      <c r="O71" s="10">
        <f t="shared" si="52"/>
        <v>1.9185319080483479E-4</v>
      </c>
      <c r="P71" s="10">
        <f t="shared" si="53"/>
        <v>7.7300006549236527E-6</v>
      </c>
      <c r="Q71" s="54">
        <f t="shared" si="54"/>
        <v>1.7320316944096855E-2</v>
      </c>
      <c r="R71" s="10">
        <f t="shared" si="55"/>
        <v>2.8664183021710006E-4</v>
      </c>
      <c r="S71" s="10">
        <f t="shared" si="56"/>
        <v>5.0144820825263978E-4</v>
      </c>
      <c r="T71" s="10">
        <f t="shared" si="57"/>
        <v>0.29736016397192228</v>
      </c>
      <c r="U71" s="10">
        <f t="shared" si="58"/>
        <v>0.68453135357104355</v>
      </c>
      <c r="V71" s="10">
        <f t="shared" si="59"/>
        <v>7.4002876099329877E-8</v>
      </c>
      <c r="W71" s="10">
        <f t="shared" si="60"/>
        <v>1.4715915935806026E-9</v>
      </c>
      <c r="X71" s="163">
        <f t="shared" si="67"/>
        <v>1</v>
      </c>
      <c r="Y71" s="54">
        <f t="shared" si="61"/>
        <v>0.35089130552346431</v>
      </c>
      <c r="Z71" s="54">
        <f t="shared" si="62"/>
        <v>1.5346166947950046E-2</v>
      </c>
      <c r="AA71" s="113"/>
    </row>
    <row r="72" spans="1:27" x14ac:dyDescent="0.2">
      <c r="A72" s="20">
        <f t="shared" si="68"/>
        <v>0.67000000000000037</v>
      </c>
      <c r="B72" s="23">
        <f t="shared" si="69"/>
        <v>0.01</v>
      </c>
      <c r="C72" s="12">
        <f t="shared" si="70"/>
        <v>0</v>
      </c>
      <c r="D72" s="12">
        <f t="shared" si="71"/>
        <v>1198.51644454703</v>
      </c>
      <c r="E72" s="23">
        <f t="shared" si="63"/>
        <v>0.16024366145420427</v>
      </c>
      <c r="F72" s="23">
        <f t="shared" si="72"/>
        <v>135.77250855776373</v>
      </c>
      <c r="G72" s="95">
        <f t="shared" si="64"/>
        <v>0.52254814709827502</v>
      </c>
      <c r="H72" s="95">
        <f t="shared" si="65"/>
        <v>0.25601660578520147</v>
      </c>
      <c r="I72" s="95">
        <f t="shared" si="66"/>
        <v>1.0474868266312698E-2</v>
      </c>
      <c r="J72" s="12">
        <f t="shared" si="73"/>
        <v>0</v>
      </c>
      <c r="K72" s="12">
        <f t="shared" si="48"/>
        <v>1335.2382363873976</v>
      </c>
      <c r="L72" s="54">
        <f t="shared" si="49"/>
        <v>1.2001128868789538E-4</v>
      </c>
      <c r="M72" s="10">
        <f t="shared" si="50"/>
        <v>0.1016841076429237</v>
      </c>
      <c r="N72" s="10">
        <f t="shared" si="51"/>
        <v>3.913519946163871E-4</v>
      </c>
      <c r="O72" s="10">
        <f t="shared" si="52"/>
        <v>1.9173852186698645E-4</v>
      </c>
      <c r="P72" s="10">
        <f t="shared" si="53"/>
        <v>7.8449433073856233E-6</v>
      </c>
      <c r="Q72" s="54">
        <f t="shared" si="54"/>
        <v>1.7320562730765994E-2</v>
      </c>
      <c r="R72" s="10">
        <f t="shared" si="55"/>
        <v>2.8050399417891544E-4</v>
      </c>
      <c r="S72" s="10">
        <f t="shared" si="56"/>
        <v>5.0115560876544027E-4</v>
      </c>
      <c r="T72" s="10">
        <f t="shared" si="57"/>
        <v>0.2973607809662645</v>
      </c>
      <c r="U72" s="10">
        <f t="shared" si="58"/>
        <v>0.68453692070220551</v>
      </c>
      <c r="V72" s="10">
        <f t="shared" si="59"/>
        <v>7.4504324600152834E-8</v>
      </c>
      <c r="W72" s="10">
        <f t="shared" si="60"/>
        <v>1.4934948861476454E-9</v>
      </c>
      <c r="X72" s="163">
        <f t="shared" si="67"/>
        <v>0.99999999999999989</v>
      </c>
      <c r="Y72" s="54">
        <f t="shared" si="61"/>
        <v>0.34337984557840018</v>
      </c>
      <c r="Z72" s="54">
        <f t="shared" si="62"/>
        <v>1.533730891158668E-2</v>
      </c>
      <c r="AA72" s="113"/>
    </row>
    <row r="73" spans="1:27" x14ac:dyDescent="0.2">
      <c r="A73" s="20">
        <f t="shared" si="68"/>
        <v>0.68000000000000038</v>
      </c>
      <c r="B73" s="23">
        <f t="shared" si="69"/>
        <v>0.01</v>
      </c>
      <c r="C73" s="12">
        <f t="shared" si="70"/>
        <v>0</v>
      </c>
      <c r="D73" s="12">
        <f t="shared" si="71"/>
        <v>1198.51644454703</v>
      </c>
      <c r="E73" s="23">
        <f t="shared" si="63"/>
        <v>0.15680986299842026</v>
      </c>
      <c r="F73" s="23">
        <f t="shared" si="72"/>
        <v>135.77071497199128</v>
      </c>
      <c r="G73" s="95">
        <f t="shared" si="64"/>
        <v>0.52598194555405897</v>
      </c>
      <c r="H73" s="95">
        <f t="shared" si="65"/>
        <v>0.25586323269608557</v>
      </c>
      <c r="I73" s="95">
        <f t="shared" si="66"/>
        <v>1.0628241355428565E-2</v>
      </c>
      <c r="J73" s="12">
        <f t="shared" si="73"/>
        <v>0</v>
      </c>
      <c r="K73" s="12">
        <f t="shared" si="48"/>
        <v>1335.2364428016253</v>
      </c>
      <c r="L73" s="54">
        <f t="shared" si="49"/>
        <v>1.1743977169271835E-4</v>
      </c>
      <c r="M73" s="10">
        <f t="shared" si="50"/>
        <v>0.10168290096030774</v>
      </c>
      <c r="N73" s="10">
        <f t="shared" si="51"/>
        <v>3.9392419851156171E-4</v>
      </c>
      <c r="O73" s="10">
        <f t="shared" si="52"/>
        <v>1.9162391355888038E-4</v>
      </c>
      <c r="P73" s="10">
        <f t="shared" si="53"/>
        <v>7.9598197103788839E-6</v>
      </c>
      <c r="Q73" s="54">
        <f t="shared" si="54"/>
        <v>1.732080348927335E-2</v>
      </c>
      <c r="R73" s="10">
        <f t="shared" si="55"/>
        <v>2.7449736852976162E-4</v>
      </c>
      <c r="S73" s="10">
        <f t="shared" si="56"/>
        <v>5.0086301384640031E-4</v>
      </c>
      <c r="T73" s="10">
        <f t="shared" si="57"/>
        <v>0.29736138550564978</v>
      </c>
      <c r="U73" s="10">
        <f t="shared" si="58"/>
        <v>0.68454237411226004</v>
      </c>
      <c r="V73" s="10">
        <f t="shared" si="59"/>
        <v>7.4995054871160497E-8</v>
      </c>
      <c r="W73" s="10">
        <f t="shared" si="60"/>
        <v>1.5153857473086634E-9</v>
      </c>
      <c r="X73" s="163">
        <f t="shared" si="67"/>
        <v>0.99999999999999989</v>
      </c>
      <c r="Y73" s="54">
        <f t="shared" si="61"/>
        <v>0.33602887082915239</v>
      </c>
      <c r="Z73" s="54">
        <f t="shared" si="62"/>
        <v>1.5328448932508249E-2</v>
      </c>
      <c r="AA73" s="113"/>
    </row>
    <row r="74" spans="1:27" x14ac:dyDescent="0.2">
      <c r="A74" s="20">
        <f t="shared" si="68"/>
        <v>0.69000000000000039</v>
      </c>
      <c r="B74" s="23">
        <f t="shared" si="69"/>
        <v>0.01</v>
      </c>
      <c r="C74" s="12">
        <f t="shared" si="70"/>
        <v>0</v>
      </c>
      <c r="D74" s="12">
        <f t="shared" si="71"/>
        <v>1198.51644454703</v>
      </c>
      <c r="E74" s="23">
        <f t="shared" si="63"/>
        <v>0.15344957429012873</v>
      </c>
      <c r="F74" s="23">
        <f t="shared" si="72"/>
        <v>135.76895818539248</v>
      </c>
      <c r="G74" s="95">
        <f t="shared" si="64"/>
        <v>0.5293422342623505</v>
      </c>
      <c r="H74" s="95">
        <f t="shared" si="65"/>
        <v>0.25570994820676052</v>
      </c>
      <c r="I74" s="95">
        <f t="shared" si="66"/>
        <v>1.0781525844753647E-2</v>
      </c>
      <c r="J74" s="12">
        <f t="shared" si="73"/>
        <v>0</v>
      </c>
      <c r="K74" s="12">
        <f t="shared" si="48"/>
        <v>1335.2346860150265</v>
      </c>
      <c r="L74" s="54">
        <f t="shared" si="49"/>
        <v>1.1492329842635757E-4</v>
      </c>
      <c r="M74" s="10">
        <f t="shared" si="50"/>
        <v>0.10168171903217361</v>
      </c>
      <c r="N74" s="10">
        <f t="shared" si="51"/>
        <v>3.9644134458651517E-4</v>
      </c>
      <c r="O74" s="10">
        <f t="shared" si="52"/>
        <v>1.9150936602008167E-4</v>
      </c>
      <c r="P74" s="10">
        <f t="shared" si="53"/>
        <v>8.0746298442342249E-6</v>
      </c>
      <c r="Q74" s="54">
        <f t="shared" si="54"/>
        <v>1.732103932660219E-2</v>
      </c>
      <c r="R74" s="10">
        <f t="shared" si="55"/>
        <v>2.6861915749160087E-4</v>
      </c>
      <c r="S74" s="10">
        <f t="shared" si="56"/>
        <v>5.0057042721957947E-4</v>
      </c>
      <c r="T74" s="10">
        <f t="shared" si="57"/>
        <v>0.29736197785473051</v>
      </c>
      <c r="U74" s="10">
        <f t="shared" si="58"/>
        <v>0.68454771622139676</v>
      </c>
      <c r="V74" s="10">
        <f t="shared" si="59"/>
        <v>7.5475295291128748E-8</v>
      </c>
      <c r="W74" s="10">
        <f t="shared" si="60"/>
        <v>1.5372641632415372E-9</v>
      </c>
      <c r="X74" s="163">
        <f t="shared" si="67"/>
        <v>1</v>
      </c>
      <c r="Y74" s="54">
        <f t="shared" si="61"/>
        <v>0.32883496547168956</v>
      </c>
      <c r="Z74" s="54">
        <f t="shared" si="62"/>
        <v>1.5319587170029913E-2</v>
      </c>
      <c r="AA74" s="113"/>
    </row>
    <row r="75" spans="1:27" x14ac:dyDescent="0.2">
      <c r="A75" s="20">
        <f t="shared" si="68"/>
        <v>0.7000000000000004</v>
      </c>
      <c r="B75" s="23">
        <f t="shared" si="69"/>
        <v>0.01</v>
      </c>
      <c r="C75" s="12">
        <f t="shared" si="70"/>
        <v>0</v>
      </c>
      <c r="D75" s="12">
        <f t="shared" si="71"/>
        <v>1198.51644454703</v>
      </c>
      <c r="E75" s="23">
        <f t="shared" si="63"/>
        <v>0.15016122463541184</v>
      </c>
      <c r="F75" s="23">
        <f t="shared" si="72"/>
        <v>135.76723741262927</v>
      </c>
      <c r="G75" s="95">
        <f t="shared" si="64"/>
        <v>0.53263058391706741</v>
      </c>
      <c r="H75" s="95">
        <f t="shared" si="65"/>
        <v>0.2555567523350602</v>
      </c>
      <c r="I75" s="95">
        <f t="shared" si="66"/>
        <v>1.0934721716453946E-2</v>
      </c>
      <c r="J75" s="12">
        <f t="shared" si="73"/>
        <v>0</v>
      </c>
      <c r="K75" s="12">
        <f t="shared" si="48"/>
        <v>1335.2329652422634</v>
      </c>
      <c r="L75" s="54">
        <f t="shared" si="49"/>
        <v>1.1246069303581547E-4</v>
      </c>
      <c r="M75" s="10">
        <f t="shared" si="50"/>
        <v>0.10168056133035616</v>
      </c>
      <c r="N75" s="10">
        <f t="shared" si="51"/>
        <v>3.9890460899490106E-4</v>
      </c>
      <c r="O75" s="10">
        <f t="shared" si="52"/>
        <v>1.9139487938622923E-4</v>
      </c>
      <c r="P75" s="10">
        <f t="shared" si="53"/>
        <v>8.1893736906577659E-6</v>
      </c>
      <c r="Q75" s="54">
        <f t="shared" si="54"/>
        <v>1.7321270347471801E-2</v>
      </c>
      <c r="R75" s="10">
        <f t="shared" si="55"/>
        <v>2.6286662447315559E-4</v>
      </c>
      <c r="S75" s="10">
        <f t="shared" si="56"/>
        <v>5.0027785252573602E-4</v>
      </c>
      <c r="T75" s="10">
        <f t="shared" si="57"/>
        <v>0.2973625582725688</v>
      </c>
      <c r="U75" s="10">
        <f t="shared" si="58"/>
        <v>0.68455294939856104</v>
      </c>
      <c r="V75" s="10">
        <f t="shared" si="59"/>
        <v>7.5945269404048234E-8</v>
      </c>
      <c r="W75" s="10">
        <f t="shared" si="60"/>
        <v>1.5591301207436758E-9</v>
      </c>
      <c r="X75" s="163">
        <f t="shared" si="67"/>
        <v>1</v>
      </c>
      <c r="Y75" s="54">
        <f t="shared" si="61"/>
        <v>0.32179478585670029</v>
      </c>
      <c r="Z75" s="54">
        <f t="shared" si="62"/>
        <v>1.5310723779935911E-2</v>
      </c>
      <c r="AA75" s="113"/>
    </row>
    <row r="76" spans="1:27" x14ac:dyDescent="0.2">
      <c r="A76" s="20">
        <f t="shared" si="68"/>
        <v>0.71000000000000041</v>
      </c>
      <c r="B76" s="23">
        <f t="shared" si="69"/>
        <v>0.01</v>
      </c>
      <c r="C76" s="12">
        <f t="shared" si="70"/>
        <v>0</v>
      </c>
      <c r="D76" s="12">
        <f t="shared" si="71"/>
        <v>1198.51644454703</v>
      </c>
      <c r="E76" s="23">
        <f t="shared" si="63"/>
        <v>0.14694327677684485</v>
      </c>
      <c r="F76" s="23">
        <f t="shared" si="72"/>
        <v>135.76555188508109</v>
      </c>
      <c r="G76" s="95">
        <f t="shared" si="64"/>
        <v>0.53584853177563441</v>
      </c>
      <c r="H76" s="95">
        <f t="shared" si="65"/>
        <v>0.25540364509726082</v>
      </c>
      <c r="I76" s="95">
        <f t="shared" si="66"/>
        <v>1.1087828954253306E-2</v>
      </c>
      <c r="J76" s="12">
        <f t="shared" si="73"/>
        <v>0</v>
      </c>
      <c r="K76" s="12">
        <f t="shared" si="48"/>
        <v>1335.2312797147151</v>
      </c>
      <c r="L76" s="54">
        <f t="shared" si="49"/>
        <v>1.1005080468773971E-4</v>
      </c>
      <c r="M76" s="10">
        <f t="shared" si="50"/>
        <v>0.10167942733792808</v>
      </c>
      <c r="N76" s="10">
        <f t="shared" si="51"/>
        <v>4.01315142864331E-4</v>
      </c>
      <c r="O76" s="10">
        <f t="shared" si="52"/>
        <v>1.9128045378912203E-4</v>
      </c>
      <c r="P76" s="10">
        <f t="shared" si="53"/>
        <v>8.3040512326990461E-6</v>
      </c>
      <c r="Q76" s="54">
        <f t="shared" si="54"/>
        <v>1.7321496654384781E-2</v>
      </c>
      <c r="R76" s="10">
        <f t="shared" si="55"/>
        <v>2.5723709083315242E-4</v>
      </c>
      <c r="S76" s="10">
        <f t="shared" si="56"/>
        <v>4.9998529332412128E-4</v>
      </c>
      <c r="T76" s="10">
        <f t="shared" si="57"/>
        <v>0.29736312701275319</v>
      </c>
      <c r="U76" s="10">
        <f t="shared" si="58"/>
        <v>0.68455807596252494</v>
      </c>
      <c r="V76" s="10">
        <f t="shared" si="59"/>
        <v>7.6405196020151269E-8</v>
      </c>
      <c r="W76" s="10">
        <f t="shared" si="60"/>
        <v>1.58098360721524E-9</v>
      </c>
      <c r="X76" s="163">
        <f t="shared" si="67"/>
        <v>0.99999999999999989</v>
      </c>
      <c r="Y76" s="54">
        <f t="shared" si="61"/>
        <v>0.31490505898855958</v>
      </c>
      <c r="Z76" s="54">
        <f t="shared" si="62"/>
        <v>1.5301858914555337E-2</v>
      </c>
      <c r="AA76" s="113"/>
    </row>
    <row r="77" spans="1:27" x14ac:dyDescent="0.2">
      <c r="A77" s="20">
        <f t="shared" si="68"/>
        <v>0.72000000000000042</v>
      </c>
      <c r="B77" s="23">
        <f t="shared" si="69"/>
        <v>0.01</v>
      </c>
      <c r="C77" s="12">
        <f t="shared" si="70"/>
        <v>0</v>
      </c>
      <c r="D77" s="12">
        <f t="shared" si="71"/>
        <v>1198.51644454703</v>
      </c>
      <c r="E77" s="23">
        <f t="shared" si="63"/>
        <v>0.14379422618695925</v>
      </c>
      <c r="F77" s="23">
        <f t="shared" si="72"/>
        <v>135.76390085049158</v>
      </c>
      <c r="G77" s="95">
        <f t="shared" si="64"/>
        <v>0.53899758236551998</v>
      </c>
      <c r="H77" s="95">
        <f t="shared" si="65"/>
        <v>0.25525062650811525</v>
      </c>
      <c r="I77" s="95">
        <f t="shared" si="66"/>
        <v>1.1240847543398859E-2</v>
      </c>
      <c r="J77" s="12">
        <f t="shared" si="73"/>
        <v>0</v>
      </c>
      <c r="K77" s="12">
        <f t="shared" si="48"/>
        <v>1335.2296286801254</v>
      </c>
      <c r="L77" s="54">
        <f t="shared" si="49"/>
        <v>1.0769250704023087E-4</v>
      </c>
      <c r="M77" s="10">
        <f t="shared" si="50"/>
        <v>0.1016783165489626</v>
      </c>
      <c r="N77" s="10">
        <f t="shared" si="51"/>
        <v>4.0367407282470143E-4</v>
      </c>
      <c r="O77" s="10">
        <f t="shared" si="52"/>
        <v>1.9116608935680263E-4</v>
      </c>
      <c r="P77" s="10">
        <f t="shared" si="53"/>
        <v>8.4186624547198195E-6</v>
      </c>
      <c r="Q77" s="54">
        <f t="shared" si="54"/>
        <v>1.7321718347673352E-2</v>
      </c>
      <c r="R77" s="10">
        <f t="shared" si="55"/>
        <v>2.5172793466871974E-4</v>
      </c>
      <c r="S77" s="10">
        <f t="shared" si="56"/>
        <v>4.9969275309423328E-4</v>
      </c>
      <c r="T77" s="10">
        <f t="shared" si="57"/>
        <v>0.29736368432351246</v>
      </c>
      <c r="U77" s="10">
        <f t="shared" si="58"/>
        <v>0.68456309818293737</v>
      </c>
      <c r="V77" s="10">
        <f t="shared" si="59"/>
        <v>7.685528931488357E-8</v>
      </c>
      <c r="W77" s="10">
        <f t="shared" si="60"/>
        <v>1.6028246106427858E-9</v>
      </c>
      <c r="X77" s="163">
        <f t="shared" si="67"/>
        <v>1</v>
      </c>
      <c r="Y77" s="54">
        <f t="shared" si="61"/>
        <v>0.30816258105453859</v>
      </c>
      <c r="Z77" s="54">
        <f t="shared" si="62"/>
        <v>1.5292992722836287E-2</v>
      </c>
      <c r="AA77" s="113"/>
    </row>
    <row r="78" spans="1:27" x14ac:dyDescent="0.2">
      <c r="A78" s="20">
        <f t="shared" si="68"/>
        <v>0.73000000000000043</v>
      </c>
      <c r="B78" s="23">
        <f t="shared" si="69"/>
        <v>0.01</v>
      </c>
      <c r="C78" s="12">
        <f t="shared" si="70"/>
        <v>0</v>
      </c>
      <c r="D78" s="12">
        <f t="shared" si="71"/>
        <v>1198.51644454703</v>
      </c>
      <c r="E78" s="23">
        <f t="shared" si="63"/>
        <v>0.14071260037641387</v>
      </c>
      <c r="F78" s="23">
        <f t="shared" si="72"/>
        <v>135.76228357262269</v>
      </c>
      <c r="G78" s="95">
        <f t="shared" si="64"/>
        <v>0.54207920817606536</v>
      </c>
      <c r="H78" s="95">
        <f t="shared" si="65"/>
        <v>0.25509769658088688</v>
      </c>
      <c r="I78" s="95">
        <f t="shared" si="66"/>
        <v>1.1393777470627222E-2</v>
      </c>
      <c r="J78" s="12">
        <f t="shared" si="73"/>
        <v>0</v>
      </c>
      <c r="K78" s="12">
        <f t="shared" si="48"/>
        <v>1335.2280114022567</v>
      </c>
      <c r="L78" s="54">
        <f t="shared" si="49"/>
        <v>1.0538469772562476E-4</v>
      </c>
      <c r="M78" s="10">
        <f t="shared" si="50"/>
        <v>0.10167722846830117</v>
      </c>
      <c r="N78" s="10">
        <f t="shared" si="51"/>
        <v>4.0598250152554369E-4</v>
      </c>
      <c r="O78" s="10">
        <f t="shared" si="52"/>
        <v>1.9105178621363944E-4</v>
      </c>
      <c r="P78" s="10">
        <f t="shared" si="53"/>
        <v>8.5332073423635521E-6</v>
      </c>
      <c r="Q78" s="54">
        <f t="shared" si="54"/>
        <v>1.7321935525544709E-2</v>
      </c>
      <c r="R78" s="10">
        <f t="shared" si="55"/>
        <v>2.4633658962845922E-4</v>
      </c>
      <c r="S78" s="10">
        <f t="shared" si="56"/>
        <v>4.9940023523753388E-4</v>
      </c>
      <c r="T78" s="10">
        <f t="shared" si="57"/>
        <v>0.29736423044782684</v>
      </c>
      <c r="U78" s="10">
        <f t="shared" si="58"/>
        <v>0.68456801828135028</v>
      </c>
      <c r="V78" s="10">
        <f t="shared" si="59"/>
        <v>7.7295758925860641E-8</v>
      </c>
      <c r="W78" s="10">
        <f t="shared" si="60"/>
        <v>1.6246531195833266E-9</v>
      </c>
      <c r="X78" s="163">
        <f t="shared" si="67"/>
        <v>0.99999999999999978</v>
      </c>
      <c r="Y78" s="54">
        <f t="shared" si="61"/>
        <v>0.30156421598368993</v>
      </c>
      <c r="Z78" s="54">
        <f t="shared" si="62"/>
        <v>1.5284125350418447E-2</v>
      </c>
      <c r="AA78" s="113"/>
    </row>
    <row r="79" spans="1:27" x14ac:dyDescent="0.2">
      <c r="A79" s="20">
        <f t="shared" si="68"/>
        <v>0.74000000000000044</v>
      </c>
      <c r="B79" s="23">
        <f t="shared" si="69"/>
        <v>0.01</v>
      </c>
      <c r="C79" s="12">
        <f t="shared" si="70"/>
        <v>0</v>
      </c>
      <c r="D79" s="12">
        <f t="shared" si="71"/>
        <v>1198.51644454703</v>
      </c>
      <c r="E79" s="23">
        <f t="shared" si="63"/>
        <v>0.13769695821657696</v>
      </c>
      <c r="F79" s="23">
        <f t="shared" si="72"/>
        <v>135.76069933091603</v>
      </c>
      <c r="G79" s="95">
        <f t="shared" si="64"/>
        <v>0.54509485033590221</v>
      </c>
      <c r="H79" s="95">
        <f t="shared" si="65"/>
        <v>0.2549448553273827</v>
      </c>
      <c r="I79" s="95">
        <f t="shared" si="66"/>
        <v>1.1546618724131406E-2</v>
      </c>
      <c r="J79" s="12">
        <f t="shared" si="73"/>
        <v>0</v>
      </c>
      <c r="K79" s="12">
        <f t="shared" si="48"/>
        <v>1335.2264271605502</v>
      </c>
      <c r="L79" s="54">
        <f t="shared" si="49"/>
        <v>1.0312629784402852E-4</v>
      </c>
      <c r="M79" s="10">
        <f t="shared" si="50"/>
        <v>0.10167616261132607</v>
      </c>
      <c r="N79" s="10">
        <f t="shared" si="51"/>
        <v>4.0824150814261777E-4</v>
      </c>
      <c r="O79" s="10">
        <f t="shared" si="52"/>
        <v>1.9093754448040718E-4</v>
      </c>
      <c r="P79" s="10">
        <f t="shared" si="53"/>
        <v>8.6476858825256141E-6</v>
      </c>
      <c r="Q79" s="54">
        <f t="shared" si="54"/>
        <v>1.73221482841255E-2</v>
      </c>
      <c r="R79" s="10">
        <f t="shared" si="55"/>
        <v>2.4106054374971653E-4</v>
      </c>
      <c r="S79" s="10">
        <f t="shared" si="56"/>
        <v>4.9910774307913234E-4</v>
      </c>
      <c r="T79" s="10">
        <f t="shared" si="57"/>
        <v>0.2973647656235382</v>
      </c>
      <c r="U79" s="10">
        <f t="shared" si="58"/>
        <v>0.68457283843222827</v>
      </c>
      <c r="V79" s="10">
        <f t="shared" si="59"/>
        <v>7.7726810047847611E-8</v>
      </c>
      <c r="W79" s="10">
        <f t="shared" si="60"/>
        <v>1.6464691231488053E-9</v>
      </c>
      <c r="X79" s="163">
        <f t="shared" si="67"/>
        <v>1</v>
      </c>
      <c r="Y79" s="54">
        <f t="shared" si="61"/>
        <v>0.29510689403485429</v>
      </c>
      <c r="Z79" s="54">
        <f t="shared" si="62"/>
        <v>1.5275256939704234E-2</v>
      </c>
      <c r="AA79" s="113"/>
    </row>
    <row r="80" spans="1:27" x14ac:dyDescent="0.2">
      <c r="A80" s="20">
        <f t="shared" si="68"/>
        <v>0.75000000000000044</v>
      </c>
      <c r="B80" s="23">
        <f t="shared" si="69"/>
        <v>0.01</v>
      </c>
      <c r="C80" s="12">
        <f t="shared" si="70"/>
        <v>0</v>
      </c>
      <c r="D80" s="12">
        <f t="shared" si="71"/>
        <v>1198.51644454703</v>
      </c>
      <c r="E80" s="23">
        <f t="shared" si="63"/>
        <v>0.13474588927622841</v>
      </c>
      <c r="F80" s="23">
        <f t="shared" si="72"/>
        <v>135.75914742016116</v>
      </c>
      <c r="G80" s="95">
        <f t="shared" si="64"/>
        <v>0.54804591927625079</v>
      </c>
      <c r="H80" s="95">
        <f t="shared" si="65"/>
        <v>0.25479210275798564</v>
      </c>
      <c r="I80" s="95">
        <f t="shared" si="66"/>
        <v>1.1699371293528448E-2</v>
      </c>
      <c r="J80" s="12">
        <f t="shared" si="73"/>
        <v>0</v>
      </c>
      <c r="K80" s="12">
        <f t="shared" si="48"/>
        <v>1335.2248752497953</v>
      </c>
      <c r="L80" s="54">
        <f t="shared" si="49"/>
        <v>1.0091625146739421E-4</v>
      </c>
      <c r="M80" s="10">
        <f t="shared" si="50"/>
        <v>0.10167511850373757</v>
      </c>
      <c r="N80" s="10">
        <f t="shared" si="51"/>
        <v>4.1045214887396535E-4</v>
      </c>
      <c r="O80" s="10">
        <f t="shared" si="52"/>
        <v>1.908233642743653E-4</v>
      </c>
      <c r="P80" s="10">
        <f t="shared" si="53"/>
        <v>8.7620980633241407E-6</v>
      </c>
      <c r="Q80" s="54">
        <f t="shared" si="54"/>
        <v>1.7322356717505347E-2</v>
      </c>
      <c r="R80" s="10">
        <f t="shared" si="55"/>
        <v>2.3589733831958293E-4</v>
      </c>
      <c r="S80" s="10">
        <f t="shared" si="56"/>
        <v>4.9881527986942982E-4</v>
      </c>
      <c r="T80" s="10">
        <f t="shared" si="57"/>
        <v>0.29736529008345625</v>
      </c>
      <c r="U80" s="10">
        <f t="shared" si="58"/>
        <v>0.68457756076393317</v>
      </c>
      <c r="V80" s="10">
        <f t="shared" si="59"/>
        <v>7.8148643525800145E-8</v>
      </c>
      <c r="W80" s="10">
        <f t="shared" si="60"/>
        <v>1.6682726109909639E-9</v>
      </c>
      <c r="X80" s="163">
        <f t="shared" si="67"/>
        <v>1</v>
      </c>
      <c r="Y80" s="54">
        <f t="shared" si="61"/>
        <v>0.28878761041323131</v>
      </c>
      <c r="Z80" s="54">
        <f t="shared" si="62"/>
        <v>1.5266387629928378E-2</v>
      </c>
      <c r="AA80" s="113"/>
    </row>
    <row r="81" spans="1:27" x14ac:dyDescent="0.2">
      <c r="A81" s="20">
        <f t="shared" si="68"/>
        <v>0.76000000000000045</v>
      </c>
      <c r="B81" s="23">
        <f t="shared" si="69"/>
        <v>0.01</v>
      </c>
      <c r="C81" s="12">
        <f t="shared" si="70"/>
        <v>0</v>
      </c>
      <c r="D81" s="12">
        <f t="shared" si="71"/>
        <v>1198.51644454703</v>
      </c>
      <c r="E81" s="23">
        <f t="shared" si="63"/>
        <v>0.13185801317209608</v>
      </c>
      <c r="F81" s="23">
        <f t="shared" si="72"/>
        <v>135.75762715017095</v>
      </c>
      <c r="G81" s="95">
        <f t="shared" si="64"/>
        <v>0.55093379538038312</v>
      </c>
      <c r="H81" s="95">
        <f t="shared" si="65"/>
        <v>0.25463943888168633</v>
      </c>
      <c r="I81" s="95">
        <f t="shared" si="66"/>
        <v>1.1852035169827732E-2</v>
      </c>
      <c r="J81" s="12">
        <f t="shared" si="73"/>
        <v>0</v>
      </c>
      <c r="K81" s="12">
        <f t="shared" si="48"/>
        <v>1335.223354979805</v>
      </c>
      <c r="L81" s="54">
        <f t="shared" si="49"/>
        <v>9.8753525153917349E-5</v>
      </c>
      <c r="M81" s="10">
        <f t="shared" si="50"/>
        <v>0.10167409568133584</v>
      </c>
      <c r="N81" s="10">
        <f t="shared" si="51"/>
        <v>4.1261545742563488E-4</v>
      </c>
      <c r="O81" s="10">
        <f t="shared" si="52"/>
        <v>1.9070924570933505E-4</v>
      </c>
      <c r="P81" s="10">
        <f t="shared" si="53"/>
        <v>8.8764438740715344E-6</v>
      </c>
      <c r="Q81" s="54">
        <f t="shared" si="54"/>
        <v>1.7322560917779523E-2</v>
      </c>
      <c r="R81" s="10">
        <f t="shared" si="55"/>
        <v>2.3084456675917165E-4</v>
      </c>
      <c r="S81" s="10">
        <f t="shared" si="56"/>
        <v>4.985228487857325E-4</v>
      </c>
      <c r="T81" s="10">
        <f t="shared" si="57"/>
        <v>0.29736580405546453</v>
      </c>
      <c r="U81" s="10">
        <f t="shared" si="58"/>
        <v>0.68458218735969134</v>
      </c>
      <c r="V81" s="10">
        <f t="shared" si="59"/>
        <v>7.8561455946004493E-8</v>
      </c>
      <c r="W81" s="10">
        <f t="shared" si="60"/>
        <v>1.6900635732865971E-9</v>
      </c>
      <c r="X81" s="163">
        <f t="shared" si="67"/>
        <v>0.99999999999999978</v>
      </c>
      <c r="Y81" s="54">
        <f t="shared" si="61"/>
        <v>0.28260342391498106</v>
      </c>
      <c r="Z81" s="54">
        <f t="shared" si="62"/>
        <v>1.5257517557226088E-2</v>
      </c>
      <c r="AA81" s="113"/>
    </row>
    <row r="82" spans="1:27" x14ac:dyDescent="0.2">
      <c r="A82" s="20">
        <f t="shared" si="68"/>
        <v>0.77000000000000046</v>
      </c>
      <c r="B82" s="23">
        <f t="shared" si="69"/>
        <v>0.01</v>
      </c>
      <c r="C82" s="12">
        <f t="shared" si="70"/>
        <v>0</v>
      </c>
      <c r="D82" s="12">
        <f t="shared" si="71"/>
        <v>1198.51644454703</v>
      </c>
      <c r="E82" s="23">
        <f t="shared" si="63"/>
        <v>0.12903197893294627</v>
      </c>
      <c r="F82" s="23">
        <f t="shared" si="72"/>
        <v>135.7561378454636</v>
      </c>
      <c r="G82" s="95">
        <f t="shared" si="64"/>
        <v>0.55375982961953296</v>
      </c>
      <c r="H82" s="95">
        <f t="shared" si="65"/>
        <v>0.25448686370611406</v>
      </c>
      <c r="I82" s="95">
        <f t="shared" si="66"/>
        <v>1.2004610345399992E-2</v>
      </c>
      <c r="J82" s="12">
        <f t="shared" si="73"/>
        <v>0</v>
      </c>
      <c r="K82" s="12">
        <f t="shared" si="48"/>
        <v>1335.2218656750977</v>
      </c>
      <c r="L82" s="54">
        <f t="shared" si="49"/>
        <v>9.6637107472552345E-5</v>
      </c>
      <c r="M82" s="10">
        <f t="shared" si="50"/>
        <v>0.10167309368980737</v>
      </c>
      <c r="N82" s="10">
        <f t="shared" si="51"/>
        <v>4.147324454872884E-4</v>
      </c>
      <c r="O82" s="10">
        <f t="shared" si="52"/>
        <v>1.9059518889577478E-4</v>
      </c>
      <c r="P82" s="10">
        <f t="shared" si="53"/>
        <v>8.9907233052466351E-6</v>
      </c>
      <c r="Q82" s="54">
        <f t="shared" si="54"/>
        <v>1.732276097509072E-2</v>
      </c>
      <c r="R82" s="10">
        <f t="shared" si="55"/>
        <v>2.2589987353071659E-4</v>
      </c>
      <c r="S82" s="10">
        <f t="shared" si="56"/>
        <v>4.9823045293382847E-4</v>
      </c>
      <c r="T82" s="10">
        <f t="shared" si="57"/>
        <v>0.29736630776262263</v>
      </c>
      <c r="U82" s="10">
        <f t="shared" si="58"/>
        <v>0.68458672025854017</v>
      </c>
      <c r="V82" s="10">
        <f t="shared" si="59"/>
        <v>7.8965439725353154E-8</v>
      </c>
      <c r="W82" s="10">
        <f t="shared" si="60"/>
        <v>1.7118420007231899E-9</v>
      </c>
      <c r="X82" s="163">
        <f t="shared" si="67"/>
        <v>0.99999999999999978</v>
      </c>
      <c r="Y82" s="54">
        <f t="shared" si="61"/>
        <v>0.27655145559931732</v>
      </c>
      <c r="Z82" s="54">
        <f t="shared" si="62"/>
        <v>1.5248646854699762E-2</v>
      </c>
      <c r="AA82" s="113"/>
    </row>
    <row r="83" spans="1:27" x14ac:dyDescent="0.2">
      <c r="A83" s="20">
        <f t="shared" si="68"/>
        <v>0.78000000000000047</v>
      </c>
      <c r="B83" s="23">
        <f t="shared" si="69"/>
        <v>0.01</v>
      </c>
      <c r="C83" s="12">
        <f t="shared" si="70"/>
        <v>0</v>
      </c>
      <c r="D83" s="12">
        <f t="shared" si="71"/>
        <v>1198.51644454703</v>
      </c>
      <c r="E83" s="23">
        <f t="shared" si="63"/>
        <v>0.1262664643769531</v>
      </c>
      <c r="F83" s="23">
        <f t="shared" si="72"/>
        <v>135.75467884495131</v>
      </c>
      <c r="G83" s="95">
        <f t="shared" si="64"/>
        <v>0.55652534417552613</v>
      </c>
      <c r="H83" s="95">
        <f t="shared" si="65"/>
        <v>0.25433437723756708</v>
      </c>
      <c r="I83" s="95">
        <f t="shared" si="66"/>
        <v>1.2157096813946991E-2</v>
      </c>
      <c r="J83" s="12">
        <f t="shared" si="73"/>
        <v>0</v>
      </c>
      <c r="K83" s="12">
        <f t="shared" si="48"/>
        <v>1335.2204066745851</v>
      </c>
      <c r="L83" s="54">
        <f t="shared" si="49"/>
        <v>9.4566008537440139E-5</v>
      </c>
      <c r="M83" s="10">
        <f t="shared" si="50"/>
        <v>0.1016721120845159</v>
      </c>
      <c r="N83" s="10">
        <f t="shared" si="51"/>
        <v>4.1680410319789278E-4</v>
      </c>
      <c r="O83" s="10">
        <f t="shared" si="52"/>
        <v>1.9048119394085361E-4</v>
      </c>
      <c r="P83" s="10">
        <f t="shared" si="53"/>
        <v>9.1049363484675029E-6</v>
      </c>
      <c r="Q83" s="54">
        <f t="shared" si="54"/>
        <v>1.7322956977669984E-2</v>
      </c>
      <c r="R83" s="10">
        <f t="shared" si="55"/>
        <v>2.2106095306705125E-4</v>
      </c>
      <c r="S83" s="10">
        <f t="shared" si="56"/>
        <v>4.979380953495327E-4</v>
      </c>
      <c r="T83" s="10">
        <f t="shared" si="57"/>
        <v>0.29736680142326744</v>
      </c>
      <c r="U83" s="10">
        <f t="shared" si="58"/>
        <v>0.68459116145625509</v>
      </c>
      <c r="V83" s="10">
        <f t="shared" si="59"/>
        <v>7.9360783198792292E-8</v>
      </c>
      <c r="W83" s="10">
        <f t="shared" si="60"/>
        <v>1.7336078844849196E-9</v>
      </c>
      <c r="X83" s="163">
        <f t="shared" si="67"/>
        <v>1</v>
      </c>
      <c r="Y83" s="54">
        <f t="shared" si="61"/>
        <v>0.2706288874875748</v>
      </c>
      <c r="Z83" s="54">
        <f t="shared" si="62"/>
        <v>1.5239775652484324E-2</v>
      </c>
      <c r="AA83" s="113"/>
    </row>
    <row r="84" spans="1:27" x14ac:dyDescent="0.2">
      <c r="A84" s="20">
        <f t="shared" si="68"/>
        <v>0.79000000000000048</v>
      </c>
      <c r="B84" s="23">
        <f t="shared" si="69"/>
        <v>0.01</v>
      </c>
      <c r="C84" s="12">
        <f t="shared" si="70"/>
        <v>0</v>
      </c>
      <c r="D84" s="12">
        <f t="shared" si="71"/>
        <v>1198.51644454703</v>
      </c>
      <c r="E84" s="23">
        <f t="shared" si="63"/>
        <v>0.12356017550207736</v>
      </c>
      <c r="F84" s="23">
        <f t="shared" si="72"/>
        <v>135.75324950163562</v>
      </c>
      <c r="G84" s="95">
        <f t="shared" si="64"/>
        <v>0.55923163305040191</v>
      </c>
      <c r="H84" s="95">
        <f t="shared" si="65"/>
        <v>0.25418197948104221</v>
      </c>
      <c r="I84" s="95">
        <f t="shared" si="66"/>
        <v>1.2309494570471834E-2</v>
      </c>
      <c r="J84" s="12">
        <f t="shared" si="73"/>
        <v>0</v>
      </c>
      <c r="K84" s="12">
        <f t="shared" si="48"/>
        <v>1335.2189773312693</v>
      </c>
      <c r="L84" s="54">
        <f t="shared" si="49"/>
        <v>9.2539259552047203E-5</v>
      </c>
      <c r="M84" s="10">
        <f t="shared" si="50"/>
        <v>0.1016711504302976</v>
      </c>
      <c r="N84" s="10">
        <f t="shared" si="51"/>
        <v>4.1883139960169688E-4</v>
      </c>
      <c r="O84" s="10">
        <f t="shared" si="52"/>
        <v>1.9036726094852333E-4</v>
      </c>
      <c r="P84" s="10">
        <f t="shared" si="53"/>
        <v>9.2190829964648061E-6</v>
      </c>
      <c r="Q84" s="54">
        <f t="shared" si="54"/>
        <v>1.7323149011876791E-2</v>
      </c>
      <c r="R84" s="10">
        <f t="shared" si="55"/>
        <v>2.1632554872303041E-4</v>
      </c>
      <c r="S84" s="10">
        <f t="shared" si="56"/>
        <v>4.9764577900019726E-4</v>
      </c>
      <c r="T84" s="10">
        <f t="shared" si="57"/>
        <v>0.29736728525111095</v>
      </c>
      <c r="U84" s="10">
        <f t="shared" si="58"/>
        <v>0.68459551290625709</v>
      </c>
      <c r="V84" s="10">
        <f t="shared" si="59"/>
        <v>7.9747670704976656E-8</v>
      </c>
      <c r="W84" s="10">
        <f t="shared" si="60"/>
        <v>1.7553612162390183E-9</v>
      </c>
      <c r="X84" s="163">
        <f t="shared" si="67"/>
        <v>1</v>
      </c>
      <c r="Y84" s="54">
        <f t="shared" si="61"/>
        <v>0.26483296128872857</v>
      </c>
      <c r="Z84" s="54">
        <f t="shared" si="62"/>
        <v>1.5230904077811106E-2</v>
      </c>
      <c r="AA84" s="113"/>
    </row>
    <row r="85" spans="1:27" x14ac:dyDescent="0.2">
      <c r="A85" s="20">
        <f t="shared" si="68"/>
        <v>0.80000000000000049</v>
      </c>
      <c r="B85" s="23">
        <f t="shared" si="69"/>
        <v>0.01</v>
      </c>
      <c r="C85" s="12">
        <f t="shared" si="70"/>
        <v>0</v>
      </c>
      <c r="D85" s="12">
        <f t="shared" si="71"/>
        <v>1198.51644454703</v>
      </c>
      <c r="E85" s="23">
        <f t="shared" si="63"/>
        <v>0.12091184588919007</v>
      </c>
      <c r="F85" s="23">
        <f t="shared" si="72"/>
        <v>135.7518491823088</v>
      </c>
      <c r="G85" s="95">
        <f t="shared" si="64"/>
        <v>0.56187996266328921</v>
      </c>
      <c r="H85" s="95">
        <f t="shared" si="65"/>
        <v>0.25402967044026409</v>
      </c>
      <c r="I85" s="95">
        <f t="shared" si="66"/>
        <v>1.2461803611249945E-2</v>
      </c>
      <c r="J85" s="12">
        <f t="shared" si="73"/>
        <v>0</v>
      </c>
      <c r="K85" s="12">
        <f t="shared" si="48"/>
        <v>1335.2175770119431</v>
      </c>
      <c r="L85" s="54">
        <f t="shared" si="49"/>
        <v>9.0555912362819764E-5</v>
      </c>
      <c r="M85" s="10">
        <f t="shared" si="50"/>
        <v>0.10167020830126065</v>
      </c>
      <c r="N85" s="10">
        <f t="shared" si="51"/>
        <v>4.2081528309469173E-4</v>
      </c>
      <c r="O85" s="10">
        <f t="shared" si="52"/>
        <v>1.902533900195892E-4</v>
      </c>
      <c r="P85" s="10">
        <f t="shared" si="53"/>
        <v>9.3331632430558377E-6</v>
      </c>
      <c r="Q85" s="54">
        <f t="shared" si="54"/>
        <v>1.7323337162238352E-2</v>
      </c>
      <c r="R85" s="10">
        <f t="shared" si="55"/>
        <v>2.1169145174846949E-4</v>
      </c>
      <c r="S85" s="10">
        <f t="shared" si="56"/>
        <v>4.9735350678619349E-4</v>
      </c>
      <c r="T85" s="10">
        <f t="shared" si="57"/>
        <v>0.29736775945533844</v>
      </c>
      <c r="U85" s="10">
        <f t="shared" si="58"/>
        <v>0.68459977652050397</v>
      </c>
      <c r="V85" s="10">
        <f t="shared" si="59"/>
        <v>8.0126282670167203E-8</v>
      </c>
      <c r="W85" s="10">
        <f t="shared" si="60"/>
        <v>1.7771019881224933E-9</v>
      </c>
      <c r="X85" s="163">
        <f t="shared" si="67"/>
        <v>1.0000000000000002</v>
      </c>
      <c r="Y85" s="54">
        <f t="shared" si="61"/>
        <v>0.25916097715086583</v>
      </c>
      <c r="Z85" s="54">
        <f t="shared" si="62"/>
        <v>1.5222032255070546E-2</v>
      </c>
      <c r="AA85" s="113"/>
    </row>
    <row r="86" spans="1:27" x14ac:dyDescent="0.2">
      <c r="A86" s="20">
        <f t="shared" si="68"/>
        <v>0.8100000000000005</v>
      </c>
      <c r="B86" s="23">
        <f t="shared" si="69"/>
        <v>0.01</v>
      </c>
      <c r="C86" s="12">
        <f t="shared" si="70"/>
        <v>0</v>
      </c>
      <c r="D86" s="12">
        <f t="shared" si="71"/>
        <v>1198.51644454703</v>
      </c>
      <c r="E86" s="23">
        <f t="shared" si="63"/>
        <v>0.11832023611768142</v>
      </c>
      <c r="F86" s="23">
        <f t="shared" si="72"/>
        <v>135.75047726726177</v>
      </c>
      <c r="G86" s="95">
        <f t="shared" si="64"/>
        <v>0.56447157243479784</v>
      </c>
      <c r="H86" s="95">
        <f t="shared" si="65"/>
        <v>0.2538774501177134</v>
      </c>
      <c r="I86" s="95">
        <f t="shared" si="66"/>
        <v>1.261402393380065E-2</v>
      </c>
      <c r="J86" s="12">
        <f t="shared" si="73"/>
        <v>0</v>
      </c>
      <c r="K86" s="12">
        <f t="shared" si="48"/>
        <v>1335.2162050968957</v>
      </c>
      <c r="L86" s="54">
        <f t="shared" si="49"/>
        <v>8.8615039022159708E-5</v>
      </c>
      <c r="M86" s="10">
        <f t="shared" si="50"/>
        <v>0.10166928528058904</v>
      </c>
      <c r="N86" s="10">
        <f t="shared" si="51"/>
        <v>4.2275668186174728E-4</v>
      </c>
      <c r="O86" s="10">
        <f t="shared" si="52"/>
        <v>1.9013958125177913E-4</v>
      </c>
      <c r="P86" s="10">
        <f t="shared" si="53"/>
        <v>9.4471770831191029E-6</v>
      </c>
      <c r="Q86" s="54">
        <f t="shared" si="54"/>
        <v>1.732352151148803E-2</v>
      </c>
      <c r="R86" s="10">
        <f t="shared" si="55"/>
        <v>2.0715650028217808E-4</v>
      </c>
      <c r="S86" s="10">
        <f t="shared" si="56"/>
        <v>4.9706128154235868E-4</v>
      </c>
      <c r="T86" s="10">
        <f t="shared" si="57"/>
        <v>0.29736822424070214</v>
      </c>
      <c r="U86" s="10">
        <f t="shared" si="58"/>
        <v>0.68460395417035946</v>
      </c>
      <c r="V86" s="10">
        <f t="shared" si="59"/>
        <v>8.049679569040518E-8</v>
      </c>
      <c r="W86" s="10">
        <f t="shared" si="60"/>
        <v>1.798830192729182E-9</v>
      </c>
      <c r="X86" s="163">
        <f t="shared" si="67"/>
        <v>1</v>
      </c>
      <c r="Y86" s="54">
        <f t="shared" si="61"/>
        <v>0.25361029243810496</v>
      </c>
      <c r="Z86" s="54">
        <f t="shared" si="62"/>
        <v>1.521316030587341E-2</v>
      </c>
      <c r="AA86" s="113"/>
    </row>
    <row r="87" spans="1:27" x14ac:dyDescent="0.2">
      <c r="A87" s="20">
        <f t="shared" si="68"/>
        <v>0.82000000000000051</v>
      </c>
      <c r="B87" s="23">
        <f t="shared" si="69"/>
        <v>0.01</v>
      </c>
      <c r="C87" s="12">
        <f t="shared" si="70"/>
        <v>0</v>
      </c>
      <c r="D87" s="12">
        <f t="shared" si="71"/>
        <v>1198.51644454703</v>
      </c>
      <c r="E87" s="23">
        <f t="shared" si="63"/>
        <v>0.11578413319330036</v>
      </c>
      <c r="F87" s="23">
        <f t="shared" si="72"/>
        <v>135.74913314999804</v>
      </c>
      <c r="G87" s="95">
        <f t="shared" si="64"/>
        <v>0.56700767535917884</v>
      </c>
      <c r="H87" s="95">
        <f t="shared" si="65"/>
        <v>0.25372531851465469</v>
      </c>
      <c r="I87" s="95">
        <f t="shared" si="66"/>
        <v>1.2766155536859385E-2</v>
      </c>
      <c r="J87" s="12">
        <f t="shared" si="73"/>
        <v>0</v>
      </c>
      <c r="K87" s="12">
        <f t="shared" si="48"/>
        <v>1335.214860979632</v>
      </c>
      <c r="L87" s="54">
        <f t="shared" si="49"/>
        <v>8.6715731360532383E-5</v>
      </c>
      <c r="M87" s="10">
        <f t="shared" si="50"/>
        <v>0.10166838096035004</v>
      </c>
      <c r="N87" s="10">
        <f t="shared" si="51"/>
        <v>4.2465650430461189E-4</v>
      </c>
      <c r="O87" s="10">
        <f t="shared" si="52"/>
        <v>1.9002583473981056E-4</v>
      </c>
      <c r="P87" s="10">
        <f t="shared" si="53"/>
        <v>9.56112451256946E-6</v>
      </c>
      <c r="Q87" s="54">
        <f t="shared" si="54"/>
        <v>1.732370214060306E-2</v>
      </c>
      <c r="R87" s="10">
        <f t="shared" si="55"/>
        <v>2.0271857836667506E-4</v>
      </c>
      <c r="S87" s="10">
        <f t="shared" si="56"/>
        <v>4.9676910603941432E-4</v>
      </c>
      <c r="T87" s="10">
        <f t="shared" si="57"/>
        <v>0.29736867980761422</v>
      </c>
      <c r="U87" s="10">
        <f t="shared" si="58"/>
        <v>0.68460804768744821</v>
      </c>
      <c r="V87" s="10">
        <f t="shared" si="59"/>
        <v>8.0859382611996835E-8</v>
      </c>
      <c r="W87" s="10">
        <f t="shared" si="60"/>
        <v>1.8205458230971444E-9</v>
      </c>
      <c r="X87" s="163">
        <f t="shared" si="67"/>
        <v>1</v>
      </c>
      <c r="Y87" s="54">
        <f t="shared" si="61"/>
        <v>0.24817832053247477</v>
      </c>
      <c r="Z87" s="54">
        <f t="shared" si="62"/>
        <v>1.5204288349110763E-2</v>
      </c>
      <c r="AA87" s="113"/>
    </row>
    <row r="88" spans="1:27" x14ac:dyDescent="0.2">
      <c r="A88" s="20">
        <f t="shared" si="68"/>
        <v>0.83000000000000052</v>
      </c>
      <c r="B88" s="23">
        <f t="shared" si="69"/>
        <v>0.01</v>
      </c>
      <c r="C88" s="12">
        <f t="shared" si="70"/>
        <v>0</v>
      </c>
      <c r="D88" s="12">
        <f t="shared" si="71"/>
        <v>1198.51644454703</v>
      </c>
      <c r="E88" s="23">
        <f t="shared" si="63"/>
        <v>0.11330234998797561</v>
      </c>
      <c r="F88" s="23">
        <f t="shared" si="72"/>
        <v>135.74781623695364</v>
      </c>
      <c r="G88" s="95">
        <f t="shared" si="64"/>
        <v>0.56948945856450361</v>
      </c>
      <c r="H88" s="95">
        <f t="shared" si="65"/>
        <v>0.25357327563116355</v>
      </c>
      <c r="I88" s="95">
        <f t="shared" si="66"/>
        <v>1.2918198420350493E-2</v>
      </c>
      <c r="J88" s="12">
        <f t="shared" si="73"/>
        <v>0</v>
      </c>
      <c r="K88" s="12">
        <f t="shared" si="48"/>
        <v>1335.2135440665877</v>
      </c>
      <c r="L88" s="54">
        <f t="shared" si="49"/>
        <v>8.485710056752179E-5</v>
      </c>
      <c r="M88" s="10">
        <f t="shared" si="50"/>
        <v>0.10166749494130643</v>
      </c>
      <c r="N88" s="10">
        <f t="shared" si="51"/>
        <v>4.265156394609662E-4</v>
      </c>
      <c r="O88" s="10">
        <f t="shared" si="52"/>
        <v>1.8991215057545711E-4</v>
      </c>
      <c r="P88" s="10">
        <f t="shared" si="53"/>
        <v>9.6750055283338685E-6</v>
      </c>
      <c r="Q88" s="54">
        <f t="shared" si="54"/>
        <v>1.7323879128841417E-2</v>
      </c>
      <c r="R88" s="10">
        <f t="shared" si="55"/>
        <v>1.9837561498318036E-4</v>
      </c>
      <c r="S88" s="10">
        <f t="shared" si="56"/>
        <v>4.9647698298535385E-4</v>
      </c>
      <c r="T88" s="10">
        <f t="shared" si="57"/>
        <v>0.29736912635223811</v>
      </c>
      <c r="U88" s="10">
        <f t="shared" si="58"/>
        <v>0.68461205886449039</v>
      </c>
      <c r="V88" s="10">
        <f t="shared" si="59"/>
        <v>8.12142126103421E-8</v>
      </c>
      <c r="W88" s="10">
        <f t="shared" si="60"/>
        <v>1.842248872696383E-9</v>
      </c>
      <c r="X88" s="163">
        <f t="shared" si="67"/>
        <v>1</v>
      </c>
      <c r="Y88" s="54">
        <f t="shared" si="61"/>
        <v>0.24286252966027283</v>
      </c>
      <c r="Z88" s="54">
        <f t="shared" si="62"/>
        <v>1.5195416501012745E-2</v>
      </c>
      <c r="AA88" s="113"/>
    </row>
    <row r="89" spans="1:27" x14ac:dyDescent="0.2">
      <c r="A89" s="20">
        <f t="shared" si="68"/>
        <v>0.84000000000000052</v>
      </c>
      <c r="B89" s="23">
        <f t="shared" si="69"/>
        <v>0.01</v>
      </c>
      <c r="C89" s="12">
        <f t="shared" si="70"/>
        <v>0</v>
      </c>
      <c r="D89" s="12">
        <f t="shared" si="71"/>
        <v>1198.51644454703</v>
      </c>
      <c r="E89" s="23">
        <f t="shared" si="63"/>
        <v>0.11087372469137288</v>
      </c>
      <c r="F89" s="23">
        <f t="shared" si="72"/>
        <v>135.74652594722284</v>
      </c>
      <c r="G89" s="95">
        <f t="shared" si="64"/>
        <v>0.57191808386110632</v>
      </c>
      <c r="H89" s="95">
        <f t="shared" si="65"/>
        <v>0.25342132146615343</v>
      </c>
      <c r="I89" s="95">
        <f t="shared" si="66"/>
        <v>1.3070152585360621E-2</v>
      </c>
      <c r="J89" s="12">
        <f t="shared" si="73"/>
        <v>0</v>
      </c>
      <c r="K89" s="12">
        <f t="shared" si="48"/>
        <v>1335.2122537768571</v>
      </c>
      <c r="L89" s="54">
        <f t="shared" si="49"/>
        <v>8.3038276781649642E-5</v>
      </c>
      <c r="M89" s="10">
        <f t="shared" si="50"/>
        <v>0.10166662683273203</v>
      </c>
      <c r="N89" s="10">
        <f t="shared" si="51"/>
        <v>4.2833495741470795E-4</v>
      </c>
      <c r="O89" s="10">
        <f t="shared" si="52"/>
        <v>1.8979852884761319E-4</v>
      </c>
      <c r="P89" s="10">
        <f t="shared" si="53"/>
        <v>9.7888201283276463E-6</v>
      </c>
      <c r="Q89" s="54">
        <f t="shared" si="54"/>
        <v>1.7324052553777967E-2</v>
      </c>
      <c r="R89" s="10">
        <f t="shared" si="55"/>
        <v>1.9412558310648266E-4</v>
      </c>
      <c r="S89" s="10">
        <f t="shared" si="56"/>
        <v>4.9618491502680096E-4</v>
      </c>
      <c r="T89" s="10">
        <f t="shared" si="57"/>
        <v>0.29736956406657716</v>
      </c>
      <c r="U89" s="10">
        <f t="shared" si="58"/>
        <v>0.68461598945612079</v>
      </c>
      <c r="V89" s="10">
        <f t="shared" si="59"/>
        <v>8.1561451267139362E-8</v>
      </c>
      <c r="W89" s="10">
        <f t="shared" si="60"/>
        <v>1.8639393354168793E-9</v>
      </c>
      <c r="X89" s="163">
        <f t="shared" si="67"/>
        <v>0.99999999999999978</v>
      </c>
      <c r="Y89" s="54">
        <f t="shared" si="61"/>
        <v>0.23766044174242593</v>
      </c>
      <c r="Z89" s="54">
        <f t="shared" si="62"/>
        <v>1.5186544875206008E-2</v>
      </c>
      <c r="AA89" s="113"/>
    </row>
    <row r="90" spans="1:27" x14ac:dyDescent="0.2">
      <c r="A90" s="20">
        <f t="shared" si="68"/>
        <v>0.85000000000000053</v>
      </c>
      <c r="B90" s="23">
        <f t="shared" si="69"/>
        <v>0.01</v>
      </c>
      <c r="C90" s="12">
        <f t="shared" si="70"/>
        <v>0</v>
      </c>
      <c r="D90" s="12">
        <f t="shared" si="71"/>
        <v>1198.51644454703</v>
      </c>
      <c r="E90" s="23">
        <f t="shared" si="63"/>
        <v>0.10849712027394862</v>
      </c>
      <c r="F90" s="23">
        <f t="shared" si="72"/>
        <v>135.74526171228976</v>
      </c>
      <c r="G90" s="95">
        <f t="shared" si="64"/>
        <v>0.57429468827853059</v>
      </c>
      <c r="H90" s="95">
        <f t="shared" si="65"/>
        <v>0.25326945601740136</v>
      </c>
      <c r="I90" s="95">
        <f t="shared" si="66"/>
        <v>1.3222018034112682E-2</v>
      </c>
      <c r="J90" s="12">
        <f t="shared" si="73"/>
        <v>0</v>
      </c>
      <c r="K90" s="12">
        <f t="shared" si="48"/>
        <v>1335.2109895419239</v>
      </c>
      <c r="L90" s="54">
        <f t="shared" si="49"/>
        <v>8.125840868878045E-5</v>
      </c>
      <c r="M90" s="10">
        <f t="shared" si="50"/>
        <v>0.10166577625223143</v>
      </c>
      <c r="N90" s="10">
        <f t="shared" si="51"/>
        <v>4.3011530969765019E-4</v>
      </c>
      <c r="O90" s="10">
        <f t="shared" si="52"/>
        <v>1.8968496964235704E-4</v>
      </c>
      <c r="P90" s="10">
        <f t="shared" si="53"/>
        <v>9.9025683114312971E-6</v>
      </c>
      <c r="Q90" s="54">
        <f t="shared" si="54"/>
        <v>1.7324222491339861E-2</v>
      </c>
      <c r="R90" s="10">
        <f t="shared" si="55"/>
        <v>1.8996649877929244E-4</v>
      </c>
      <c r="S90" s="10">
        <f t="shared" si="56"/>
        <v>4.9589290475033861E-4</v>
      </c>
      <c r="T90" s="10">
        <f t="shared" si="57"/>
        <v>0.29736999313856233</v>
      </c>
      <c r="U90" s="10">
        <f t="shared" si="58"/>
        <v>0.68461984117969032</v>
      </c>
      <c r="V90" s="10">
        <f t="shared" si="59"/>
        <v>8.1901260645998733E-8</v>
      </c>
      <c r="W90" s="10">
        <f t="shared" si="60"/>
        <v>1.885617205556943E-9</v>
      </c>
      <c r="X90" s="163">
        <f t="shared" si="67"/>
        <v>1</v>
      </c>
      <c r="Y90" s="54">
        <f t="shared" si="61"/>
        <v>0.23256963126838937</v>
      </c>
      <c r="Z90" s="54">
        <f t="shared" si="62"/>
        <v>1.517767358277E-2</v>
      </c>
      <c r="AA90" s="113"/>
    </row>
    <row r="91" spans="1:27" x14ac:dyDescent="0.2">
      <c r="A91" s="20">
        <f t="shared" si="68"/>
        <v>0.86000000000000054</v>
      </c>
      <c r="B91" s="23">
        <f t="shared" si="69"/>
        <v>0.01</v>
      </c>
      <c r="C91" s="12">
        <f t="shared" si="70"/>
        <v>0</v>
      </c>
      <c r="D91" s="12">
        <f t="shared" si="71"/>
        <v>1198.51644454703</v>
      </c>
      <c r="E91" s="23">
        <f t="shared" si="63"/>
        <v>0.10617142396126472</v>
      </c>
      <c r="F91" s="23">
        <f t="shared" si="72"/>
        <v>135.74402297576552</v>
      </c>
      <c r="G91" s="95">
        <f t="shared" si="64"/>
        <v>0.57662038459121445</v>
      </c>
      <c r="H91" s="95">
        <f t="shared" si="65"/>
        <v>0.25311767928157364</v>
      </c>
      <c r="I91" s="95">
        <f t="shared" si="66"/>
        <v>1.3373794769940382E-2</v>
      </c>
      <c r="J91" s="12">
        <f t="shared" si="73"/>
        <v>0</v>
      </c>
      <c r="K91" s="12">
        <f t="shared" si="48"/>
        <v>1335.2097508053996</v>
      </c>
      <c r="L91" s="54">
        <f t="shared" si="49"/>
        <v>7.9516663128936883E-5</v>
      </c>
      <c r="M91" s="10">
        <f t="shared" si="50"/>
        <v>0.10166494282556326</v>
      </c>
      <c r="N91" s="10">
        <f t="shared" si="51"/>
        <v>4.3185752968280571E-4</v>
      </c>
      <c r="O91" s="10">
        <f t="shared" si="52"/>
        <v>1.8957147304301278E-4</v>
      </c>
      <c r="P91" s="10">
        <f t="shared" si="53"/>
        <v>1.0016250077467827E-5</v>
      </c>
      <c r="Q91" s="54">
        <f t="shared" si="54"/>
        <v>1.7324389015841195E-2</v>
      </c>
      <c r="R91" s="10">
        <f t="shared" si="55"/>
        <v>1.8589642020569431E-4</v>
      </c>
      <c r="S91" s="10">
        <f t="shared" si="56"/>
        <v>4.9560095468381042E-4</v>
      </c>
      <c r="T91" s="10">
        <f t="shared" si="57"/>
        <v>0.29737041375213691</v>
      </c>
      <c r="U91" s="10">
        <f t="shared" si="58"/>
        <v>0.68462361571605057</v>
      </c>
      <c r="V91" s="10">
        <f t="shared" si="59"/>
        <v>8.2233799366494976E-8</v>
      </c>
      <c r="W91" s="10">
        <f t="shared" si="60"/>
        <v>1.9072824778118562E-9</v>
      </c>
      <c r="X91" s="163">
        <f t="shared" si="67"/>
        <v>0.99999999999999989</v>
      </c>
      <c r="Y91" s="54">
        <f t="shared" si="61"/>
        <v>0.22758772419312512</v>
      </c>
      <c r="Z91" s="54">
        <f t="shared" si="62"/>
        <v>1.5168802732292019E-2</v>
      </c>
      <c r="AA91" s="113"/>
    </row>
    <row r="92" spans="1:27" x14ac:dyDescent="0.2">
      <c r="A92" s="20">
        <f t="shared" si="68"/>
        <v>0.87000000000000055</v>
      </c>
      <c r="B92" s="23">
        <f t="shared" si="69"/>
        <v>0.01</v>
      </c>
      <c r="C92" s="12">
        <f t="shared" si="70"/>
        <v>0</v>
      </c>
      <c r="D92" s="12">
        <f t="shared" si="71"/>
        <v>1198.51644454703</v>
      </c>
      <c r="E92" s="23">
        <f t="shared" si="63"/>
        <v>0.10389554671933347</v>
      </c>
      <c r="F92" s="23">
        <f t="shared" si="72"/>
        <v>135.74280919313088</v>
      </c>
      <c r="G92" s="95">
        <f t="shared" si="64"/>
        <v>0.57889626183314569</v>
      </c>
      <c r="H92" s="95">
        <f t="shared" si="65"/>
        <v>0.25296599125425073</v>
      </c>
      <c r="I92" s="95">
        <f t="shared" si="66"/>
        <v>1.3525482797263302E-2</v>
      </c>
      <c r="J92" s="12">
        <f t="shared" si="73"/>
        <v>0</v>
      </c>
      <c r="K92" s="12">
        <f t="shared" si="48"/>
        <v>1335.2085370227649</v>
      </c>
      <c r="L92" s="54">
        <f t="shared" si="49"/>
        <v>7.7812224711353901E-5</v>
      </c>
      <c r="M92" s="10">
        <f t="shared" si="50"/>
        <v>0.10166412618646739</v>
      </c>
      <c r="N92" s="10">
        <f t="shared" si="51"/>
        <v>4.3356243296943187E-4</v>
      </c>
      <c r="O92" s="10">
        <f t="shared" si="52"/>
        <v>1.8945803913021097E-4</v>
      </c>
      <c r="P92" s="10">
        <f t="shared" si="53"/>
        <v>1.0129865427180606E-5</v>
      </c>
      <c r="Q92" s="54">
        <f t="shared" si="54"/>
        <v>1.7324552200016986E-2</v>
      </c>
      <c r="R92" s="10">
        <f t="shared" si="55"/>
        <v>1.8191344686332173E-4</v>
      </c>
      <c r="S92" s="10">
        <f t="shared" si="56"/>
        <v>4.9530906729759467E-4</v>
      </c>
      <c r="T92" s="10">
        <f t="shared" si="57"/>
        <v>0.29737082608734094</v>
      </c>
      <c r="U92" s="10">
        <f t="shared" si="58"/>
        <v>0.68462731471032345</v>
      </c>
      <c r="V92" s="10">
        <f t="shared" si="59"/>
        <v>8.2559222676691342E-8</v>
      </c>
      <c r="W92" s="10">
        <f t="shared" si="60"/>
        <v>1.928935147262827E-9</v>
      </c>
      <c r="X92" s="163">
        <f t="shared" si="67"/>
        <v>1.0000000000000002</v>
      </c>
      <c r="Y92" s="54">
        <f t="shared" si="61"/>
        <v>0.2227123968567111</v>
      </c>
      <c r="Z92" s="54">
        <f t="shared" si="62"/>
        <v>1.5159932429921167E-2</v>
      </c>
      <c r="AA92" s="113"/>
    </row>
    <row r="93" spans="1:27" x14ac:dyDescent="0.2">
      <c r="A93" s="20">
        <f t="shared" si="68"/>
        <v>0.88000000000000056</v>
      </c>
      <c r="B93" s="23">
        <f t="shared" si="69"/>
        <v>0.01</v>
      </c>
      <c r="C93" s="12">
        <f t="shared" si="70"/>
        <v>0</v>
      </c>
      <c r="D93" s="12">
        <f t="shared" si="71"/>
        <v>1198.51644454703</v>
      </c>
      <c r="E93" s="23">
        <f t="shared" si="63"/>
        <v>0.10166842275076636</v>
      </c>
      <c r="F93" s="23">
        <f t="shared" si="72"/>
        <v>135.74161983148446</v>
      </c>
      <c r="G93" s="95">
        <f t="shared" si="64"/>
        <v>0.58112338580171274</v>
      </c>
      <c r="H93" s="95">
        <f t="shared" si="65"/>
        <v>0.25281439192995153</v>
      </c>
      <c r="I93" s="95">
        <f t="shared" si="66"/>
        <v>1.3677082121562514E-2</v>
      </c>
      <c r="J93" s="12">
        <f t="shared" si="73"/>
        <v>0</v>
      </c>
      <c r="K93" s="12">
        <f t="shared" si="48"/>
        <v>1335.2073476611183</v>
      </c>
      <c r="L93" s="54">
        <f t="shared" si="49"/>
        <v>7.6144295437602898E-5</v>
      </c>
      <c r="M93" s="10">
        <f t="shared" si="50"/>
        <v>0.10166332597649567</v>
      </c>
      <c r="N93" s="10">
        <f t="shared" si="51"/>
        <v>4.3523081776000272E-4</v>
      </c>
      <c r="O93" s="10">
        <f t="shared" si="52"/>
        <v>1.8934466798194776E-4</v>
      </c>
      <c r="P93" s="10">
        <f t="shared" si="53"/>
        <v>1.0243414362211718E-5</v>
      </c>
      <c r="Q93" s="54">
        <f t="shared" si="54"/>
        <v>1.732471211505638E-2</v>
      </c>
      <c r="R93" s="10">
        <f t="shared" si="55"/>
        <v>1.7801571863388158E-4</v>
      </c>
      <c r="S93" s="10">
        <f t="shared" si="56"/>
        <v>4.9501724500584888E-4</v>
      </c>
      <c r="T93" s="10">
        <f t="shared" si="57"/>
        <v>0.29737123032039287</v>
      </c>
      <c r="U93" s="10">
        <f t="shared" si="58"/>
        <v>0.68463093977265332</v>
      </c>
      <c r="V93" s="10">
        <f t="shared" si="59"/>
        <v>8.2877682524164112E-8</v>
      </c>
      <c r="W93" s="10">
        <f t="shared" si="60"/>
        <v>1.9505752093662139E-9</v>
      </c>
      <c r="X93" s="163">
        <f t="shared" si="67"/>
        <v>1</v>
      </c>
      <c r="Y93" s="54">
        <f t="shared" si="61"/>
        <v>0.21794137492613647</v>
      </c>
      <c r="Z93" s="54">
        <f t="shared" si="62"/>
        <v>1.5151062779421038E-2</v>
      </c>
      <c r="AA93" s="113"/>
    </row>
    <row r="94" spans="1:27" x14ac:dyDescent="0.2">
      <c r="A94" s="20">
        <f t="shared" si="68"/>
        <v>0.89000000000000057</v>
      </c>
      <c r="B94" s="23">
        <f t="shared" si="69"/>
        <v>0.01</v>
      </c>
      <c r="C94" s="12">
        <f t="shared" si="70"/>
        <v>0</v>
      </c>
      <c r="D94" s="12">
        <f t="shared" si="71"/>
        <v>1198.51644454703</v>
      </c>
      <c r="E94" s="23">
        <f t="shared" si="63"/>
        <v>9.9489009001504994E-2</v>
      </c>
      <c r="F94" s="23">
        <f t="shared" si="72"/>
        <v>135.74045436929592</v>
      </c>
      <c r="G94" s="95">
        <f t="shared" si="64"/>
        <v>0.58330279955097408</v>
      </c>
      <c r="H94" s="95">
        <f t="shared" si="65"/>
        <v>0.25266288130215731</v>
      </c>
      <c r="I94" s="95">
        <f t="shared" si="66"/>
        <v>1.3828592749356723E-2</v>
      </c>
      <c r="J94" s="12">
        <f t="shared" si="73"/>
        <v>0</v>
      </c>
      <c r="K94" s="12">
        <f t="shared" si="48"/>
        <v>1335.2061821989298</v>
      </c>
      <c r="L94" s="54">
        <f t="shared" si="49"/>
        <v>7.4512094332620702E-5</v>
      </c>
      <c r="M94" s="10">
        <f t="shared" si="50"/>
        <v>0.1016625418448461</v>
      </c>
      <c r="N94" s="10">
        <f t="shared" si="51"/>
        <v>4.3686346522927417E-4</v>
      </c>
      <c r="O94" s="10">
        <f t="shared" si="52"/>
        <v>1.8923135967364294E-4</v>
      </c>
      <c r="P94" s="10">
        <f t="shared" si="53"/>
        <v>1.03568968850808E-5</v>
      </c>
      <c r="Q94" s="54">
        <f t="shared" si="54"/>
        <v>1.7324868830635259E-2</v>
      </c>
      <c r="R94" s="10">
        <f t="shared" si="55"/>
        <v>1.7420141495166544E-4</v>
      </c>
      <c r="S94" s="10">
        <f t="shared" si="56"/>
        <v>4.9472549016773171E-4</v>
      </c>
      <c r="T94" s="10">
        <f t="shared" si="57"/>
        <v>0.29737162662376987</v>
      </c>
      <c r="U94" s="10">
        <f t="shared" si="58"/>
        <v>0.68463449247894514</v>
      </c>
      <c r="V94" s="10">
        <f t="shared" si="59"/>
        <v>8.3189327625558303E-8</v>
      </c>
      <c r="W94" s="10">
        <f t="shared" si="60"/>
        <v>1.9722026599430459E-9</v>
      </c>
      <c r="X94" s="163">
        <f t="shared" si="67"/>
        <v>1</v>
      </c>
      <c r="Y94" s="54">
        <f t="shared" si="61"/>
        <v>0.21327243235885091</v>
      </c>
      <c r="Z94" s="54">
        <f t="shared" si="62"/>
        <v>1.5142193882221431E-2</v>
      </c>
      <c r="AA94" s="113"/>
    </row>
    <row r="95" spans="1:27" x14ac:dyDescent="0.2">
      <c r="A95" s="20">
        <f t="shared" si="68"/>
        <v>0.90000000000000058</v>
      </c>
      <c r="B95" s="23">
        <f t="shared" si="69"/>
        <v>0.01</v>
      </c>
      <c r="C95" s="12">
        <f t="shared" si="70"/>
        <v>0</v>
      </c>
      <c r="D95" s="12">
        <f t="shared" si="71"/>
        <v>1198.51644454703</v>
      </c>
      <c r="E95" s="23">
        <f t="shared" si="63"/>
        <v>9.7356284677916488E-2</v>
      </c>
      <c r="F95" s="23">
        <f t="shared" si="72"/>
        <v>135.73931229616471</v>
      </c>
      <c r="G95" s="95">
        <f t="shared" si="64"/>
        <v>0.58543552387456255</v>
      </c>
      <c r="H95" s="95">
        <f t="shared" si="65"/>
        <v>0.25251145936333508</v>
      </c>
      <c r="I95" s="95">
        <f t="shared" si="66"/>
        <v>1.3980014688178938E-2</v>
      </c>
      <c r="J95" s="12">
        <f t="shared" si="73"/>
        <v>0</v>
      </c>
      <c r="K95" s="12">
        <f t="shared" si="48"/>
        <v>1335.2050401257991</v>
      </c>
      <c r="L95" s="54">
        <f t="shared" si="49"/>
        <v>7.2914857083481254E-5</v>
      </c>
      <c r="M95" s="10">
        <f t="shared" si="50"/>
        <v>0.1016617734482007</v>
      </c>
      <c r="N95" s="10">
        <f t="shared" si="51"/>
        <v>4.384611398856048E-4</v>
      </c>
      <c r="O95" s="10">
        <f t="shared" si="52"/>
        <v>1.8911811427819669E-4</v>
      </c>
      <c r="P95" s="10">
        <f t="shared" si="53"/>
        <v>1.0470312999164369E-5</v>
      </c>
      <c r="Q95" s="54">
        <f t="shared" si="54"/>
        <v>1.7325022414948099E-2</v>
      </c>
      <c r="R95" s="10">
        <f t="shared" si="55"/>
        <v>1.7046875396968774E-4</v>
      </c>
      <c r="S95" s="10">
        <f t="shared" si="56"/>
        <v>4.9443380508859514E-4</v>
      </c>
      <c r="T95" s="10">
        <f t="shared" si="57"/>
        <v>0.29737201516628659</v>
      </c>
      <c r="U95" s="10">
        <f t="shared" si="58"/>
        <v>0.68463797437158591</v>
      </c>
      <c r="V95" s="10">
        <f t="shared" si="59"/>
        <v>8.3494303534702949E-8</v>
      </c>
      <c r="W95" s="10">
        <f t="shared" si="60"/>
        <v>1.9938174951688058E-9</v>
      </c>
      <c r="X95" s="163">
        <f t="shared" si="67"/>
        <v>0.99999999999999989</v>
      </c>
      <c r="Y95" s="54">
        <f t="shared" si="61"/>
        <v>0.20870339038763885</v>
      </c>
      <c r="Z95" s="54">
        <f t="shared" si="62"/>
        <v>1.5133325837468859E-2</v>
      </c>
      <c r="AA95" s="113"/>
    </row>
    <row r="96" spans="1:27" x14ac:dyDescent="0.2">
      <c r="A96" s="20">
        <f t="shared" si="68"/>
        <v>0.91000000000000059</v>
      </c>
      <c r="B96" s="23">
        <f t="shared" si="69"/>
        <v>0.01</v>
      </c>
      <c r="C96" s="12">
        <f t="shared" si="70"/>
        <v>0</v>
      </c>
      <c r="D96" s="12">
        <f t="shared" si="71"/>
        <v>1198.51644454703</v>
      </c>
      <c r="E96" s="23">
        <f t="shared" si="63"/>
        <v>9.5269250774040096E-2</v>
      </c>
      <c r="F96" s="23">
        <f t="shared" si="72"/>
        <v>135.73819311258359</v>
      </c>
      <c r="G96" s="95">
        <f t="shared" si="64"/>
        <v>0.58752255777843898</v>
      </c>
      <c r="H96" s="95">
        <f t="shared" si="65"/>
        <v>0.25236012610496039</v>
      </c>
      <c r="I96" s="95">
        <f t="shared" si="66"/>
        <v>1.4131347946553626E-2</v>
      </c>
      <c r="J96" s="12">
        <f t="shared" si="73"/>
        <v>0</v>
      </c>
      <c r="K96" s="12">
        <f t="shared" si="48"/>
        <v>1335.2039209422176</v>
      </c>
      <c r="L96" s="54">
        <f t="shared" si="49"/>
        <v>7.1351835685751395E-5</v>
      </c>
      <c r="M96" s="10">
        <f t="shared" si="50"/>
        <v>0.10166102045056667</v>
      </c>
      <c r="N96" s="10">
        <f t="shared" si="51"/>
        <v>4.4002458992469114E-4</v>
      </c>
      <c r="O96" s="10">
        <f t="shared" si="52"/>
        <v>1.8900493186604532E-4</v>
      </c>
      <c r="P96" s="10">
        <f t="shared" si="53"/>
        <v>1.0583662708675625E-5</v>
      </c>
      <c r="Q96" s="54">
        <f t="shared" si="54"/>
        <v>1.7325172934739206E-2</v>
      </c>
      <c r="R96" s="10">
        <f t="shared" si="55"/>
        <v>1.6681599174310147E-4</v>
      </c>
      <c r="S96" s="10">
        <f t="shared" si="56"/>
        <v>4.9414219202115401E-4</v>
      </c>
      <c r="T96" s="10">
        <f t="shared" si="57"/>
        <v>0.29737239611317223</v>
      </c>
      <c r="U96" s="10">
        <f t="shared" si="58"/>
        <v>0.68464138696015187</v>
      </c>
      <c r="V96" s="10">
        <f t="shared" si="59"/>
        <v>8.3792752709315675E-8</v>
      </c>
      <c r="W96" s="10">
        <f t="shared" si="60"/>
        <v>2.0154197115634874E-9</v>
      </c>
      <c r="X96" s="163">
        <f t="shared" si="67"/>
        <v>1</v>
      </c>
      <c r="Y96" s="54">
        <f t="shared" si="61"/>
        <v>0.20423211652640058</v>
      </c>
      <c r="Z96" s="54">
        <f t="shared" si="62"/>
        <v>1.5124458742076049E-2</v>
      </c>
      <c r="AA96" s="113"/>
    </row>
    <row r="97" spans="1:27" x14ac:dyDescent="0.2">
      <c r="A97" s="20">
        <f t="shared" si="68"/>
        <v>0.9200000000000006</v>
      </c>
      <c r="B97" s="23">
        <f t="shared" si="69"/>
        <v>0.01</v>
      </c>
      <c r="C97" s="12">
        <f t="shared" si="70"/>
        <v>0</v>
      </c>
      <c r="D97" s="12">
        <f t="shared" si="71"/>
        <v>1198.51644454703</v>
      </c>
      <c r="E97" s="23">
        <f t="shared" si="63"/>
        <v>9.3226929608776085E-2</v>
      </c>
      <c r="F97" s="23">
        <f t="shared" si="72"/>
        <v>135.73709632970724</v>
      </c>
      <c r="G97" s="95">
        <f t="shared" si="64"/>
        <v>0.58956487894370302</v>
      </c>
      <c r="H97" s="95">
        <f t="shared" si="65"/>
        <v>0.25220888151753962</v>
      </c>
      <c r="I97" s="95">
        <f t="shared" si="66"/>
        <v>1.4282592533974386E-2</v>
      </c>
      <c r="J97" s="12">
        <f t="shared" si="73"/>
        <v>0</v>
      </c>
      <c r="K97" s="12">
        <f t="shared" si="48"/>
        <v>1335.2028241593416</v>
      </c>
      <c r="L97" s="54">
        <f t="shared" si="49"/>
        <v>6.9822298097274306E-5</v>
      </c>
      <c r="M97" s="10">
        <f t="shared" si="50"/>
        <v>0.10166028252312065</v>
      </c>
      <c r="N97" s="10">
        <f t="shared" si="51"/>
        <v>4.4155454757587075E-4</v>
      </c>
      <c r="O97" s="10">
        <f t="shared" si="52"/>
        <v>1.8889181250521478E-4</v>
      </c>
      <c r="P97" s="10">
        <f t="shared" si="53"/>
        <v>1.0696946018644667E-5</v>
      </c>
      <c r="Q97" s="54">
        <f t="shared" si="54"/>
        <v>1.7325320455333318E-2</v>
      </c>
      <c r="R97" s="10">
        <f t="shared" si="55"/>
        <v>1.6324142142954453E-4</v>
      </c>
      <c r="S97" s="10">
        <f t="shared" si="56"/>
        <v>4.9385065316662777E-4</v>
      </c>
      <c r="T97" s="10">
        <f t="shared" si="57"/>
        <v>0.29737276962614556</v>
      </c>
      <c r="U97" s="10">
        <f t="shared" si="58"/>
        <v>0.68464473172210116</v>
      </c>
      <c r="V97" s="10">
        <f t="shared" si="59"/>
        <v>8.4084814576323548E-8</v>
      </c>
      <c r="W97" s="10">
        <f t="shared" si="60"/>
        <v>2.0370093059819067E-9</v>
      </c>
      <c r="X97" s="163">
        <f t="shared" si="67"/>
        <v>1</v>
      </c>
      <c r="Y97" s="54">
        <f t="shared" si="61"/>
        <v>0.19985652359642686</v>
      </c>
      <c r="Z97" s="54">
        <f t="shared" si="62"/>
        <v>1.5115592690770308E-2</v>
      </c>
      <c r="AA97" s="113"/>
    </row>
    <row r="98" spans="1:27" x14ac:dyDescent="0.2">
      <c r="A98" s="20">
        <f t="shared" si="68"/>
        <v>0.9300000000000006</v>
      </c>
      <c r="B98" s="23">
        <f t="shared" si="69"/>
        <v>0.01</v>
      </c>
      <c r="C98" s="12">
        <f t="shared" si="70"/>
        <v>0</v>
      </c>
      <c r="D98" s="12">
        <f t="shared" si="71"/>
        <v>1198.51644454703</v>
      </c>
      <c r="E98" s="23">
        <f t="shared" si="63"/>
        <v>9.1228364372811815E-2</v>
      </c>
      <c r="F98" s="23">
        <f t="shared" si="72"/>
        <v>135.7360214691258</v>
      </c>
      <c r="G98" s="95">
        <f t="shared" si="64"/>
        <v>0.59156344417966733</v>
      </c>
      <c r="H98" s="95">
        <f t="shared" si="65"/>
        <v>0.25205772559063194</v>
      </c>
      <c r="I98" s="95">
        <f t="shared" si="66"/>
        <v>1.4433748460882089E-2</v>
      </c>
      <c r="J98" s="12">
        <f t="shared" si="73"/>
        <v>0</v>
      </c>
      <c r="K98" s="12">
        <f t="shared" si="48"/>
        <v>1335.20174929876</v>
      </c>
      <c r="L98" s="54">
        <f t="shared" si="49"/>
        <v>6.8325527899229017E-5</v>
      </c>
      <c r="M98" s="10">
        <f t="shared" si="50"/>
        <v>0.10165955934405685</v>
      </c>
      <c r="N98" s="10">
        <f t="shared" si="51"/>
        <v>4.430517294411522E-4</v>
      </c>
      <c r="O98" s="10">
        <f t="shared" si="52"/>
        <v>1.8877875626137485E-4</v>
      </c>
      <c r="P98" s="10">
        <f t="shared" si="53"/>
        <v>1.0810162934899246E-5</v>
      </c>
      <c r="Q98" s="54">
        <f t="shared" si="54"/>
        <v>1.7325465040665507E-2</v>
      </c>
      <c r="R98" s="10">
        <f t="shared" si="55"/>
        <v>1.5974337250607937E-4</v>
      </c>
      <c r="S98" s="10">
        <f t="shared" si="56"/>
        <v>4.9355919067586081E-4</v>
      </c>
      <c r="T98" s="10">
        <f t="shared" si="57"/>
        <v>0.29737313586348918</v>
      </c>
      <c r="U98" s="10">
        <f t="shared" si="58"/>
        <v>0.68464801010345144</v>
      </c>
      <c r="V98" s="10">
        <f t="shared" si="59"/>
        <v>8.4370625595829165E-8</v>
      </c>
      <c r="W98" s="10">
        <f t="shared" si="60"/>
        <v>2.0585862756042741E-9</v>
      </c>
      <c r="X98" s="163">
        <f t="shared" si="67"/>
        <v>0.99999999999999989</v>
      </c>
      <c r="Y98" s="54">
        <f t="shared" si="61"/>
        <v>0.19557456877276394</v>
      </c>
      <c r="Z98" s="54">
        <f t="shared" si="62"/>
        <v>1.5106727776140964E-2</v>
      </c>
      <c r="AA98" s="113"/>
    </row>
    <row r="99" spans="1:27" x14ac:dyDescent="0.2">
      <c r="A99" s="20">
        <f t="shared" si="68"/>
        <v>0.94000000000000061</v>
      </c>
      <c r="B99" s="23">
        <f t="shared" si="69"/>
        <v>0.01</v>
      </c>
      <c r="C99" s="12">
        <f t="shared" si="70"/>
        <v>0</v>
      </c>
      <c r="D99" s="12">
        <f t="shared" si="71"/>
        <v>1198.51644454703</v>
      </c>
      <c r="E99" s="23">
        <f t="shared" si="63"/>
        <v>8.9272618685084182E-2</v>
      </c>
      <c r="F99" s="23">
        <f t="shared" si="72"/>
        <v>135.73496806264305</v>
      </c>
      <c r="G99" s="95">
        <f t="shared" si="64"/>
        <v>0.59351918986739494</v>
      </c>
      <c r="H99" s="95">
        <f t="shared" si="65"/>
        <v>0.25190665831287051</v>
      </c>
      <c r="I99" s="95">
        <f t="shared" si="66"/>
        <v>1.4584815738643498E-2</v>
      </c>
      <c r="J99" s="12">
        <f t="shared" si="73"/>
        <v>0</v>
      </c>
      <c r="K99" s="12">
        <f t="shared" si="48"/>
        <v>1335.2006958922771</v>
      </c>
      <c r="L99" s="54">
        <f t="shared" si="49"/>
        <v>6.6860823964314821E-5</v>
      </c>
      <c r="M99" s="10">
        <f t="shared" si="50"/>
        <v>0.10165885059843771</v>
      </c>
      <c r="N99" s="10">
        <f t="shared" si="51"/>
        <v>4.4451683682711292E-4</v>
      </c>
      <c r="O99" s="10">
        <f t="shared" si="52"/>
        <v>1.8866576319789016E-4</v>
      </c>
      <c r="P99" s="10">
        <f t="shared" si="53"/>
        <v>1.092331346404585E-5</v>
      </c>
      <c r="Q99" s="54">
        <f t="shared" si="54"/>
        <v>1.7325606753310571E-2</v>
      </c>
      <c r="R99" s="10">
        <f t="shared" si="55"/>
        <v>1.563202100023925E-4</v>
      </c>
      <c r="S99" s="10">
        <f t="shared" si="56"/>
        <v>4.9326780665041685E-4</v>
      </c>
      <c r="T99" s="10">
        <f t="shared" si="57"/>
        <v>0.29737349498012194</v>
      </c>
      <c r="U99" s="10">
        <f t="shared" si="58"/>
        <v>0.68465122351944463</v>
      </c>
      <c r="V99" s="10">
        <f t="shared" si="59"/>
        <v>8.4650319323748022E-8</v>
      </c>
      <c r="W99" s="10">
        <f t="shared" si="60"/>
        <v>2.0801506179270068E-9</v>
      </c>
      <c r="X99" s="163">
        <f t="shared" si="67"/>
        <v>0.99999999999999989</v>
      </c>
      <c r="Y99" s="54">
        <f t="shared" si="61"/>
        <v>0.19138425265026981</v>
      </c>
      <c r="Z99" s="54">
        <f t="shared" si="62"/>
        <v>1.5097864088685735E-2</v>
      </c>
      <c r="AA99" s="113"/>
    </row>
    <row r="100" spans="1:27" x14ac:dyDescent="0.2">
      <c r="A100" s="20">
        <f t="shared" si="68"/>
        <v>0.95000000000000062</v>
      </c>
      <c r="B100" s="23">
        <f t="shared" si="69"/>
        <v>0.01</v>
      </c>
      <c r="C100" s="12">
        <f t="shared" si="70"/>
        <v>0</v>
      </c>
      <c r="D100" s="12">
        <f t="shared" si="71"/>
        <v>1198.51644454703</v>
      </c>
      <c r="E100" s="23">
        <f t="shared" si="63"/>
        <v>8.735877615858148E-2</v>
      </c>
      <c r="F100" s="23">
        <f t="shared" si="72"/>
        <v>135.73393565205936</v>
      </c>
      <c r="G100" s="95">
        <f t="shared" si="64"/>
        <v>0.59543303239389767</v>
      </c>
      <c r="H100" s="95">
        <f t="shared" si="65"/>
        <v>0.25175567967198365</v>
      </c>
      <c r="I100" s="95">
        <f t="shared" si="66"/>
        <v>1.4735794379530355E-2</v>
      </c>
      <c r="J100" s="12">
        <f t="shared" si="73"/>
        <v>0</v>
      </c>
      <c r="K100" s="12">
        <f t="shared" si="48"/>
        <v>1335.1996634816935</v>
      </c>
      <c r="L100" s="54">
        <f t="shared" si="49"/>
        <v>6.5427500131915085E-5</v>
      </c>
      <c r="M100" s="10">
        <f t="shared" si="50"/>
        <v>0.10165815597804811</v>
      </c>
      <c r="N100" s="10">
        <f t="shared" si="51"/>
        <v>4.4595055606981994E-4</v>
      </c>
      <c r="O100" s="10">
        <f t="shared" si="52"/>
        <v>1.8855283337587165E-4</v>
      </c>
      <c r="P100" s="10">
        <f t="shared" si="53"/>
        <v>1.103639761345131E-5</v>
      </c>
      <c r="Q100" s="54">
        <f t="shared" si="54"/>
        <v>1.7325745654511698E-2</v>
      </c>
      <c r="R100" s="10">
        <f t="shared" si="55"/>
        <v>1.5297033374992821E-4</v>
      </c>
      <c r="S100" s="10">
        <f t="shared" si="56"/>
        <v>4.9297650314365045E-4</v>
      </c>
      <c r="T100" s="10">
        <f t="shared" si="57"/>
        <v>0.29737384712766957</v>
      </c>
      <c r="U100" s="10">
        <f t="shared" si="58"/>
        <v>0.68465437335519641</v>
      </c>
      <c r="V100" s="10">
        <f t="shared" si="59"/>
        <v>8.4924026473144559E-8</v>
      </c>
      <c r="W100" s="10">
        <f t="shared" si="60"/>
        <v>2.1017023307537883E-9</v>
      </c>
      <c r="X100" s="163">
        <f t="shared" si="67"/>
        <v>1</v>
      </c>
      <c r="Y100" s="54">
        <f t="shared" si="61"/>
        <v>0.18728361832897192</v>
      </c>
      <c r="Z100" s="54">
        <f t="shared" si="62"/>
        <v>1.5089001716856095E-2</v>
      </c>
      <c r="AA100" s="113"/>
    </row>
    <row r="101" spans="1:27" x14ac:dyDescent="0.2">
      <c r="A101" s="20">
        <f t="shared" si="68"/>
        <v>0.96000000000000063</v>
      </c>
      <c r="B101" s="23">
        <f t="shared" si="69"/>
        <v>0.01</v>
      </c>
      <c r="C101" s="12">
        <f t="shared" si="70"/>
        <v>0</v>
      </c>
      <c r="D101" s="12">
        <f t="shared" si="71"/>
        <v>1198.51644454703</v>
      </c>
      <c r="E101" s="23">
        <f t="shared" si="63"/>
        <v>8.5485939975291761E-2</v>
      </c>
      <c r="F101" s="23">
        <f t="shared" si="72"/>
        <v>135.73292378895914</v>
      </c>
      <c r="G101" s="95">
        <f t="shared" si="64"/>
        <v>0.59730586857718737</v>
      </c>
      <c r="H101" s="95">
        <f t="shared" si="65"/>
        <v>0.25160478965481509</v>
      </c>
      <c r="I101" s="95">
        <f t="shared" si="66"/>
        <v>1.4886684396698916E-2</v>
      </c>
      <c r="J101" s="12">
        <f t="shared" si="73"/>
        <v>0</v>
      </c>
      <c r="K101" s="12">
        <f t="shared" ref="K101:K132" si="74">SUM(C101:J101)</f>
        <v>1335.1986516185932</v>
      </c>
      <c r="L101" s="54">
        <f t="shared" ref="L101:L132" si="75">+E101/$K101*P_t</f>
        <v>6.4024884890095954E-5</v>
      </c>
      <c r="M101" s="10">
        <f t="shared" ref="M101:M132" si="76">+F101/$K101*P_t</f>
        <v>0.10165747518125265</v>
      </c>
      <c r="N101" s="10">
        <f t="shared" ref="N101:N132" si="77">+G101/$K101*P_t</f>
        <v>4.4735355885291224E-4</v>
      </c>
      <c r="O101" s="10">
        <f t="shared" ref="O101:O132" si="78">+H101/$K101*P_t</f>
        <v>1.8843996685422609E-4</v>
      </c>
      <c r="P101" s="10">
        <f t="shared" ref="P101:P132" si="79">+I101/$K101*P_t</f>
        <v>1.114941539122478E-5</v>
      </c>
      <c r="Q101" s="54">
        <f t="shared" ref="Q101:Q132" si="80">1/(1+K1_*L101+K2_*M101+SQRT(K2_*K3_*M101)+1/K6_*N101+K7_*O101+P101/K10_)</f>
        <v>1.7325881804208597E-2</v>
      </c>
      <c r="R101" s="10">
        <f t="shared" ref="R101:R132" si="81">K1_*L101*Q101</f>
        <v>1.4969217764663605E-4</v>
      </c>
      <c r="S101" s="10">
        <f t="shared" ref="S101:S132" si="82">K7_*O101*Q101</f>
        <v>4.926852821617552E-4</v>
      </c>
      <c r="T101" s="10">
        <f t="shared" ref="T101:T132" si="83">K2_*M101*Q101</f>
        <v>0.29737419245453406</v>
      </c>
      <c r="U101" s="10">
        <f t="shared" ref="U101:U132" si="84">SQRT(K2_*K3_*M101)*Q101</f>
        <v>0.68465746096633273</v>
      </c>
      <c r="V101" s="10">
        <f t="shared" ref="V101:V132" si="85">N101/K6_*Q101</f>
        <v>8.5191874974292573E-8</v>
      </c>
      <c r="W101" s="10">
        <f t="shared" ref="W101:W132" si="86">P101/K10_*Q101</f>
        <v>2.1232414121868596E-9</v>
      </c>
      <c r="X101" s="163">
        <f t="shared" si="67"/>
        <v>1.0000000000000002</v>
      </c>
      <c r="Y101" s="54">
        <f t="shared" ref="Y101:Y132" si="87">(k4f*K1_*SQRT(K2_*K3_*M101)*L101+k5f*K1_*K2_*L101*M101-k4r/K6_*N101-k5r/K6_*SQRT(K2_*K3_*M101)*N101)*Q101*Q101</f>
        <v>0.18327075051834307</v>
      </c>
      <c r="Z101" s="54">
        <f t="shared" ref="Z101:Z132" si="88">(k8f*K7_*SQRT(K2_*K3_*M101)*O101+k9f*K7_*K2_*O101*M101-k8r/K10_*P101-k9r/K10_*SQRT(K2_*K3_*M101)*P101)*Q101*Q101</f>
        <v>1.508014074710169E-2</v>
      </c>
      <c r="AA101" s="113"/>
    </row>
    <row r="102" spans="1:27" x14ac:dyDescent="0.2">
      <c r="A102" s="20">
        <f t="shared" si="68"/>
        <v>0.97000000000000064</v>
      </c>
      <c r="B102" s="23">
        <f t="shared" si="69"/>
        <v>0.01</v>
      </c>
      <c r="C102" s="12">
        <f t="shared" si="70"/>
        <v>0</v>
      </c>
      <c r="D102" s="12">
        <f t="shared" si="71"/>
        <v>1198.51644454703</v>
      </c>
      <c r="E102" s="23">
        <f t="shared" ref="E102:E133" si="89">+E101-$B101*$Y101</f>
        <v>8.3653232470108335E-2</v>
      </c>
      <c r="F102" s="23">
        <f t="shared" si="72"/>
        <v>135.73193203450282</v>
      </c>
      <c r="G102" s="95">
        <f t="shared" ref="G102:G133" si="90">+G101+$B101*$Y101</f>
        <v>0.59913857608237076</v>
      </c>
      <c r="H102" s="95">
        <f t="shared" ref="H102:H133" si="91">+H101-$B101*$Z101</f>
        <v>0.25145398824734405</v>
      </c>
      <c r="I102" s="95">
        <f t="shared" ref="I102:I133" si="92">+I101+$B101*$Z101</f>
        <v>1.5037485804169934E-2</v>
      </c>
      <c r="J102" s="12">
        <f t="shared" si="73"/>
        <v>0</v>
      </c>
      <c r="K102" s="12">
        <f t="shared" si="74"/>
        <v>1335.1976598641368</v>
      </c>
      <c r="L102" s="54">
        <f t="shared" si="75"/>
        <v>6.2652321064298814E-5</v>
      </c>
      <c r="M102" s="10">
        <f t="shared" si="76"/>
        <v>0.10165680791285557</v>
      </c>
      <c r="N102" s="10">
        <f t="shared" si="77"/>
        <v>4.4872650251898745E-4</v>
      </c>
      <c r="O102" s="10">
        <f t="shared" si="78"/>
        <v>1.8832716368970479E-4</v>
      </c>
      <c r="P102" s="10">
        <f t="shared" si="79"/>
        <v>1.1262366806200121E-5</v>
      </c>
      <c r="Q102" s="54">
        <f t="shared" si="80"/>
        <v>1.7326015261065055E-2</v>
      </c>
      <c r="R102" s="10">
        <f t="shared" si="81"/>
        <v>1.4648420893701789E-4</v>
      </c>
      <c r="S102" s="10">
        <f t="shared" si="82"/>
        <v>4.9239414566479116E-4</v>
      </c>
      <c r="T102" s="10">
        <f t="shared" si="83"/>
        <v>0.29737453110596185</v>
      </c>
      <c r="U102" s="10">
        <f t="shared" si="84"/>
        <v>0.68466048767961329</v>
      </c>
      <c r="V102" s="10">
        <f t="shared" si="85"/>
        <v>8.5453990033486053E-8</v>
      </c>
      <c r="W102" s="10">
        <f t="shared" si="86"/>
        <v>2.1447678606185415E-9</v>
      </c>
      <c r="X102" s="163">
        <f t="shared" si="67"/>
        <v>0.99999999999999978</v>
      </c>
      <c r="Y102" s="54">
        <f t="shared" si="87"/>
        <v>0.17934377466011961</v>
      </c>
      <c r="Z102" s="54">
        <f t="shared" si="88"/>
        <v>1.5071281263913848E-2</v>
      </c>
      <c r="AA102" s="113"/>
    </row>
    <row r="103" spans="1:27" x14ac:dyDescent="0.2">
      <c r="A103" s="20">
        <f t="shared" si="68"/>
        <v>0.98000000000000065</v>
      </c>
      <c r="B103" s="23">
        <f t="shared" si="69"/>
        <v>0.01</v>
      </c>
      <c r="C103" s="12">
        <f t="shared" si="70"/>
        <v>0</v>
      </c>
      <c r="D103" s="12">
        <f t="shared" si="71"/>
        <v>1198.51644454703</v>
      </c>
      <c r="E103" s="23">
        <f t="shared" si="89"/>
        <v>8.1859794723507143E-2</v>
      </c>
      <c r="F103" s="23">
        <f t="shared" si="72"/>
        <v>135.73095995922318</v>
      </c>
      <c r="G103" s="95">
        <f t="shared" si="90"/>
        <v>0.60093201382897199</v>
      </c>
      <c r="H103" s="95">
        <f t="shared" si="91"/>
        <v>0.25130327543470493</v>
      </c>
      <c r="I103" s="95">
        <f t="shared" si="92"/>
        <v>1.5188198616809073E-2</v>
      </c>
      <c r="J103" s="12">
        <f t="shared" si="73"/>
        <v>0</v>
      </c>
      <c r="K103" s="12">
        <f t="shared" si="74"/>
        <v>1335.1966877888572</v>
      </c>
      <c r="L103" s="54">
        <f t="shared" si="75"/>
        <v>6.1309165512588612E-5</v>
      </c>
      <c r="M103" s="10">
        <f t="shared" si="76"/>
        <v>0.10165615388396407</v>
      </c>
      <c r="N103" s="10">
        <f t="shared" si="77"/>
        <v>4.5007003037443203E-4</v>
      </c>
      <c r="O103" s="10">
        <f t="shared" si="78"/>
        <v>1.8821442393695113E-4</v>
      </c>
      <c r="P103" s="10">
        <f t="shared" si="79"/>
        <v>1.137525186791871E-5</v>
      </c>
      <c r="Q103" s="54">
        <f t="shared" si="80"/>
        <v>1.73261460824959E-2</v>
      </c>
      <c r="R103" s="10">
        <f t="shared" si="81"/>
        <v>1.4334492750716572E-4</v>
      </c>
      <c r="S103" s="10">
        <f t="shared" si="82"/>
        <v>4.9210309556768758E-4</v>
      </c>
      <c r="T103" s="10">
        <f t="shared" si="83"/>
        <v>0.29737486322411016</v>
      </c>
      <c r="U103" s="10">
        <f t="shared" si="84"/>
        <v>0.6846634547935434</v>
      </c>
      <c r="V103" s="10">
        <f t="shared" si="85"/>
        <v>8.5710494190625397E-8</v>
      </c>
      <c r="W103" s="10">
        <f t="shared" si="86"/>
        <v>2.1662816747229803E-9</v>
      </c>
      <c r="X103" s="163">
        <f t="shared" si="67"/>
        <v>1.0000000000000002</v>
      </c>
      <c r="Y103" s="54">
        <f t="shared" si="87"/>
        <v>0.17550085606929106</v>
      </c>
      <c r="Z103" s="54">
        <f t="shared" si="88"/>
        <v>1.5062423349868114E-2</v>
      </c>
      <c r="AA103" s="113"/>
    </row>
    <row r="104" spans="1:27" x14ac:dyDescent="0.2">
      <c r="A104" s="20">
        <f t="shared" si="68"/>
        <v>0.99000000000000066</v>
      </c>
      <c r="B104" s="23">
        <f t="shared" si="69"/>
        <v>0.01</v>
      </c>
      <c r="C104" s="12">
        <f t="shared" si="70"/>
        <v>0</v>
      </c>
      <c r="D104" s="12">
        <f t="shared" si="71"/>
        <v>1198.51644454703</v>
      </c>
      <c r="E104" s="23">
        <f t="shared" si="89"/>
        <v>8.0104786162814232E-2</v>
      </c>
      <c r="F104" s="23">
        <f t="shared" si="72"/>
        <v>135.73000714282608</v>
      </c>
      <c r="G104" s="95">
        <f t="shared" si="90"/>
        <v>0.60268702238966487</v>
      </c>
      <c r="H104" s="95">
        <f t="shared" si="91"/>
        <v>0.25115265120120622</v>
      </c>
      <c r="I104" s="95">
        <f t="shared" si="92"/>
        <v>1.5338822850307753E-2</v>
      </c>
      <c r="J104" s="12">
        <f t="shared" si="73"/>
        <v>0</v>
      </c>
      <c r="K104" s="12">
        <f t="shared" si="74"/>
        <v>1335.1957349724601</v>
      </c>
      <c r="L104" s="54">
        <f t="shared" si="75"/>
        <v>5.9994788827322373E-5</v>
      </c>
      <c r="M104" s="10">
        <f t="shared" si="76"/>
        <v>0.10165551281185427</v>
      </c>
      <c r="N104" s="10">
        <f t="shared" si="77"/>
        <v>4.5138477198782841E-4</v>
      </c>
      <c r="O104" s="10">
        <f t="shared" si="78"/>
        <v>1.8810174764854722E-4</v>
      </c>
      <c r="P104" s="10">
        <f t="shared" si="79"/>
        <v>1.1488070586612631E-5</v>
      </c>
      <c r="Q104" s="54">
        <f t="shared" si="80"/>
        <v>1.7326274324693358E-2</v>
      </c>
      <c r="R104" s="10">
        <f t="shared" si="81"/>
        <v>1.4027286519448793E-4</v>
      </c>
      <c r="S104" s="10">
        <f t="shared" si="82"/>
        <v>4.9181213374122588E-4</v>
      </c>
      <c r="T104" s="10">
        <f t="shared" si="83"/>
        <v>0.29737518894811216</v>
      </c>
      <c r="U104" s="10">
        <f t="shared" si="84"/>
        <v>0.68466636357896848</v>
      </c>
      <c r="V104" s="10">
        <f t="shared" si="85"/>
        <v>8.5961507375603457E-8</v>
      </c>
      <c r="W104" s="10">
        <f t="shared" si="86"/>
        <v>2.1877828534481079E-9</v>
      </c>
      <c r="X104" s="163">
        <f t="shared" si="67"/>
        <v>0.99999999999999989</v>
      </c>
      <c r="Y104" s="54">
        <f t="shared" si="87"/>
        <v>0.17174019909289875</v>
      </c>
      <c r="Z104" s="54">
        <f t="shared" si="88"/>
        <v>1.5053567085665815E-2</v>
      </c>
      <c r="AA104" s="113"/>
    </row>
    <row r="105" spans="1:27" x14ac:dyDescent="0.2">
      <c r="A105" s="20">
        <f t="shared" si="68"/>
        <v>1</v>
      </c>
      <c r="B105" s="23">
        <f t="shared" si="69"/>
        <v>9.9999999999993427E-3</v>
      </c>
      <c r="C105" s="12">
        <f t="shared" si="70"/>
        <v>0</v>
      </c>
      <c r="D105" s="12">
        <f t="shared" si="71"/>
        <v>1198.51644454703</v>
      </c>
      <c r="E105" s="23">
        <f t="shared" si="89"/>
        <v>7.8387384171885247E-2</v>
      </c>
      <c r="F105" s="23">
        <f t="shared" si="72"/>
        <v>135.72907317399518</v>
      </c>
      <c r="G105" s="95">
        <f t="shared" si="90"/>
        <v>0.60440442438059383</v>
      </c>
      <c r="H105" s="95">
        <f t="shared" si="91"/>
        <v>0.25100211553034957</v>
      </c>
      <c r="I105" s="95">
        <f t="shared" si="92"/>
        <v>1.5489358521164412E-2</v>
      </c>
      <c r="J105" s="12">
        <f t="shared" si="73"/>
        <v>0</v>
      </c>
      <c r="K105" s="12">
        <f t="shared" si="74"/>
        <v>1335.1948010036292</v>
      </c>
      <c r="L105" s="54">
        <f t="shared" si="75"/>
        <v>5.8708575043105026E-5</v>
      </c>
      <c r="M105" s="10">
        <f t="shared" si="76"/>
        <v>0.10165488441983998</v>
      </c>
      <c r="N105" s="10">
        <f t="shared" si="77"/>
        <v>4.5267134348207441E-4</v>
      </c>
      <c r="O105" s="10">
        <f t="shared" si="78"/>
        <v>1.8798913487505956E-4</v>
      </c>
      <c r="P105" s="10">
        <f t="shared" si="79"/>
        <v>1.1600822973188246E-5</v>
      </c>
      <c r="Q105" s="54">
        <f t="shared" si="80"/>
        <v>1.7326400042652977E-2</v>
      </c>
      <c r="R105" s="10">
        <f t="shared" si="81"/>
        <v>1.3726658511182792E-4</v>
      </c>
      <c r="S105" s="10">
        <f t="shared" si="82"/>
        <v>4.9152126201300198E-4</v>
      </c>
      <c r="T105" s="10">
        <f t="shared" si="83"/>
        <v>0.29737550841414118</v>
      </c>
      <c r="U105" s="10">
        <f t="shared" si="84"/>
        <v>0.68466921527966262</v>
      </c>
      <c r="V105" s="10">
        <f t="shared" si="85"/>
        <v>8.6207146963516679E-8</v>
      </c>
      <c r="W105" s="10">
        <f t="shared" si="86"/>
        <v>2.2092713960078239E-9</v>
      </c>
      <c r="X105" s="163">
        <f t="shared" si="67"/>
        <v>1</v>
      </c>
      <c r="Y105" s="54">
        <f t="shared" si="87"/>
        <v>0.16806004628628907</v>
      </c>
      <c r="Z105" s="54">
        <f t="shared" si="88"/>
        <v>1.504471255017493E-2</v>
      </c>
      <c r="AA105" s="113"/>
    </row>
    <row r="106" spans="1:27" x14ac:dyDescent="0.2">
      <c r="A106" s="20">
        <f t="shared" si="68"/>
        <v>1</v>
      </c>
      <c r="B106" s="23">
        <f t="shared" si="69"/>
        <v>0</v>
      </c>
      <c r="C106" s="12">
        <f t="shared" si="70"/>
        <v>0</v>
      </c>
      <c r="D106" s="12">
        <f t="shared" si="71"/>
        <v>1198.51644454703</v>
      </c>
      <c r="E106" s="23">
        <f t="shared" si="89"/>
        <v>7.6706783709022466E-2</v>
      </c>
      <c r="F106" s="23">
        <f t="shared" si="72"/>
        <v>135.72815765020098</v>
      </c>
      <c r="G106" s="95">
        <f t="shared" si="90"/>
        <v>0.60608502484345661</v>
      </c>
      <c r="H106" s="95">
        <f t="shared" si="91"/>
        <v>0.25085166840484785</v>
      </c>
      <c r="I106" s="95">
        <f t="shared" si="92"/>
        <v>1.5639805646666151E-2</v>
      </c>
      <c r="J106" s="12">
        <f t="shared" si="73"/>
        <v>0</v>
      </c>
      <c r="K106" s="12">
        <f t="shared" si="74"/>
        <v>1335.193885479835</v>
      </c>
      <c r="L106" s="54">
        <f t="shared" si="75"/>
        <v>5.7449921350902519E-5</v>
      </c>
      <c r="M106" s="10">
        <f t="shared" si="76"/>
        <v>0.1016542684371444</v>
      </c>
      <c r="N106" s="10">
        <f t="shared" si="77"/>
        <v>4.5393034782034291E-4</v>
      </c>
      <c r="O106" s="10">
        <f t="shared" si="78"/>
        <v>1.8787658566508345E-4</v>
      </c>
      <c r="P106" s="10">
        <f t="shared" si="79"/>
        <v>1.1713509039210136E-5</v>
      </c>
      <c r="Q106" s="54">
        <f t="shared" si="80"/>
        <v>1.7326523290198868E-2</v>
      </c>
      <c r="R106" s="10">
        <f t="shared" si="81"/>
        <v>1.3432468098568184E-4</v>
      </c>
      <c r="S106" s="10">
        <f t="shared" si="82"/>
        <v>4.9123048216836562E-4</v>
      </c>
      <c r="T106" s="10">
        <f t="shared" si="83"/>
        <v>0.29737582175547256</v>
      </c>
      <c r="U106" s="10">
        <f t="shared" si="84"/>
        <v>0.68467201111289944</v>
      </c>
      <c r="V106" s="10">
        <f t="shared" si="85"/>
        <v>8.6447527828723614E-8</v>
      </c>
      <c r="W106" s="10">
        <f t="shared" si="86"/>
        <v>2.2307473018743689E-9</v>
      </c>
      <c r="X106" s="163">
        <f t="shared" si="67"/>
        <v>0.99999999999999989</v>
      </c>
      <c r="Y106" s="54">
        <f t="shared" si="87"/>
        <v>0.16445867760646846</v>
      </c>
      <c r="Z106" s="54">
        <f t="shared" si="88"/>
        <v>1.5035859820469819E-2</v>
      </c>
      <c r="AA106" s="113"/>
    </row>
    <row r="107" spans="1:27" x14ac:dyDescent="0.2">
      <c r="A107" s="20">
        <f t="shared" si="68"/>
        <v>1</v>
      </c>
      <c r="B107" s="23">
        <f t="shared" si="69"/>
        <v>0</v>
      </c>
      <c r="C107" s="12">
        <f t="shared" si="70"/>
        <v>0</v>
      </c>
      <c r="D107" s="12">
        <f t="shared" si="71"/>
        <v>1198.51644454703</v>
      </c>
      <c r="E107" s="23">
        <f t="shared" si="89"/>
        <v>7.6706783709022466E-2</v>
      </c>
      <c r="F107" s="23">
        <f t="shared" si="72"/>
        <v>135.72815765020098</v>
      </c>
      <c r="G107" s="95">
        <f t="shared" si="90"/>
        <v>0.60608502484345661</v>
      </c>
      <c r="H107" s="95">
        <f t="shared" si="91"/>
        <v>0.25085166840484785</v>
      </c>
      <c r="I107" s="95">
        <f t="shared" si="92"/>
        <v>1.5639805646666151E-2</v>
      </c>
      <c r="J107" s="12">
        <f t="shared" si="73"/>
        <v>0</v>
      </c>
      <c r="K107" s="12">
        <f t="shared" si="74"/>
        <v>1335.193885479835</v>
      </c>
      <c r="L107" s="54">
        <f t="shared" si="75"/>
        <v>5.7449921350902519E-5</v>
      </c>
      <c r="M107" s="10">
        <f t="shared" si="76"/>
        <v>0.1016542684371444</v>
      </c>
      <c r="N107" s="10">
        <f t="shared" si="77"/>
        <v>4.5393034782034291E-4</v>
      </c>
      <c r="O107" s="10">
        <f t="shared" si="78"/>
        <v>1.8787658566508345E-4</v>
      </c>
      <c r="P107" s="10">
        <f t="shared" si="79"/>
        <v>1.1713509039210136E-5</v>
      </c>
      <c r="Q107" s="54">
        <f t="shared" si="80"/>
        <v>1.7326523290198868E-2</v>
      </c>
      <c r="R107" s="10">
        <f t="shared" si="81"/>
        <v>1.3432468098568184E-4</v>
      </c>
      <c r="S107" s="10">
        <f t="shared" si="82"/>
        <v>4.9123048216836562E-4</v>
      </c>
      <c r="T107" s="10">
        <f t="shared" si="83"/>
        <v>0.29737582175547256</v>
      </c>
      <c r="U107" s="10">
        <f t="shared" si="84"/>
        <v>0.68467201111289944</v>
      </c>
      <c r="V107" s="10">
        <f t="shared" si="85"/>
        <v>8.6447527828723614E-8</v>
      </c>
      <c r="W107" s="10">
        <f t="shared" si="86"/>
        <v>2.2307473018743689E-9</v>
      </c>
      <c r="X107" s="163">
        <f t="shared" si="67"/>
        <v>0.99999999999999989</v>
      </c>
      <c r="Y107" s="54">
        <f t="shared" si="87"/>
        <v>0.16445867760646846</v>
      </c>
      <c r="Z107" s="54">
        <f t="shared" si="88"/>
        <v>1.5035859820469819E-2</v>
      </c>
      <c r="AA107" s="113"/>
    </row>
    <row r="108" spans="1:27" x14ac:dyDescent="0.2">
      <c r="A108" s="20">
        <f t="shared" si="68"/>
        <v>1</v>
      </c>
      <c r="B108" s="23">
        <f t="shared" si="69"/>
        <v>0</v>
      </c>
      <c r="C108" s="12">
        <f t="shared" si="70"/>
        <v>0</v>
      </c>
      <c r="D108" s="12">
        <f t="shared" si="71"/>
        <v>1198.51644454703</v>
      </c>
      <c r="E108" s="23">
        <f t="shared" si="89"/>
        <v>7.6706783709022466E-2</v>
      </c>
      <c r="F108" s="23">
        <f t="shared" si="72"/>
        <v>135.72815765020098</v>
      </c>
      <c r="G108" s="95">
        <f t="shared" si="90"/>
        <v>0.60608502484345661</v>
      </c>
      <c r="H108" s="95">
        <f t="shared" si="91"/>
        <v>0.25085166840484785</v>
      </c>
      <c r="I108" s="95">
        <f t="shared" si="92"/>
        <v>1.5639805646666151E-2</v>
      </c>
      <c r="J108" s="12">
        <f t="shared" si="73"/>
        <v>0</v>
      </c>
      <c r="K108" s="12">
        <f t="shared" si="74"/>
        <v>1335.193885479835</v>
      </c>
      <c r="L108" s="54">
        <f t="shared" si="75"/>
        <v>5.7449921350902519E-5</v>
      </c>
      <c r="M108" s="10">
        <f t="shared" si="76"/>
        <v>0.1016542684371444</v>
      </c>
      <c r="N108" s="10">
        <f t="shared" si="77"/>
        <v>4.5393034782034291E-4</v>
      </c>
      <c r="O108" s="10">
        <f t="shared" si="78"/>
        <v>1.8787658566508345E-4</v>
      </c>
      <c r="P108" s="10">
        <f t="shared" si="79"/>
        <v>1.1713509039210136E-5</v>
      </c>
      <c r="Q108" s="54">
        <f t="shared" si="80"/>
        <v>1.7326523290198868E-2</v>
      </c>
      <c r="R108" s="10">
        <f t="shared" si="81"/>
        <v>1.3432468098568184E-4</v>
      </c>
      <c r="S108" s="10">
        <f t="shared" si="82"/>
        <v>4.9123048216836562E-4</v>
      </c>
      <c r="T108" s="10">
        <f t="shared" si="83"/>
        <v>0.29737582175547256</v>
      </c>
      <c r="U108" s="10">
        <f t="shared" si="84"/>
        <v>0.68467201111289944</v>
      </c>
      <c r="V108" s="10">
        <f t="shared" si="85"/>
        <v>8.6447527828723614E-8</v>
      </c>
      <c r="W108" s="10">
        <f t="shared" si="86"/>
        <v>2.2307473018743689E-9</v>
      </c>
      <c r="X108" s="163">
        <f t="shared" si="67"/>
        <v>0.99999999999999989</v>
      </c>
      <c r="Y108" s="54">
        <f t="shared" si="87"/>
        <v>0.16445867760646846</v>
      </c>
      <c r="Z108" s="54">
        <f t="shared" si="88"/>
        <v>1.5035859820469819E-2</v>
      </c>
      <c r="AA108" s="113"/>
    </row>
    <row r="109" spans="1:27" x14ac:dyDescent="0.2">
      <c r="A109" s="20">
        <f t="shared" si="68"/>
        <v>1</v>
      </c>
      <c r="B109" s="23">
        <f t="shared" si="69"/>
        <v>0</v>
      </c>
      <c r="C109" s="12">
        <f t="shared" si="70"/>
        <v>0</v>
      </c>
      <c r="D109" s="12">
        <f t="shared" si="71"/>
        <v>1198.51644454703</v>
      </c>
      <c r="E109" s="23">
        <f t="shared" si="89"/>
        <v>7.6706783709022466E-2</v>
      </c>
      <c r="F109" s="23">
        <f t="shared" si="72"/>
        <v>135.72815765020098</v>
      </c>
      <c r="G109" s="95">
        <f t="shared" si="90"/>
        <v>0.60608502484345661</v>
      </c>
      <c r="H109" s="95">
        <f t="shared" si="91"/>
        <v>0.25085166840484785</v>
      </c>
      <c r="I109" s="95">
        <f t="shared" si="92"/>
        <v>1.5639805646666151E-2</v>
      </c>
      <c r="J109" s="12">
        <f t="shared" si="73"/>
        <v>0</v>
      </c>
      <c r="K109" s="12">
        <f t="shared" si="74"/>
        <v>1335.193885479835</v>
      </c>
      <c r="L109" s="54">
        <f t="shared" si="75"/>
        <v>5.7449921350902519E-5</v>
      </c>
      <c r="M109" s="10">
        <f t="shared" si="76"/>
        <v>0.1016542684371444</v>
      </c>
      <c r="N109" s="10">
        <f t="shared" si="77"/>
        <v>4.5393034782034291E-4</v>
      </c>
      <c r="O109" s="10">
        <f t="shared" si="78"/>
        <v>1.8787658566508345E-4</v>
      </c>
      <c r="P109" s="10">
        <f t="shared" si="79"/>
        <v>1.1713509039210136E-5</v>
      </c>
      <c r="Q109" s="54">
        <f t="shared" si="80"/>
        <v>1.7326523290198868E-2</v>
      </c>
      <c r="R109" s="10">
        <f t="shared" si="81"/>
        <v>1.3432468098568184E-4</v>
      </c>
      <c r="S109" s="10">
        <f t="shared" si="82"/>
        <v>4.9123048216836562E-4</v>
      </c>
      <c r="T109" s="10">
        <f t="shared" si="83"/>
        <v>0.29737582175547256</v>
      </c>
      <c r="U109" s="10">
        <f t="shared" si="84"/>
        <v>0.68467201111289944</v>
      </c>
      <c r="V109" s="10">
        <f t="shared" si="85"/>
        <v>8.6447527828723614E-8</v>
      </c>
      <c r="W109" s="10">
        <f t="shared" si="86"/>
        <v>2.2307473018743689E-9</v>
      </c>
      <c r="X109" s="163">
        <f t="shared" si="67"/>
        <v>0.99999999999999989</v>
      </c>
      <c r="Y109" s="54">
        <f t="shared" si="87"/>
        <v>0.16445867760646846</v>
      </c>
      <c r="Z109" s="54">
        <f t="shared" si="88"/>
        <v>1.5035859820469819E-2</v>
      </c>
      <c r="AA109" s="113"/>
    </row>
    <row r="110" spans="1:27" x14ac:dyDescent="0.2">
      <c r="A110" s="20">
        <f t="shared" si="68"/>
        <v>1</v>
      </c>
      <c r="B110" s="23">
        <f t="shared" si="69"/>
        <v>0</v>
      </c>
      <c r="C110" s="12">
        <f t="shared" si="70"/>
        <v>0</v>
      </c>
      <c r="D110" s="12">
        <f t="shared" si="71"/>
        <v>1198.51644454703</v>
      </c>
      <c r="E110" s="23">
        <f t="shared" si="89"/>
        <v>7.6706783709022466E-2</v>
      </c>
      <c r="F110" s="23">
        <f t="shared" si="72"/>
        <v>135.72815765020098</v>
      </c>
      <c r="G110" s="95">
        <f t="shared" si="90"/>
        <v>0.60608502484345661</v>
      </c>
      <c r="H110" s="95">
        <f t="shared" si="91"/>
        <v>0.25085166840484785</v>
      </c>
      <c r="I110" s="95">
        <f t="shared" si="92"/>
        <v>1.5639805646666151E-2</v>
      </c>
      <c r="J110" s="12">
        <f t="shared" si="73"/>
        <v>0</v>
      </c>
      <c r="K110" s="12">
        <f t="shared" si="74"/>
        <v>1335.193885479835</v>
      </c>
      <c r="L110" s="54">
        <f t="shared" si="75"/>
        <v>5.7449921350902519E-5</v>
      </c>
      <c r="M110" s="10">
        <f t="shared" si="76"/>
        <v>0.1016542684371444</v>
      </c>
      <c r="N110" s="10">
        <f t="shared" si="77"/>
        <v>4.5393034782034291E-4</v>
      </c>
      <c r="O110" s="10">
        <f t="shared" si="78"/>
        <v>1.8787658566508345E-4</v>
      </c>
      <c r="P110" s="10">
        <f t="shared" si="79"/>
        <v>1.1713509039210136E-5</v>
      </c>
      <c r="Q110" s="54">
        <f t="shared" si="80"/>
        <v>1.7326523290198868E-2</v>
      </c>
      <c r="R110" s="10">
        <f t="shared" si="81"/>
        <v>1.3432468098568184E-4</v>
      </c>
      <c r="S110" s="10">
        <f t="shared" si="82"/>
        <v>4.9123048216836562E-4</v>
      </c>
      <c r="T110" s="10">
        <f t="shared" si="83"/>
        <v>0.29737582175547256</v>
      </c>
      <c r="U110" s="10">
        <f t="shared" si="84"/>
        <v>0.68467201111289944</v>
      </c>
      <c r="V110" s="10">
        <f t="shared" si="85"/>
        <v>8.6447527828723614E-8</v>
      </c>
      <c r="W110" s="10">
        <f t="shared" si="86"/>
        <v>2.2307473018743689E-9</v>
      </c>
      <c r="X110" s="163">
        <f t="shared" si="67"/>
        <v>0.99999999999999989</v>
      </c>
      <c r="Y110" s="54">
        <f t="shared" si="87"/>
        <v>0.16445867760646846</v>
      </c>
      <c r="Z110" s="54">
        <f t="shared" si="88"/>
        <v>1.5035859820469819E-2</v>
      </c>
      <c r="AA110" s="113"/>
    </row>
    <row r="111" spans="1:27" x14ac:dyDescent="0.2">
      <c r="A111" s="20">
        <f t="shared" si="68"/>
        <v>1</v>
      </c>
      <c r="B111" s="23">
        <f t="shared" si="69"/>
        <v>0</v>
      </c>
      <c r="C111" s="12">
        <f t="shared" si="70"/>
        <v>0</v>
      </c>
      <c r="D111" s="12">
        <f t="shared" si="71"/>
        <v>1198.51644454703</v>
      </c>
      <c r="E111" s="23">
        <f t="shared" si="89"/>
        <v>7.6706783709022466E-2</v>
      </c>
      <c r="F111" s="23">
        <f t="shared" si="72"/>
        <v>135.72815765020098</v>
      </c>
      <c r="G111" s="95">
        <f t="shared" si="90"/>
        <v>0.60608502484345661</v>
      </c>
      <c r="H111" s="95">
        <f t="shared" si="91"/>
        <v>0.25085166840484785</v>
      </c>
      <c r="I111" s="95">
        <f t="shared" si="92"/>
        <v>1.5639805646666151E-2</v>
      </c>
      <c r="J111" s="12">
        <f t="shared" si="73"/>
        <v>0</v>
      </c>
      <c r="K111" s="12">
        <f t="shared" si="74"/>
        <v>1335.193885479835</v>
      </c>
      <c r="L111" s="54">
        <f t="shared" si="75"/>
        <v>5.7449921350902519E-5</v>
      </c>
      <c r="M111" s="10">
        <f t="shared" si="76"/>
        <v>0.1016542684371444</v>
      </c>
      <c r="N111" s="10">
        <f t="shared" si="77"/>
        <v>4.5393034782034291E-4</v>
      </c>
      <c r="O111" s="10">
        <f t="shared" si="78"/>
        <v>1.8787658566508345E-4</v>
      </c>
      <c r="P111" s="10">
        <f t="shared" si="79"/>
        <v>1.1713509039210136E-5</v>
      </c>
      <c r="Q111" s="54">
        <f t="shared" si="80"/>
        <v>1.7326523290198868E-2</v>
      </c>
      <c r="R111" s="10">
        <f t="shared" si="81"/>
        <v>1.3432468098568184E-4</v>
      </c>
      <c r="S111" s="10">
        <f t="shared" si="82"/>
        <v>4.9123048216836562E-4</v>
      </c>
      <c r="T111" s="10">
        <f t="shared" si="83"/>
        <v>0.29737582175547256</v>
      </c>
      <c r="U111" s="10">
        <f t="shared" si="84"/>
        <v>0.68467201111289944</v>
      </c>
      <c r="V111" s="10">
        <f t="shared" si="85"/>
        <v>8.6447527828723614E-8</v>
      </c>
      <c r="W111" s="10">
        <f t="shared" si="86"/>
        <v>2.2307473018743689E-9</v>
      </c>
      <c r="X111" s="163">
        <f t="shared" si="67"/>
        <v>0.99999999999999989</v>
      </c>
      <c r="Y111" s="54">
        <f t="shared" si="87"/>
        <v>0.16445867760646846</v>
      </c>
      <c r="Z111" s="54">
        <f t="shared" si="88"/>
        <v>1.5035859820469819E-2</v>
      </c>
      <c r="AA111" s="113"/>
    </row>
    <row r="112" spans="1:27" x14ac:dyDescent="0.2">
      <c r="A112" s="20">
        <f t="shared" si="68"/>
        <v>1</v>
      </c>
      <c r="B112" s="23">
        <f t="shared" si="69"/>
        <v>0</v>
      </c>
      <c r="C112" s="12">
        <f t="shared" si="70"/>
        <v>0</v>
      </c>
      <c r="D112" s="12">
        <f t="shared" si="71"/>
        <v>1198.51644454703</v>
      </c>
      <c r="E112" s="23">
        <f t="shared" si="89"/>
        <v>7.6706783709022466E-2</v>
      </c>
      <c r="F112" s="23">
        <f t="shared" si="72"/>
        <v>135.72815765020098</v>
      </c>
      <c r="G112" s="95">
        <f t="shared" si="90"/>
        <v>0.60608502484345661</v>
      </c>
      <c r="H112" s="95">
        <f t="shared" si="91"/>
        <v>0.25085166840484785</v>
      </c>
      <c r="I112" s="95">
        <f t="shared" si="92"/>
        <v>1.5639805646666151E-2</v>
      </c>
      <c r="J112" s="12">
        <f t="shared" si="73"/>
        <v>0</v>
      </c>
      <c r="K112" s="12">
        <f t="shared" si="74"/>
        <v>1335.193885479835</v>
      </c>
      <c r="L112" s="54">
        <f t="shared" si="75"/>
        <v>5.7449921350902519E-5</v>
      </c>
      <c r="M112" s="10">
        <f t="shared" si="76"/>
        <v>0.1016542684371444</v>
      </c>
      <c r="N112" s="10">
        <f t="shared" si="77"/>
        <v>4.5393034782034291E-4</v>
      </c>
      <c r="O112" s="10">
        <f t="shared" si="78"/>
        <v>1.8787658566508345E-4</v>
      </c>
      <c r="P112" s="10">
        <f t="shared" si="79"/>
        <v>1.1713509039210136E-5</v>
      </c>
      <c r="Q112" s="54">
        <f t="shared" si="80"/>
        <v>1.7326523290198868E-2</v>
      </c>
      <c r="R112" s="10">
        <f t="shared" si="81"/>
        <v>1.3432468098568184E-4</v>
      </c>
      <c r="S112" s="10">
        <f t="shared" si="82"/>
        <v>4.9123048216836562E-4</v>
      </c>
      <c r="T112" s="10">
        <f t="shared" si="83"/>
        <v>0.29737582175547256</v>
      </c>
      <c r="U112" s="10">
        <f t="shared" si="84"/>
        <v>0.68467201111289944</v>
      </c>
      <c r="V112" s="10">
        <f t="shared" si="85"/>
        <v>8.6447527828723614E-8</v>
      </c>
      <c r="W112" s="10">
        <f t="shared" si="86"/>
        <v>2.2307473018743689E-9</v>
      </c>
      <c r="X112" s="163">
        <f t="shared" si="67"/>
        <v>0.99999999999999989</v>
      </c>
      <c r="Y112" s="54">
        <f t="shared" si="87"/>
        <v>0.16445867760646846</v>
      </c>
      <c r="Z112" s="54">
        <f t="shared" si="88"/>
        <v>1.5035859820469819E-2</v>
      </c>
      <c r="AA112" s="113"/>
    </row>
    <row r="113" spans="1:27" x14ac:dyDescent="0.2">
      <c r="A113" s="20">
        <f t="shared" si="68"/>
        <v>1</v>
      </c>
      <c r="B113" s="23">
        <f t="shared" si="69"/>
        <v>0</v>
      </c>
      <c r="C113" s="12">
        <f t="shared" si="70"/>
        <v>0</v>
      </c>
      <c r="D113" s="12">
        <f t="shared" si="71"/>
        <v>1198.51644454703</v>
      </c>
      <c r="E113" s="23">
        <f t="shared" si="89"/>
        <v>7.6706783709022466E-2</v>
      </c>
      <c r="F113" s="23">
        <f t="shared" si="72"/>
        <v>135.72815765020098</v>
      </c>
      <c r="G113" s="95">
        <f t="shared" si="90"/>
        <v>0.60608502484345661</v>
      </c>
      <c r="H113" s="95">
        <f t="shared" si="91"/>
        <v>0.25085166840484785</v>
      </c>
      <c r="I113" s="95">
        <f t="shared" si="92"/>
        <v>1.5639805646666151E-2</v>
      </c>
      <c r="J113" s="12">
        <f t="shared" si="73"/>
        <v>0</v>
      </c>
      <c r="K113" s="12">
        <f t="shared" si="74"/>
        <v>1335.193885479835</v>
      </c>
      <c r="L113" s="54">
        <f t="shared" si="75"/>
        <v>5.7449921350902519E-5</v>
      </c>
      <c r="M113" s="10">
        <f t="shared" si="76"/>
        <v>0.1016542684371444</v>
      </c>
      <c r="N113" s="10">
        <f t="shared" si="77"/>
        <v>4.5393034782034291E-4</v>
      </c>
      <c r="O113" s="10">
        <f t="shared" si="78"/>
        <v>1.8787658566508345E-4</v>
      </c>
      <c r="P113" s="10">
        <f t="shared" si="79"/>
        <v>1.1713509039210136E-5</v>
      </c>
      <c r="Q113" s="54">
        <f t="shared" si="80"/>
        <v>1.7326523290198868E-2</v>
      </c>
      <c r="R113" s="10">
        <f t="shared" si="81"/>
        <v>1.3432468098568184E-4</v>
      </c>
      <c r="S113" s="10">
        <f t="shared" si="82"/>
        <v>4.9123048216836562E-4</v>
      </c>
      <c r="T113" s="10">
        <f t="shared" si="83"/>
        <v>0.29737582175547256</v>
      </c>
      <c r="U113" s="10">
        <f t="shared" si="84"/>
        <v>0.68467201111289944</v>
      </c>
      <c r="V113" s="10">
        <f t="shared" si="85"/>
        <v>8.6447527828723614E-8</v>
      </c>
      <c r="W113" s="10">
        <f t="shared" si="86"/>
        <v>2.2307473018743689E-9</v>
      </c>
      <c r="X113" s="163">
        <f t="shared" si="67"/>
        <v>0.99999999999999989</v>
      </c>
      <c r="Y113" s="54">
        <f t="shared" si="87"/>
        <v>0.16445867760646846</v>
      </c>
      <c r="Z113" s="54">
        <f t="shared" si="88"/>
        <v>1.5035859820469819E-2</v>
      </c>
      <c r="AA113" s="113"/>
    </row>
    <row r="114" spans="1:27" x14ac:dyDescent="0.2">
      <c r="A114" s="20">
        <f t="shared" si="68"/>
        <v>1</v>
      </c>
      <c r="B114" s="23">
        <f t="shared" si="69"/>
        <v>0</v>
      </c>
      <c r="C114" s="12">
        <f t="shared" si="70"/>
        <v>0</v>
      </c>
      <c r="D114" s="12">
        <f t="shared" si="71"/>
        <v>1198.51644454703</v>
      </c>
      <c r="E114" s="23">
        <f t="shared" si="89"/>
        <v>7.6706783709022466E-2</v>
      </c>
      <c r="F114" s="23">
        <f t="shared" si="72"/>
        <v>135.72815765020098</v>
      </c>
      <c r="G114" s="95">
        <f t="shared" si="90"/>
        <v>0.60608502484345661</v>
      </c>
      <c r="H114" s="95">
        <f t="shared" si="91"/>
        <v>0.25085166840484785</v>
      </c>
      <c r="I114" s="95">
        <f t="shared" si="92"/>
        <v>1.5639805646666151E-2</v>
      </c>
      <c r="J114" s="12">
        <f t="shared" si="73"/>
        <v>0</v>
      </c>
      <c r="K114" s="12">
        <f t="shared" si="74"/>
        <v>1335.193885479835</v>
      </c>
      <c r="L114" s="54">
        <f t="shared" si="75"/>
        <v>5.7449921350902519E-5</v>
      </c>
      <c r="M114" s="10">
        <f t="shared" si="76"/>
        <v>0.1016542684371444</v>
      </c>
      <c r="N114" s="10">
        <f t="shared" si="77"/>
        <v>4.5393034782034291E-4</v>
      </c>
      <c r="O114" s="10">
        <f t="shared" si="78"/>
        <v>1.8787658566508345E-4</v>
      </c>
      <c r="P114" s="10">
        <f t="shared" si="79"/>
        <v>1.1713509039210136E-5</v>
      </c>
      <c r="Q114" s="54">
        <f t="shared" si="80"/>
        <v>1.7326523290198868E-2</v>
      </c>
      <c r="R114" s="10">
        <f t="shared" si="81"/>
        <v>1.3432468098568184E-4</v>
      </c>
      <c r="S114" s="10">
        <f t="shared" si="82"/>
        <v>4.9123048216836562E-4</v>
      </c>
      <c r="T114" s="10">
        <f t="shared" si="83"/>
        <v>0.29737582175547256</v>
      </c>
      <c r="U114" s="10">
        <f t="shared" si="84"/>
        <v>0.68467201111289944</v>
      </c>
      <c r="V114" s="10">
        <f t="shared" si="85"/>
        <v>8.6447527828723614E-8</v>
      </c>
      <c r="W114" s="10">
        <f t="shared" si="86"/>
        <v>2.2307473018743689E-9</v>
      </c>
      <c r="X114" s="163">
        <f t="shared" si="67"/>
        <v>0.99999999999999989</v>
      </c>
      <c r="Y114" s="54">
        <f t="shared" si="87"/>
        <v>0.16445867760646846</v>
      </c>
      <c r="Z114" s="54">
        <f t="shared" si="88"/>
        <v>1.5035859820469819E-2</v>
      </c>
      <c r="AA114" s="113"/>
    </row>
    <row r="115" spans="1:27" x14ac:dyDescent="0.2">
      <c r="A115" s="20">
        <f t="shared" si="68"/>
        <v>1</v>
      </c>
      <c r="B115" s="23">
        <f t="shared" si="69"/>
        <v>0</v>
      </c>
      <c r="C115" s="12">
        <f t="shared" si="70"/>
        <v>0</v>
      </c>
      <c r="D115" s="12">
        <f t="shared" si="71"/>
        <v>1198.51644454703</v>
      </c>
      <c r="E115" s="23">
        <f t="shared" si="89"/>
        <v>7.6706783709022466E-2</v>
      </c>
      <c r="F115" s="23">
        <f t="shared" si="72"/>
        <v>135.72815765020098</v>
      </c>
      <c r="G115" s="95">
        <f t="shared" si="90"/>
        <v>0.60608502484345661</v>
      </c>
      <c r="H115" s="95">
        <f t="shared" si="91"/>
        <v>0.25085166840484785</v>
      </c>
      <c r="I115" s="95">
        <f t="shared" si="92"/>
        <v>1.5639805646666151E-2</v>
      </c>
      <c r="J115" s="12">
        <f t="shared" si="73"/>
        <v>0</v>
      </c>
      <c r="K115" s="12">
        <f t="shared" si="74"/>
        <v>1335.193885479835</v>
      </c>
      <c r="L115" s="54">
        <f t="shared" si="75"/>
        <v>5.7449921350902519E-5</v>
      </c>
      <c r="M115" s="10">
        <f t="shared" si="76"/>
        <v>0.1016542684371444</v>
      </c>
      <c r="N115" s="10">
        <f t="shared" si="77"/>
        <v>4.5393034782034291E-4</v>
      </c>
      <c r="O115" s="10">
        <f t="shared" si="78"/>
        <v>1.8787658566508345E-4</v>
      </c>
      <c r="P115" s="10">
        <f t="shared" si="79"/>
        <v>1.1713509039210136E-5</v>
      </c>
      <c r="Q115" s="54">
        <f t="shared" si="80"/>
        <v>1.7326523290198868E-2</v>
      </c>
      <c r="R115" s="10">
        <f t="shared" si="81"/>
        <v>1.3432468098568184E-4</v>
      </c>
      <c r="S115" s="10">
        <f t="shared" si="82"/>
        <v>4.9123048216836562E-4</v>
      </c>
      <c r="T115" s="10">
        <f t="shared" si="83"/>
        <v>0.29737582175547256</v>
      </c>
      <c r="U115" s="10">
        <f t="shared" si="84"/>
        <v>0.68467201111289944</v>
      </c>
      <c r="V115" s="10">
        <f t="shared" si="85"/>
        <v>8.6447527828723614E-8</v>
      </c>
      <c r="W115" s="10">
        <f t="shared" si="86"/>
        <v>2.2307473018743689E-9</v>
      </c>
      <c r="X115" s="163">
        <f t="shared" si="67"/>
        <v>0.99999999999999989</v>
      </c>
      <c r="Y115" s="54">
        <f t="shared" si="87"/>
        <v>0.16445867760646846</v>
      </c>
      <c r="Z115" s="54">
        <f t="shared" si="88"/>
        <v>1.5035859820469819E-2</v>
      </c>
      <c r="AA115" s="113"/>
    </row>
    <row r="116" spans="1:27" x14ac:dyDescent="0.2">
      <c r="A116" s="20">
        <f t="shared" si="68"/>
        <v>1</v>
      </c>
      <c r="B116" s="23">
        <f t="shared" si="69"/>
        <v>0</v>
      </c>
      <c r="C116" s="12">
        <f t="shared" si="70"/>
        <v>0</v>
      </c>
      <c r="D116" s="12">
        <f t="shared" si="71"/>
        <v>1198.51644454703</v>
      </c>
      <c r="E116" s="23">
        <f t="shared" si="89"/>
        <v>7.6706783709022466E-2</v>
      </c>
      <c r="F116" s="23">
        <f t="shared" si="72"/>
        <v>135.72815765020098</v>
      </c>
      <c r="G116" s="95">
        <f t="shared" si="90"/>
        <v>0.60608502484345661</v>
      </c>
      <c r="H116" s="95">
        <f t="shared" si="91"/>
        <v>0.25085166840484785</v>
      </c>
      <c r="I116" s="95">
        <f t="shared" si="92"/>
        <v>1.5639805646666151E-2</v>
      </c>
      <c r="J116" s="12">
        <f t="shared" si="73"/>
        <v>0</v>
      </c>
      <c r="K116" s="12">
        <f t="shared" si="74"/>
        <v>1335.193885479835</v>
      </c>
      <c r="L116" s="54">
        <f t="shared" si="75"/>
        <v>5.7449921350902519E-5</v>
      </c>
      <c r="M116" s="10">
        <f t="shared" si="76"/>
        <v>0.1016542684371444</v>
      </c>
      <c r="N116" s="10">
        <f t="shared" si="77"/>
        <v>4.5393034782034291E-4</v>
      </c>
      <c r="O116" s="10">
        <f t="shared" si="78"/>
        <v>1.8787658566508345E-4</v>
      </c>
      <c r="P116" s="10">
        <f t="shared" si="79"/>
        <v>1.1713509039210136E-5</v>
      </c>
      <c r="Q116" s="54">
        <f t="shared" si="80"/>
        <v>1.7326523290198868E-2</v>
      </c>
      <c r="R116" s="10">
        <f t="shared" si="81"/>
        <v>1.3432468098568184E-4</v>
      </c>
      <c r="S116" s="10">
        <f t="shared" si="82"/>
        <v>4.9123048216836562E-4</v>
      </c>
      <c r="T116" s="10">
        <f t="shared" si="83"/>
        <v>0.29737582175547256</v>
      </c>
      <c r="U116" s="10">
        <f t="shared" si="84"/>
        <v>0.68467201111289944</v>
      </c>
      <c r="V116" s="10">
        <f t="shared" si="85"/>
        <v>8.6447527828723614E-8</v>
      </c>
      <c r="W116" s="10">
        <f t="shared" si="86"/>
        <v>2.2307473018743689E-9</v>
      </c>
      <c r="X116" s="163">
        <f t="shared" si="67"/>
        <v>0.99999999999999989</v>
      </c>
      <c r="Y116" s="54">
        <f t="shared" si="87"/>
        <v>0.16445867760646846</v>
      </c>
      <c r="Z116" s="54">
        <f t="shared" si="88"/>
        <v>1.5035859820469819E-2</v>
      </c>
      <c r="AA116" s="113"/>
    </row>
    <row r="117" spans="1:27" x14ac:dyDescent="0.2">
      <c r="A117" s="20">
        <f t="shared" si="68"/>
        <v>1</v>
      </c>
      <c r="B117" s="23">
        <f t="shared" si="69"/>
        <v>0</v>
      </c>
      <c r="C117" s="12">
        <f t="shared" si="70"/>
        <v>0</v>
      </c>
      <c r="D117" s="12">
        <f t="shared" si="71"/>
        <v>1198.51644454703</v>
      </c>
      <c r="E117" s="23">
        <f t="shared" si="89"/>
        <v>7.6706783709022466E-2</v>
      </c>
      <c r="F117" s="23">
        <f t="shared" si="72"/>
        <v>135.72815765020098</v>
      </c>
      <c r="G117" s="95">
        <f t="shared" si="90"/>
        <v>0.60608502484345661</v>
      </c>
      <c r="H117" s="95">
        <f t="shared" si="91"/>
        <v>0.25085166840484785</v>
      </c>
      <c r="I117" s="95">
        <f t="shared" si="92"/>
        <v>1.5639805646666151E-2</v>
      </c>
      <c r="J117" s="12">
        <f t="shared" si="73"/>
        <v>0</v>
      </c>
      <c r="K117" s="12">
        <f t="shared" si="74"/>
        <v>1335.193885479835</v>
      </c>
      <c r="L117" s="54">
        <f t="shared" si="75"/>
        <v>5.7449921350902519E-5</v>
      </c>
      <c r="M117" s="10">
        <f t="shared" si="76"/>
        <v>0.1016542684371444</v>
      </c>
      <c r="N117" s="10">
        <f t="shared" si="77"/>
        <v>4.5393034782034291E-4</v>
      </c>
      <c r="O117" s="10">
        <f t="shared" si="78"/>
        <v>1.8787658566508345E-4</v>
      </c>
      <c r="P117" s="10">
        <f t="shared" si="79"/>
        <v>1.1713509039210136E-5</v>
      </c>
      <c r="Q117" s="54">
        <f t="shared" si="80"/>
        <v>1.7326523290198868E-2</v>
      </c>
      <c r="R117" s="10">
        <f t="shared" si="81"/>
        <v>1.3432468098568184E-4</v>
      </c>
      <c r="S117" s="10">
        <f t="shared" si="82"/>
        <v>4.9123048216836562E-4</v>
      </c>
      <c r="T117" s="10">
        <f t="shared" si="83"/>
        <v>0.29737582175547256</v>
      </c>
      <c r="U117" s="10">
        <f t="shared" si="84"/>
        <v>0.68467201111289944</v>
      </c>
      <c r="V117" s="10">
        <f t="shared" si="85"/>
        <v>8.6447527828723614E-8</v>
      </c>
      <c r="W117" s="10">
        <f t="shared" si="86"/>
        <v>2.2307473018743689E-9</v>
      </c>
      <c r="X117" s="163">
        <f t="shared" si="67"/>
        <v>0.99999999999999989</v>
      </c>
      <c r="Y117" s="54">
        <f t="shared" si="87"/>
        <v>0.16445867760646846</v>
      </c>
      <c r="Z117" s="54">
        <f t="shared" si="88"/>
        <v>1.5035859820469819E-2</v>
      </c>
      <c r="AA117" s="113"/>
    </row>
    <row r="118" spans="1:27" x14ac:dyDescent="0.2">
      <c r="A118" s="20">
        <f t="shared" si="68"/>
        <v>1</v>
      </c>
      <c r="B118" s="23">
        <f t="shared" si="69"/>
        <v>0</v>
      </c>
      <c r="C118" s="12">
        <f t="shared" si="70"/>
        <v>0</v>
      </c>
      <c r="D118" s="12">
        <f t="shared" si="71"/>
        <v>1198.51644454703</v>
      </c>
      <c r="E118" s="23">
        <f t="shared" si="89"/>
        <v>7.6706783709022466E-2</v>
      </c>
      <c r="F118" s="23">
        <f t="shared" si="72"/>
        <v>135.72815765020098</v>
      </c>
      <c r="G118" s="95">
        <f t="shared" si="90"/>
        <v>0.60608502484345661</v>
      </c>
      <c r="H118" s="95">
        <f t="shared" si="91"/>
        <v>0.25085166840484785</v>
      </c>
      <c r="I118" s="95">
        <f t="shared" si="92"/>
        <v>1.5639805646666151E-2</v>
      </c>
      <c r="J118" s="12">
        <f t="shared" si="73"/>
        <v>0</v>
      </c>
      <c r="K118" s="12">
        <f t="shared" si="74"/>
        <v>1335.193885479835</v>
      </c>
      <c r="L118" s="54">
        <f t="shared" si="75"/>
        <v>5.7449921350902519E-5</v>
      </c>
      <c r="M118" s="10">
        <f t="shared" si="76"/>
        <v>0.1016542684371444</v>
      </c>
      <c r="N118" s="10">
        <f t="shared" si="77"/>
        <v>4.5393034782034291E-4</v>
      </c>
      <c r="O118" s="10">
        <f t="shared" si="78"/>
        <v>1.8787658566508345E-4</v>
      </c>
      <c r="P118" s="10">
        <f t="shared" si="79"/>
        <v>1.1713509039210136E-5</v>
      </c>
      <c r="Q118" s="54">
        <f t="shared" si="80"/>
        <v>1.7326523290198868E-2</v>
      </c>
      <c r="R118" s="10">
        <f t="shared" si="81"/>
        <v>1.3432468098568184E-4</v>
      </c>
      <c r="S118" s="10">
        <f t="shared" si="82"/>
        <v>4.9123048216836562E-4</v>
      </c>
      <c r="T118" s="10">
        <f t="shared" si="83"/>
        <v>0.29737582175547256</v>
      </c>
      <c r="U118" s="10">
        <f t="shared" si="84"/>
        <v>0.68467201111289944</v>
      </c>
      <c r="V118" s="10">
        <f t="shared" si="85"/>
        <v>8.6447527828723614E-8</v>
      </c>
      <c r="W118" s="10">
        <f t="shared" si="86"/>
        <v>2.2307473018743689E-9</v>
      </c>
      <c r="X118" s="163">
        <f t="shared" si="67"/>
        <v>0.99999999999999989</v>
      </c>
      <c r="Y118" s="54">
        <f t="shared" si="87"/>
        <v>0.16445867760646846</v>
      </c>
      <c r="Z118" s="54">
        <f t="shared" si="88"/>
        <v>1.5035859820469819E-2</v>
      </c>
      <c r="AA118" s="113"/>
    </row>
    <row r="119" spans="1:27" x14ac:dyDescent="0.2">
      <c r="A119" s="20">
        <f t="shared" si="68"/>
        <v>1</v>
      </c>
      <c r="B119" s="23">
        <f t="shared" si="69"/>
        <v>0</v>
      </c>
      <c r="C119" s="12">
        <f t="shared" si="70"/>
        <v>0</v>
      </c>
      <c r="D119" s="12">
        <f t="shared" si="71"/>
        <v>1198.51644454703</v>
      </c>
      <c r="E119" s="23">
        <f t="shared" si="89"/>
        <v>7.6706783709022466E-2</v>
      </c>
      <c r="F119" s="23">
        <f t="shared" si="72"/>
        <v>135.72815765020098</v>
      </c>
      <c r="G119" s="95">
        <f t="shared" si="90"/>
        <v>0.60608502484345661</v>
      </c>
      <c r="H119" s="95">
        <f t="shared" si="91"/>
        <v>0.25085166840484785</v>
      </c>
      <c r="I119" s="95">
        <f t="shared" si="92"/>
        <v>1.5639805646666151E-2</v>
      </c>
      <c r="J119" s="12">
        <f t="shared" si="73"/>
        <v>0</v>
      </c>
      <c r="K119" s="12">
        <f t="shared" si="74"/>
        <v>1335.193885479835</v>
      </c>
      <c r="L119" s="54">
        <f t="shared" si="75"/>
        <v>5.7449921350902519E-5</v>
      </c>
      <c r="M119" s="10">
        <f t="shared" si="76"/>
        <v>0.1016542684371444</v>
      </c>
      <c r="N119" s="10">
        <f t="shared" si="77"/>
        <v>4.5393034782034291E-4</v>
      </c>
      <c r="O119" s="10">
        <f t="shared" si="78"/>
        <v>1.8787658566508345E-4</v>
      </c>
      <c r="P119" s="10">
        <f t="shared" si="79"/>
        <v>1.1713509039210136E-5</v>
      </c>
      <c r="Q119" s="54">
        <f t="shared" si="80"/>
        <v>1.7326523290198868E-2</v>
      </c>
      <c r="R119" s="10">
        <f t="shared" si="81"/>
        <v>1.3432468098568184E-4</v>
      </c>
      <c r="S119" s="10">
        <f t="shared" si="82"/>
        <v>4.9123048216836562E-4</v>
      </c>
      <c r="T119" s="10">
        <f t="shared" si="83"/>
        <v>0.29737582175547256</v>
      </c>
      <c r="U119" s="10">
        <f t="shared" si="84"/>
        <v>0.68467201111289944</v>
      </c>
      <c r="V119" s="10">
        <f t="shared" si="85"/>
        <v>8.6447527828723614E-8</v>
      </c>
      <c r="W119" s="10">
        <f t="shared" si="86"/>
        <v>2.2307473018743689E-9</v>
      </c>
      <c r="X119" s="163">
        <f t="shared" si="67"/>
        <v>0.99999999999999989</v>
      </c>
      <c r="Y119" s="54">
        <f t="shared" si="87"/>
        <v>0.16445867760646846</v>
      </c>
      <c r="Z119" s="54">
        <f t="shared" si="88"/>
        <v>1.5035859820469819E-2</v>
      </c>
      <c r="AA119" s="113"/>
    </row>
    <row r="120" spans="1:27" x14ac:dyDescent="0.2">
      <c r="A120" s="20">
        <f t="shared" si="68"/>
        <v>1</v>
      </c>
      <c r="B120" s="23">
        <f t="shared" si="69"/>
        <v>0</v>
      </c>
      <c r="C120" s="12">
        <f t="shared" si="70"/>
        <v>0</v>
      </c>
      <c r="D120" s="12">
        <f t="shared" si="71"/>
        <v>1198.51644454703</v>
      </c>
      <c r="E120" s="23">
        <f t="shared" si="89"/>
        <v>7.6706783709022466E-2</v>
      </c>
      <c r="F120" s="23">
        <f t="shared" si="72"/>
        <v>135.72815765020098</v>
      </c>
      <c r="G120" s="95">
        <f t="shared" si="90"/>
        <v>0.60608502484345661</v>
      </c>
      <c r="H120" s="95">
        <f t="shared" si="91"/>
        <v>0.25085166840484785</v>
      </c>
      <c r="I120" s="95">
        <f t="shared" si="92"/>
        <v>1.5639805646666151E-2</v>
      </c>
      <c r="J120" s="12">
        <f t="shared" si="73"/>
        <v>0</v>
      </c>
      <c r="K120" s="12">
        <f t="shared" si="74"/>
        <v>1335.193885479835</v>
      </c>
      <c r="L120" s="54">
        <f t="shared" si="75"/>
        <v>5.7449921350902519E-5</v>
      </c>
      <c r="M120" s="10">
        <f t="shared" si="76"/>
        <v>0.1016542684371444</v>
      </c>
      <c r="N120" s="10">
        <f t="shared" si="77"/>
        <v>4.5393034782034291E-4</v>
      </c>
      <c r="O120" s="10">
        <f t="shared" si="78"/>
        <v>1.8787658566508345E-4</v>
      </c>
      <c r="P120" s="10">
        <f t="shared" si="79"/>
        <v>1.1713509039210136E-5</v>
      </c>
      <c r="Q120" s="54">
        <f t="shared" si="80"/>
        <v>1.7326523290198868E-2</v>
      </c>
      <c r="R120" s="10">
        <f t="shared" si="81"/>
        <v>1.3432468098568184E-4</v>
      </c>
      <c r="S120" s="10">
        <f t="shared" si="82"/>
        <v>4.9123048216836562E-4</v>
      </c>
      <c r="T120" s="10">
        <f t="shared" si="83"/>
        <v>0.29737582175547256</v>
      </c>
      <c r="U120" s="10">
        <f t="shared" si="84"/>
        <v>0.68467201111289944</v>
      </c>
      <c r="V120" s="10">
        <f t="shared" si="85"/>
        <v>8.6447527828723614E-8</v>
      </c>
      <c r="W120" s="10">
        <f t="shared" si="86"/>
        <v>2.2307473018743689E-9</v>
      </c>
      <c r="X120" s="163">
        <f t="shared" si="67"/>
        <v>0.99999999999999989</v>
      </c>
      <c r="Y120" s="54">
        <f t="shared" si="87"/>
        <v>0.16445867760646846</v>
      </c>
      <c r="Z120" s="54">
        <f t="shared" si="88"/>
        <v>1.5035859820469819E-2</v>
      </c>
      <c r="AA120" s="113"/>
    </row>
    <row r="121" spans="1:27" x14ac:dyDescent="0.2">
      <c r="A121" s="20">
        <f t="shared" si="68"/>
        <v>1</v>
      </c>
      <c r="B121" s="23">
        <f t="shared" si="69"/>
        <v>0</v>
      </c>
      <c r="C121" s="12">
        <f t="shared" si="70"/>
        <v>0</v>
      </c>
      <c r="D121" s="12">
        <f t="shared" si="71"/>
        <v>1198.51644454703</v>
      </c>
      <c r="E121" s="23">
        <f t="shared" si="89"/>
        <v>7.6706783709022466E-2</v>
      </c>
      <c r="F121" s="23">
        <f t="shared" si="72"/>
        <v>135.72815765020098</v>
      </c>
      <c r="G121" s="95">
        <f t="shared" si="90"/>
        <v>0.60608502484345661</v>
      </c>
      <c r="H121" s="95">
        <f t="shared" si="91"/>
        <v>0.25085166840484785</v>
      </c>
      <c r="I121" s="95">
        <f t="shared" si="92"/>
        <v>1.5639805646666151E-2</v>
      </c>
      <c r="J121" s="12">
        <f t="shared" si="73"/>
        <v>0</v>
      </c>
      <c r="K121" s="12">
        <f t="shared" si="74"/>
        <v>1335.193885479835</v>
      </c>
      <c r="L121" s="54">
        <f t="shared" si="75"/>
        <v>5.7449921350902519E-5</v>
      </c>
      <c r="M121" s="10">
        <f t="shared" si="76"/>
        <v>0.1016542684371444</v>
      </c>
      <c r="N121" s="10">
        <f t="shared" si="77"/>
        <v>4.5393034782034291E-4</v>
      </c>
      <c r="O121" s="10">
        <f t="shared" si="78"/>
        <v>1.8787658566508345E-4</v>
      </c>
      <c r="P121" s="10">
        <f t="shared" si="79"/>
        <v>1.1713509039210136E-5</v>
      </c>
      <c r="Q121" s="54">
        <f t="shared" si="80"/>
        <v>1.7326523290198868E-2</v>
      </c>
      <c r="R121" s="10">
        <f t="shared" si="81"/>
        <v>1.3432468098568184E-4</v>
      </c>
      <c r="S121" s="10">
        <f t="shared" si="82"/>
        <v>4.9123048216836562E-4</v>
      </c>
      <c r="T121" s="10">
        <f t="shared" si="83"/>
        <v>0.29737582175547256</v>
      </c>
      <c r="U121" s="10">
        <f t="shared" si="84"/>
        <v>0.68467201111289944</v>
      </c>
      <c r="V121" s="10">
        <f t="shared" si="85"/>
        <v>8.6447527828723614E-8</v>
      </c>
      <c r="W121" s="10">
        <f t="shared" si="86"/>
        <v>2.2307473018743689E-9</v>
      </c>
      <c r="X121" s="163">
        <f t="shared" si="67"/>
        <v>0.99999999999999989</v>
      </c>
      <c r="Y121" s="54">
        <f t="shared" si="87"/>
        <v>0.16445867760646846</v>
      </c>
      <c r="Z121" s="54">
        <f t="shared" si="88"/>
        <v>1.5035859820469819E-2</v>
      </c>
      <c r="AA121" s="113"/>
    </row>
    <row r="122" spans="1:27" x14ac:dyDescent="0.2">
      <c r="A122" s="20">
        <f t="shared" si="68"/>
        <v>1</v>
      </c>
      <c r="B122" s="23">
        <f t="shared" si="69"/>
        <v>0</v>
      </c>
      <c r="C122" s="12">
        <f t="shared" si="70"/>
        <v>0</v>
      </c>
      <c r="D122" s="12">
        <f t="shared" si="71"/>
        <v>1198.51644454703</v>
      </c>
      <c r="E122" s="23">
        <f t="shared" si="89"/>
        <v>7.6706783709022466E-2</v>
      </c>
      <c r="F122" s="23">
        <f t="shared" si="72"/>
        <v>135.72815765020098</v>
      </c>
      <c r="G122" s="95">
        <f t="shared" si="90"/>
        <v>0.60608502484345661</v>
      </c>
      <c r="H122" s="95">
        <f t="shared" si="91"/>
        <v>0.25085166840484785</v>
      </c>
      <c r="I122" s="95">
        <f t="shared" si="92"/>
        <v>1.5639805646666151E-2</v>
      </c>
      <c r="J122" s="12">
        <f t="shared" si="73"/>
        <v>0</v>
      </c>
      <c r="K122" s="12">
        <f t="shared" si="74"/>
        <v>1335.193885479835</v>
      </c>
      <c r="L122" s="54">
        <f t="shared" si="75"/>
        <v>5.7449921350902519E-5</v>
      </c>
      <c r="M122" s="10">
        <f t="shared" si="76"/>
        <v>0.1016542684371444</v>
      </c>
      <c r="N122" s="10">
        <f t="shared" si="77"/>
        <v>4.5393034782034291E-4</v>
      </c>
      <c r="O122" s="10">
        <f t="shared" si="78"/>
        <v>1.8787658566508345E-4</v>
      </c>
      <c r="P122" s="10">
        <f t="shared" si="79"/>
        <v>1.1713509039210136E-5</v>
      </c>
      <c r="Q122" s="54">
        <f t="shared" si="80"/>
        <v>1.7326523290198868E-2</v>
      </c>
      <c r="R122" s="10">
        <f t="shared" si="81"/>
        <v>1.3432468098568184E-4</v>
      </c>
      <c r="S122" s="10">
        <f t="shared" si="82"/>
        <v>4.9123048216836562E-4</v>
      </c>
      <c r="T122" s="10">
        <f t="shared" si="83"/>
        <v>0.29737582175547256</v>
      </c>
      <c r="U122" s="10">
        <f t="shared" si="84"/>
        <v>0.68467201111289944</v>
      </c>
      <c r="V122" s="10">
        <f t="shared" si="85"/>
        <v>8.6447527828723614E-8</v>
      </c>
      <c r="W122" s="10">
        <f t="shared" si="86"/>
        <v>2.2307473018743689E-9</v>
      </c>
      <c r="X122" s="163">
        <f t="shared" si="67"/>
        <v>0.99999999999999989</v>
      </c>
      <c r="Y122" s="54">
        <f t="shared" si="87"/>
        <v>0.16445867760646846</v>
      </c>
      <c r="Z122" s="54">
        <f t="shared" si="88"/>
        <v>1.5035859820469819E-2</v>
      </c>
      <c r="AA122" s="113"/>
    </row>
    <row r="123" spans="1:27" x14ac:dyDescent="0.2">
      <c r="A123" s="20">
        <f t="shared" si="68"/>
        <v>1</v>
      </c>
      <c r="B123" s="23">
        <f t="shared" si="69"/>
        <v>0</v>
      </c>
      <c r="C123" s="12">
        <f t="shared" si="70"/>
        <v>0</v>
      </c>
      <c r="D123" s="12">
        <f t="shared" si="71"/>
        <v>1198.51644454703</v>
      </c>
      <c r="E123" s="23">
        <f t="shared" si="89"/>
        <v>7.6706783709022466E-2</v>
      </c>
      <c r="F123" s="23">
        <f t="shared" si="72"/>
        <v>135.72815765020098</v>
      </c>
      <c r="G123" s="95">
        <f t="shared" si="90"/>
        <v>0.60608502484345661</v>
      </c>
      <c r="H123" s="95">
        <f t="shared" si="91"/>
        <v>0.25085166840484785</v>
      </c>
      <c r="I123" s="95">
        <f t="shared" si="92"/>
        <v>1.5639805646666151E-2</v>
      </c>
      <c r="J123" s="12">
        <f t="shared" si="73"/>
        <v>0</v>
      </c>
      <c r="K123" s="12">
        <f t="shared" si="74"/>
        <v>1335.193885479835</v>
      </c>
      <c r="L123" s="54">
        <f t="shared" si="75"/>
        <v>5.7449921350902519E-5</v>
      </c>
      <c r="M123" s="10">
        <f t="shared" si="76"/>
        <v>0.1016542684371444</v>
      </c>
      <c r="N123" s="10">
        <f t="shared" si="77"/>
        <v>4.5393034782034291E-4</v>
      </c>
      <c r="O123" s="10">
        <f t="shared" si="78"/>
        <v>1.8787658566508345E-4</v>
      </c>
      <c r="P123" s="10">
        <f t="shared" si="79"/>
        <v>1.1713509039210136E-5</v>
      </c>
      <c r="Q123" s="54">
        <f t="shared" si="80"/>
        <v>1.7326523290198868E-2</v>
      </c>
      <c r="R123" s="10">
        <f t="shared" si="81"/>
        <v>1.3432468098568184E-4</v>
      </c>
      <c r="S123" s="10">
        <f t="shared" si="82"/>
        <v>4.9123048216836562E-4</v>
      </c>
      <c r="T123" s="10">
        <f t="shared" si="83"/>
        <v>0.29737582175547256</v>
      </c>
      <c r="U123" s="10">
        <f t="shared" si="84"/>
        <v>0.68467201111289944</v>
      </c>
      <c r="V123" s="10">
        <f t="shared" si="85"/>
        <v>8.6447527828723614E-8</v>
      </c>
      <c r="W123" s="10">
        <f t="shared" si="86"/>
        <v>2.2307473018743689E-9</v>
      </c>
      <c r="X123" s="163">
        <f t="shared" si="67"/>
        <v>0.99999999999999989</v>
      </c>
      <c r="Y123" s="54">
        <f t="shared" si="87"/>
        <v>0.16445867760646846</v>
      </c>
      <c r="Z123" s="54">
        <f t="shared" si="88"/>
        <v>1.5035859820469819E-2</v>
      </c>
      <c r="AA123" s="113"/>
    </row>
    <row r="124" spans="1:27" x14ac:dyDescent="0.2">
      <c r="A124" s="20">
        <f t="shared" si="68"/>
        <v>1</v>
      </c>
      <c r="B124" s="23">
        <f t="shared" si="69"/>
        <v>0</v>
      </c>
      <c r="C124" s="12">
        <f t="shared" si="70"/>
        <v>0</v>
      </c>
      <c r="D124" s="12">
        <f t="shared" si="71"/>
        <v>1198.51644454703</v>
      </c>
      <c r="E124" s="23">
        <f t="shared" si="89"/>
        <v>7.6706783709022466E-2</v>
      </c>
      <c r="F124" s="23">
        <f t="shared" si="72"/>
        <v>135.72815765020098</v>
      </c>
      <c r="G124" s="95">
        <f t="shared" si="90"/>
        <v>0.60608502484345661</v>
      </c>
      <c r="H124" s="95">
        <f t="shared" si="91"/>
        <v>0.25085166840484785</v>
      </c>
      <c r="I124" s="95">
        <f t="shared" si="92"/>
        <v>1.5639805646666151E-2</v>
      </c>
      <c r="J124" s="12">
        <f t="shared" si="73"/>
        <v>0</v>
      </c>
      <c r="K124" s="12">
        <f t="shared" si="74"/>
        <v>1335.193885479835</v>
      </c>
      <c r="L124" s="54">
        <f t="shared" si="75"/>
        <v>5.7449921350902519E-5</v>
      </c>
      <c r="M124" s="10">
        <f t="shared" si="76"/>
        <v>0.1016542684371444</v>
      </c>
      <c r="N124" s="10">
        <f t="shared" si="77"/>
        <v>4.5393034782034291E-4</v>
      </c>
      <c r="O124" s="10">
        <f t="shared" si="78"/>
        <v>1.8787658566508345E-4</v>
      </c>
      <c r="P124" s="10">
        <f t="shared" si="79"/>
        <v>1.1713509039210136E-5</v>
      </c>
      <c r="Q124" s="54">
        <f t="shared" si="80"/>
        <v>1.7326523290198868E-2</v>
      </c>
      <c r="R124" s="10">
        <f t="shared" si="81"/>
        <v>1.3432468098568184E-4</v>
      </c>
      <c r="S124" s="10">
        <f t="shared" si="82"/>
        <v>4.9123048216836562E-4</v>
      </c>
      <c r="T124" s="10">
        <f t="shared" si="83"/>
        <v>0.29737582175547256</v>
      </c>
      <c r="U124" s="10">
        <f t="shared" si="84"/>
        <v>0.68467201111289944</v>
      </c>
      <c r="V124" s="10">
        <f t="shared" si="85"/>
        <v>8.6447527828723614E-8</v>
      </c>
      <c r="W124" s="10">
        <f t="shared" si="86"/>
        <v>2.2307473018743689E-9</v>
      </c>
      <c r="X124" s="163">
        <f t="shared" si="67"/>
        <v>0.99999999999999989</v>
      </c>
      <c r="Y124" s="54">
        <f t="shared" si="87"/>
        <v>0.16445867760646846</v>
      </c>
      <c r="Z124" s="54">
        <f t="shared" si="88"/>
        <v>1.5035859820469819E-2</v>
      </c>
      <c r="AA124" s="113"/>
    </row>
    <row r="125" spans="1:27" x14ac:dyDescent="0.2">
      <c r="A125" s="20">
        <f t="shared" si="68"/>
        <v>1</v>
      </c>
      <c r="B125" s="23">
        <f t="shared" si="69"/>
        <v>0</v>
      </c>
      <c r="C125" s="12">
        <f t="shared" si="70"/>
        <v>0</v>
      </c>
      <c r="D125" s="12">
        <f t="shared" si="71"/>
        <v>1198.51644454703</v>
      </c>
      <c r="E125" s="23">
        <f t="shared" si="89"/>
        <v>7.6706783709022466E-2</v>
      </c>
      <c r="F125" s="23">
        <f t="shared" si="72"/>
        <v>135.72815765020098</v>
      </c>
      <c r="G125" s="95">
        <f t="shared" si="90"/>
        <v>0.60608502484345661</v>
      </c>
      <c r="H125" s="95">
        <f t="shared" si="91"/>
        <v>0.25085166840484785</v>
      </c>
      <c r="I125" s="95">
        <f t="shared" si="92"/>
        <v>1.5639805646666151E-2</v>
      </c>
      <c r="J125" s="12">
        <f t="shared" si="73"/>
        <v>0</v>
      </c>
      <c r="K125" s="12">
        <f t="shared" si="74"/>
        <v>1335.193885479835</v>
      </c>
      <c r="L125" s="54">
        <f t="shared" si="75"/>
        <v>5.7449921350902519E-5</v>
      </c>
      <c r="M125" s="10">
        <f t="shared" si="76"/>
        <v>0.1016542684371444</v>
      </c>
      <c r="N125" s="10">
        <f t="shared" si="77"/>
        <v>4.5393034782034291E-4</v>
      </c>
      <c r="O125" s="10">
        <f t="shared" si="78"/>
        <v>1.8787658566508345E-4</v>
      </c>
      <c r="P125" s="10">
        <f t="shared" si="79"/>
        <v>1.1713509039210136E-5</v>
      </c>
      <c r="Q125" s="54">
        <f t="shared" si="80"/>
        <v>1.7326523290198868E-2</v>
      </c>
      <c r="R125" s="10">
        <f t="shared" si="81"/>
        <v>1.3432468098568184E-4</v>
      </c>
      <c r="S125" s="10">
        <f t="shared" si="82"/>
        <v>4.9123048216836562E-4</v>
      </c>
      <c r="T125" s="10">
        <f t="shared" si="83"/>
        <v>0.29737582175547256</v>
      </c>
      <c r="U125" s="10">
        <f t="shared" si="84"/>
        <v>0.68467201111289944</v>
      </c>
      <c r="V125" s="10">
        <f t="shared" si="85"/>
        <v>8.6447527828723614E-8</v>
      </c>
      <c r="W125" s="10">
        <f t="shared" si="86"/>
        <v>2.2307473018743689E-9</v>
      </c>
      <c r="X125" s="163">
        <f t="shared" si="67"/>
        <v>0.99999999999999989</v>
      </c>
      <c r="Y125" s="54">
        <f t="shared" si="87"/>
        <v>0.16445867760646846</v>
      </c>
      <c r="Z125" s="54">
        <f t="shared" si="88"/>
        <v>1.5035859820469819E-2</v>
      </c>
      <c r="AA125" s="113"/>
    </row>
    <row r="126" spans="1:27" x14ac:dyDescent="0.2">
      <c r="A126" s="20">
        <f t="shared" si="68"/>
        <v>1</v>
      </c>
      <c r="B126" s="23">
        <f t="shared" si="69"/>
        <v>0</v>
      </c>
      <c r="C126" s="12">
        <f t="shared" si="70"/>
        <v>0</v>
      </c>
      <c r="D126" s="12">
        <f t="shared" si="71"/>
        <v>1198.51644454703</v>
      </c>
      <c r="E126" s="23">
        <f t="shared" si="89"/>
        <v>7.6706783709022466E-2</v>
      </c>
      <c r="F126" s="23">
        <f t="shared" si="72"/>
        <v>135.72815765020098</v>
      </c>
      <c r="G126" s="95">
        <f t="shared" si="90"/>
        <v>0.60608502484345661</v>
      </c>
      <c r="H126" s="95">
        <f t="shared" si="91"/>
        <v>0.25085166840484785</v>
      </c>
      <c r="I126" s="95">
        <f t="shared" si="92"/>
        <v>1.5639805646666151E-2</v>
      </c>
      <c r="J126" s="12">
        <f t="shared" si="73"/>
        <v>0</v>
      </c>
      <c r="K126" s="12">
        <f t="shared" si="74"/>
        <v>1335.193885479835</v>
      </c>
      <c r="L126" s="54">
        <f t="shared" si="75"/>
        <v>5.7449921350902519E-5</v>
      </c>
      <c r="M126" s="10">
        <f t="shared" si="76"/>
        <v>0.1016542684371444</v>
      </c>
      <c r="N126" s="10">
        <f t="shared" si="77"/>
        <v>4.5393034782034291E-4</v>
      </c>
      <c r="O126" s="10">
        <f t="shared" si="78"/>
        <v>1.8787658566508345E-4</v>
      </c>
      <c r="P126" s="10">
        <f t="shared" si="79"/>
        <v>1.1713509039210136E-5</v>
      </c>
      <c r="Q126" s="54">
        <f t="shared" si="80"/>
        <v>1.7326523290198868E-2</v>
      </c>
      <c r="R126" s="10">
        <f t="shared" si="81"/>
        <v>1.3432468098568184E-4</v>
      </c>
      <c r="S126" s="10">
        <f t="shared" si="82"/>
        <v>4.9123048216836562E-4</v>
      </c>
      <c r="T126" s="10">
        <f t="shared" si="83"/>
        <v>0.29737582175547256</v>
      </c>
      <c r="U126" s="10">
        <f t="shared" si="84"/>
        <v>0.68467201111289944</v>
      </c>
      <c r="V126" s="10">
        <f t="shared" si="85"/>
        <v>8.6447527828723614E-8</v>
      </c>
      <c r="W126" s="10">
        <f t="shared" si="86"/>
        <v>2.2307473018743689E-9</v>
      </c>
      <c r="X126" s="163">
        <f t="shared" si="67"/>
        <v>0.99999999999999989</v>
      </c>
      <c r="Y126" s="54">
        <f t="shared" si="87"/>
        <v>0.16445867760646846</v>
      </c>
      <c r="Z126" s="54">
        <f t="shared" si="88"/>
        <v>1.5035859820469819E-2</v>
      </c>
      <c r="AA126" s="113"/>
    </row>
    <row r="127" spans="1:27" x14ac:dyDescent="0.2">
      <c r="A127" s="20">
        <f t="shared" si="68"/>
        <v>1</v>
      </c>
      <c r="B127" s="23">
        <f t="shared" si="69"/>
        <v>0</v>
      </c>
      <c r="C127" s="12">
        <f t="shared" si="70"/>
        <v>0</v>
      </c>
      <c r="D127" s="12">
        <f t="shared" si="71"/>
        <v>1198.51644454703</v>
      </c>
      <c r="E127" s="23">
        <f t="shared" si="89"/>
        <v>7.6706783709022466E-2</v>
      </c>
      <c r="F127" s="23">
        <f t="shared" si="72"/>
        <v>135.72815765020098</v>
      </c>
      <c r="G127" s="95">
        <f t="shared" si="90"/>
        <v>0.60608502484345661</v>
      </c>
      <c r="H127" s="95">
        <f t="shared" si="91"/>
        <v>0.25085166840484785</v>
      </c>
      <c r="I127" s="95">
        <f t="shared" si="92"/>
        <v>1.5639805646666151E-2</v>
      </c>
      <c r="J127" s="12">
        <f t="shared" si="73"/>
        <v>0</v>
      </c>
      <c r="K127" s="12">
        <f t="shared" si="74"/>
        <v>1335.193885479835</v>
      </c>
      <c r="L127" s="54">
        <f t="shared" si="75"/>
        <v>5.7449921350902519E-5</v>
      </c>
      <c r="M127" s="10">
        <f t="shared" si="76"/>
        <v>0.1016542684371444</v>
      </c>
      <c r="N127" s="10">
        <f t="shared" si="77"/>
        <v>4.5393034782034291E-4</v>
      </c>
      <c r="O127" s="10">
        <f t="shared" si="78"/>
        <v>1.8787658566508345E-4</v>
      </c>
      <c r="P127" s="10">
        <f t="shared" si="79"/>
        <v>1.1713509039210136E-5</v>
      </c>
      <c r="Q127" s="54">
        <f t="shared" si="80"/>
        <v>1.7326523290198868E-2</v>
      </c>
      <c r="R127" s="10">
        <f t="shared" si="81"/>
        <v>1.3432468098568184E-4</v>
      </c>
      <c r="S127" s="10">
        <f t="shared" si="82"/>
        <v>4.9123048216836562E-4</v>
      </c>
      <c r="T127" s="10">
        <f t="shared" si="83"/>
        <v>0.29737582175547256</v>
      </c>
      <c r="U127" s="10">
        <f t="shared" si="84"/>
        <v>0.68467201111289944</v>
      </c>
      <c r="V127" s="10">
        <f t="shared" si="85"/>
        <v>8.6447527828723614E-8</v>
      </c>
      <c r="W127" s="10">
        <f t="shared" si="86"/>
        <v>2.2307473018743689E-9</v>
      </c>
      <c r="X127" s="163">
        <f t="shared" si="67"/>
        <v>0.99999999999999989</v>
      </c>
      <c r="Y127" s="54">
        <f t="shared" si="87"/>
        <v>0.16445867760646846</v>
      </c>
      <c r="Z127" s="54">
        <f t="shared" si="88"/>
        <v>1.5035859820469819E-2</v>
      </c>
      <c r="AA127" s="113"/>
    </row>
    <row r="128" spans="1:27" x14ac:dyDescent="0.2">
      <c r="A128" s="20">
        <f t="shared" si="68"/>
        <v>1</v>
      </c>
      <c r="B128" s="23">
        <f t="shared" si="69"/>
        <v>0</v>
      </c>
      <c r="C128" s="12">
        <f t="shared" si="70"/>
        <v>0</v>
      </c>
      <c r="D128" s="12">
        <f t="shared" si="71"/>
        <v>1198.51644454703</v>
      </c>
      <c r="E128" s="23">
        <f t="shared" si="89"/>
        <v>7.6706783709022466E-2</v>
      </c>
      <c r="F128" s="23">
        <f t="shared" si="72"/>
        <v>135.72815765020098</v>
      </c>
      <c r="G128" s="95">
        <f t="shared" si="90"/>
        <v>0.60608502484345661</v>
      </c>
      <c r="H128" s="95">
        <f t="shared" si="91"/>
        <v>0.25085166840484785</v>
      </c>
      <c r="I128" s="95">
        <f t="shared" si="92"/>
        <v>1.5639805646666151E-2</v>
      </c>
      <c r="J128" s="12">
        <f t="shared" si="73"/>
        <v>0</v>
      </c>
      <c r="K128" s="12">
        <f t="shared" si="74"/>
        <v>1335.193885479835</v>
      </c>
      <c r="L128" s="54">
        <f t="shared" si="75"/>
        <v>5.7449921350902519E-5</v>
      </c>
      <c r="M128" s="10">
        <f t="shared" si="76"/>
        <v>0.1016542684371444</v>
      </c>
      <c r="N128" s="10">
        <f t="shared" si="77"/>
        <v>4.5393034782034291E-4</v>
      </c>
      <c r="O128" s="10">
        <f t="shared" si="78"/>
        <v>1.8787658566508345E-4</v>
      </c>
      <c r="P128" s="10">
        <f t="shared" si="79"/>
        <v>1.1713509039210136E-5</v>
      </c>
      <c r="Q128" s="54">
        <f t="shared" si="80"/>
        <v>1.7326523290198868E-2</v>
      </c>
      <c r="R128" s="10">
        <f t="shared" si="81"/>
        <v>1.3432468098568184E-4</v>
      </c>
      <c r="S128" s="10">
        <f t="shared" si="82"/>
        <v>4.9123048216836562E-4</v>
      </c>
      <c r="T128" s="10">
        <f t="shared" si="83"/>
        <v>0.29737582175547256</v>
      </c>
      <c r="U128" s="10">
        <f t="shared" si="84"/>
        <v>0.68467201111289944</v>
      </c>
      <c r="V128" s="10">
        <f t="shared" si="85"/>
        <v>8.6447527828723614E-8</v>
      </c>
      <c r="W128" s="10">
        <f t="shared" si="86"/>
        <v>2.2307473018743689E-9</v>
      </c>
      <c r="X128" s="163">
        <f t="shared" si="67"/>
        <v>0.99999999999999989</v>
      </c>
      <c r="Y128" s="54">
        <f t="shared" si="87"/>
        <v>0.16445867760646846</v>
      </c>
      <c r="Z128" s="54">
        <f t="shared" si="88"/>
        <v>1.5035859820469819E-2</v>
      </c>
      <c r="AA128" s="113"/>
    </row>
    <row r="129" spans="1:27" x14ac:dyDescent="0.2">
      <c r="A129" s="20">
        <f t="shared" si="68"/>
        <v>1</v>
      </c>
      <c r="B129" s="23">
        <f t="shared" si="69"/>
        <v>0</v>
      </c>
      <c r="C129" s="12">
        <f t="shared" si="70"/>
        <v>0</v>
      </c>
      <c r="D129" s="12">
        <f t="shared" si="71"/>
        <v>1198.51644454703</v>
      </c>
      <c r="E129" s="23">
        <f t="shared" si="89"/>
        <v>7.6706783709022466E-2</v>
      </c>
      <c r="F129" s="23">
        <f t="shared" si="72"/>
        <v>135.72815765020098</v>
      </c>
      <c r="G129" s="95">
        <f t="shared" si="90"/>
        <v>0.60608502484345661</v>
      </c>
      <c r="H129" s="95">
        <f t="shared" si="91"/>
        <v>0.25085166840484785</v>
      </c>
      <c r="I129" s="95">
        <f t="shared" si="92"/>
        <v>1.5639805646666151E-2</v>
      </c>
      <c r="J129" s="12">
        <f t="shared" si="73"/>
        <v>0</v>
      </c>
      <c r="K129" s="12">
        <f t="shared" si="74"/>
        <v>1335.193885479835</v>
      </c>
      <c r="L129" s="54">
        <f t="shared" si="75"/>
        <v>5.7449921350902519E-5</v>
      </c>
      <c r="M129" s="10">
        <f t="shared" si="76"/>
        <v>0.1016542684371444</v>
      </c>
      <c r="N129" s="10">
        <f t="shared" si="77"/>
        <v>4.5393034782034291E-4</v>
      </c>
      <c r="O129" s="10">
        <f t="shared" si="78"/>
        <v>1.8787658566508345E-4</v>
      </c>
      <c r="P129" s="10">
        <f t="shared" si="79"/>
        <v>1.1713509039210136E-5</v>
      </c>
      <c r="Q129" s="54">
        <f t="shared" si="80"/>
        <v>1.7326523290198868E-2</v>
      </c>
      <c r="R129" s="10">
        <f t="shared" si="81"/>
        <v>1.3432468098568184E-4</v>
      </c>
      <c r="S129" s="10">
        <f t="shared" si="82"/>
        <v>4.9123048216836562E-4</v>
      </c>
      <c r="T129" s="10">
        <f t="shared" si="83"/>
        <v>0.29737582175547256</v>
      </c>
      <c r="U129" s="10">
        <f t="shared" si="84"/>
        <v>0.68467201111289944</v>
      </c>
      <c r="V129" s="10">
        <f t="shared" si="85"/>
        <v>8.6447527828723614E-8</v>
      </c>
      <c r="W129" s="10">
        <f t="shared" si="86"/>
        <v>2.2307473018743689E-9</v>
      </c>
      <c r="X129" s="163">
        <f t="shared" si="67"/>
        <v>0.99999999999999989</v>
      </c>
      <c r="Y129" s="54">
        <f t="shared" si="87"/>
        <v>0.16445867760646846</v>
      </c>
      <c r="Z129" s="54">
        <f t="shared" si="88"/>
        <v>1.5035859820469819E-2</v>
      </c>
      <c r="AA129" s="113"/>
    </row>
    <row r="130" spans="1:27" x14ac:dyDescent="0.2">
      <c r="A130" s="20">
        <f t="shared" si="68"/>
        <v>1</v>
      </c>
      <c r="B130" s="23">
        <f t="shared" si="69"/>
        <v>0</v>
      </c>
      <c r="C130" s="12">
        <f t="shared" si="70"/>
        <v>0</v>
      </c>
      <c r="D130" s="12">
        <f t="shared" si="71"/>
        <v>1198.51644454703</v>
      </c>
      <c r="E130" s="23">
        <f t="shared" si="89"/>
        <v>7.6706783709022466E-2</v>
      </c>
      <c r="F130" s="23">
        <f t="shared" si="72"/>
        <v>135.72815765020098</v>
      </c>
      <c r="G130" s="95">
        <f t="shared" si="90"/>
        <v>0.60608502484345661</v>
      </c>
      <c r="H130" s="95">
        <f t="shared" si="91"/>
        <v>0.25085166840484785</v>
      </c>
      <c r="I130" s="95">
        <f t="shared" si="92"/>
        <v>1.5639805646666151E-2</v>
      </c>
      <c r="J130" s="12">
        <f t="shared" si="73"/>
        <v>0</v>
      </c>
      <c r="K130" s="12">
        <f t="shared" si="74"/>
        <v>1335.193885479835</v>
      </c>
      <c r="L130" s="54">
        <f t="shared" si="75"/>
        <v>5.7449921350902519E-5</v>
      </c>
      <c r="M130" s="10">
        <f t="shared" si="76"/>
        <v>0.1016542684371444</v>
      </c>
      <c r="N130" s="10">
        <f t="shared" si="77"/>
        <v>4.5393034782034291E-4</v>
      </c>
      <c r="O130" s="10">
        <f t="shared" si="78"/>
        <v>1.8787658566508345E-4</v>
      </c>
      <c r="P130" s="10">
        <f t="shared" si="79"/>
        <v>1.1713509039210136E-5</v>
      </c>
      <c r="Q130" s="54">
        <f t="shared" si="80"/>
        <v>1.7326523290198868E-2</v>
      </c>
      <c r="R130" s="10">
        <f t="shared" si="81"/>
        <v>1.3432468098568184E-4</v>
      </c>
      <c r="S130" s="10">
        <f t="shared" si="82"/>
        <v>4.9123048216836562E-4</v>
      </c>
      <c r="T130" s="10">
        <f t="shared" si="83"/>
        <v>0.29737582175547256</v>
      </c>
      <c r="U130" s="10">
        <f t="shared" si="84"/>
        <v>0.68467201111289944</v>
      </c>
      <c r="V130" s="10">
        <f t="shared" si="85"/>
        <v>8.6447527828723614E-8</v>
      </c>
      <c r="W130" s="10">
        <f t="shared" si="86"/>
        <v>2.2307473018743689E-9</v>
      </c>
      <c r="X130" s="163">
        <f t="shared" si="67"/>
        <v>0.99999999999999989</v>
      </c>
      <c r="Y130" s="54">
        <f t="shared" si="87"/>
        <v>0.16445867760646846</v>
      </c>
      <c r="Z130" s="54">
        <f t="shared" si="88"/>
        <v>1.5035859820469819E-2</v>
      </c>
      <c r="AA130" s="113"/>
    </row>
    <row r="131" spans="1:27" x14ac:dyDescent="0.2">
      <c r="A131" s="20">
        <f t="shared" si="68"/>
        <v>1</v>
      </c>
      <c r="B131" s="23">
        <f t="shared" si="69"/>
        <v>0</v>
      </c>
      <c r="C131" s="12">
        <f t="shared" si="70"/>
        <v>0</v>
      </c>
      <c r="D131" s="12">
        <f t="shared" si="71"/>
        <v>1198.51644454703</v>
      </c>
      <c r="E131" s="23">
        <f t="shared" si="89"/>
        <v>7.6706783709022466E-2</v>
      </c>
      <c r="F131" s="23">
        <f t="shared" si="72"/>
        <v>135.72815765020098</v>
      </c>
      <c r="G131" s="95">
        <f t="shared" si="90"/>
        <v>0.60608502484345661</v>
      </c>
      <c r="H131" s="95">
        <f t="shared" si="91"/>
        <v>0.25085166840484785</v>
      </c>
      <c r="I131" s="95">
        <f t="shared" si="92"/>
        <v>1.5639805646666151E-2</v>
      </c>
      <c r="J131" s="12">
        <f t="shared" si="73"/>
        <v>0</v>
      </c>
      <c r="K131" s="12">
        <f t="shared" si="74"/>
        <v>1335.193885479835</v>
      </c>
      <c r="L131" s="54">
        <f t="shared" si="75"/>
        <v>5.7449921350902519E-5</v>
      </c>
      <c r="M131" s="10">
        <f t="shared" si="76"/>
        <v>0.1016542684371444</v>
      </c>
      <c r="N131" s="10">
        <f t="shared" si="77"/>
        <v>4.5393034782034291E-4</v>
      </c>
      <c r="O131" s="10">
        <f t="shared" si="78"/>
        <v>1.8787658566508345E-4</v>
      </c>
      <c r="P131" s="10">
        <f t="shared" si="79"/>
        <v>1.1713509039210136E-5</v>
      </c>
      <c r="Q131" s="54">
        <f t="shared" si="80"/>
        <v>1.7326523290198868E-2</v>
      </c>
      <c r="R131" s="10">
        <f t="shared" si="81"/>
        <v>1.3432468098568184E-4</v>
      </c>
      <c r="S131" s="10">
        <f t="shared" si="82"/>
        <v>4.9123048216836562E-4</v>
      </c>
      <c r="T131" s="10">
        <f t="shared" si="83"/>
        <v>0.29737582175547256</v>
      </c>
      <c r="U131" s="10">
        <f t="shared" si="84"/>
        <v>0.68467201111289944</v>
      </c>
      <c r="V131" s="10">
        <f t="shared" si="85"/>
        <v>8.6447527828723614E-8</v>
      </c>
      <c r="W131" s="10">
        <f t="shared" si="86"/>
        <v>2.2307473018743689E-9</v>
      </c>
      <c r="X131" s="163">
        <f t="shared" si="67"/>
        <v>0.99999999999999989</v>
      </c>
      <c r="Y131" s="54">
        <f t="shared" si="87"/>
        <v>0.16445867760646846</v>
      </c>
      <c r="Z131" s="54">
        <f t="shared" si="88"/>
        <v>1.5035859820469819E-2</v>
      </c>
      <c r="AA131" s="113"/>
    </row>
    <row r="132" spans="1:27" x14ac:dyDescent="0.2">
      <c r="A132" s="20">
        <f t="shared" si="68"/>
        <v>1</v>
      </c>
      <c r="B132" s="23">
        <f t="shared" si="69"/>
        <v>0</v>
      </c>
      <c r="C132" s="12">
        <f t="shared" si="70"/>
        <v>0</v>
      </c>
      <c r="D132" s="12">
        <f t="shared" si="71"/>
        <v>1198.51644454703</v>
      </c>
      <c r="E132" s="23">
        <f t="shared" si="89"/>
        <v>7.6706783709022466E-2</v>
      </c>
      <c r="F132" s="23">
        <f t="shared" si="72"/>
        <v>135.72815765020098</v>
      </c>
      <c r="G132" s="95">
        <f t="shared" si="90"/>
        <v>0.60608502484345661</v>
      </c>
      <c r="H132" s="95">
        <f t="shared" si="91"/>
        <v>0.25085166840484785</v>
      </c>
      <c r="I132" s="95">
        <f t="shared" si="92"/>
        <v>1.5639805646666151E-2</v>
      </c>
      <c r="J132" s="12">
        <f t="shared" si="73"/>
        <v>0</v>
      </c>
      <c r="K132" s="12">
        <f t="shared" si="74"/>
        <v>1335.193885479835</v>
      </c>
      <c r="L132" s="54">
        <f t="shared" si="75"/>
        <v>5.7449921350902519E-5</v>
      </c>
      <c r="M132" s="10">
        <f t="shared" si="76"/>
        <v>0.1016542684371444</v>
      </c>
      <c r="N132" s="10">
        <f t="shared" si="77"/>
        <v>4.5393034782034291E-4</v>
      </c>
      <c r="O132" s="10">
        <f t="shared" si="78"/>
        <v>1.8787658566508345E-4</v>
      </c>
      <c r="P132" s="10">
        <f t="shared" si="79"/>
        <v>1.1713509039210136E-5</v>
      </c>
      <c r="Q132" s="54">
        <f t="shared" si="80"/>
        <v>1.7326523290198868E-2</v>
      </c>
      <c r="R132" s="10">
        <f t="shared" si="81"/>
        <v>1.3432468098568184E-4</v>
      </c>
      <c r="S132" s="10">
        <f t="shared" si="82"/>
        <v>4.9123048216836562E-4</v>
      </c>
      <c r="T132" s="10">
        <f t="shared" si="83"/>
        <v>0.29737582175547256</v>
      </c>
      <c r="U132" s="10">
        <f t="shared" si="84"/>
        <v>0.68467201111289944</v>
      </c>
      <c r="V132" s="10">
        <f t="shared" si="85"/>
        <v>8.6447527828723614E-8</v>
      </c>
      <c r="W132" s="10">
        <f t="shared" si="86"/>
        <v>2.2307473018743689E-9</v>
      </c>
      <c r="X132" s="163">
        <f t="shared" si="67"/>
        <v>0.99999999999999989</v>
      </c>
      <c r="Y132" s="54">
        <f t="shared" si="87"/>
        <v>0.16445867760646846</v>
      </c>
      <c r="Z132" s="54">
        <f t="shared" si="88"/>
        <v>1.5035859820469819E-2</v>
      </c>
      <c r="AA132" s="113"/>
    </row>
    <row r="133" spans="1:27" x14ac:dyDescent="0.2">
      <c r="A133" s="20">
        <f t="shared" si="68"/>
        <v>1</v>
      </c>
      <c r="B133" s="23">
        <f t="shared" si="69"/>
        <v>0</v>
      </c>
      <c r="C133" s="12">
        <f t="shared" si="70"/>
        <v>0</v>
      </c>
      <c r="D133" s="12">
        <f t="shared" si="71"/>
        <v>1198.51644454703</v>
      </c>
      <c r="E133" s="23">
        <f t="shared" si="89"/>
        <v>7.6706783709022466E-2</v>
      </c>
      <c r="F133" s="23">
        <f t="shared" si="72"/>
        <v>135.72815765020098</v>
      </c>
      <c r="G133" s="95">
        <f t="shared" si="90"/>
        <v>0.60608502484345661</v>
      </c>
      <c r="H133" s="95">
        <f t="shared" si="91"/>
        <v>0.25085166840484785</v>
      </c>
      <c r="I133" s="95">
        <f t="shared" si="92"/>
        <v>1.5639805646666151E-2</v>
      </c>
      <c r="J133" s="12">
        <f t="shared" si="73"/>
        <v>0</v>
      </c>
      <c r="K133" s="12">
        <f t="shared" ref="K133:K164" si="93">SUM(C133:J133)</f>
        <v>1335.193885479835</v>
      </c>
      <c r="L133" s="54">
        <f t="shared" ref="L133:L164" si="94">+E133/$K133*P_t</f>
        <v>5.7449921350902519E-5</v>
      </c>
      <c r="M133" s="10">
        <f t="shared" ref="M133:M164" si="95">+F133/$K133*P_t</f>
        <v>0.1016542684371444</v>
      </c>
      <c r="N133" s="10">
        <f t="shared" ref="N133:N164" si="96">+G133/$K133*P_t</f>
        <v>4.5393034782034291E-4</v>
      </c>
      <c r="O133" s="10">
        <f t="shared" ref="O133:O164" si="97">+H133/$K133*P_t</f>
        <v>1.8787658566508345E-4</v>
      </c>
      <c r="P133" s="10">
        <f t="shared" ref="P133:P164" si="98">+I133/$K133*P_t</f>
        <v>1.1713509039210136E-5</v>
      </c>
      <c r="Q133" s="54">
        <f t="shared" ref="Q133:Q164" si="99">1/(1+K1_*L133+K2_*M133+SQRT(K2_*K3_*M133)+1/K6_*N133+K7_*O133+P133/K10_)</f>
        <v>1.7326523290198868E-2</v>
      </c>
      <c r="R133" s="10">
        <f t="shared" ref="R133:R164" si="100">K1_*L133*Q133</f>
        <v>1.3432468098568184E-4</v>
      </c>
      <c r="S133" s="10">
        <f t="shared" ref="S133:S164" si="101">K7_*O133*Q133</f>
        <v>4.9123048216836562E-4</v>
      </c>
      <c r="T133" s="10">
        <f t="shared" ref="T133:T164" si="102">K2_*M133*Q133</f>
        <v>0.29737582175547256</v>
      </c>
      <c r="U133" s="10">
        <f t="shared" ref="U133:U164" si="103">SQRT(K2_*K3_*M133)*Q133</f>
        <v>0.68467201111289944</v>
      </c>
      <c r="V133" s="10">
        <f t="shared" ref="V133:V164" si="104">N133/K6_*Q133</f>
        <v>8.6447527828723614E-8</v>
      </c>
      <c r="W133" s="10">
        <f t="shared" ref="W133:W164" si="105">P133/K10_*Q133</f>
        <v>2.2307473018743689E-9</v>
      </c>
      <c r="X133" s="163">
        <f t="shared" si="67"/>
        <v>0.99999999999999989</v>
      </c>
      <c r="Y133" s="54">
        <f t="shared" ref="Y133:Y164" si="106">(k4f*K1_*SQRT(K2_*K3_*M133)*L133+k5f*K1_*K2_*L133*M133-k4r/K6_*N133-k5r/K6_*SQRT(K2_*K3_*M133)*N133)*Q133*Q133</f>
        <v>0.16445867760646846</v>
      </c>
      <c r="Z133" s="54">
        <f t="shared" ref="Z133:Z164" si="107">(k8f*K7_*SQRT(K2_*K3_*M133)*O133+k9f*K7_*K2_*O133*M133-k8r/K10_*P133-k9r/K10_*SQRT(K2_*K3_*M133)*P133)*Q133*Q133</f>
        <v>1.5035859820469819E-2</v>
      </c>
      <c r="AA133" s="113"/>
    </row>
    <row r="134" spans="1:27" x14ac:dyDescent="0.2">
      <c r="A134" s="20">
        <f t="shared" si="68"/>
        <v>1</v>
      </c>
      <c r="B134" s="23">
        <f t="shared" si="69"/>
        <v>0</v>
      </c>
      <c r="C134" s="12">
        <f t="shared" si="70"/>
        <v>0</v>
      </c>
      <c r="D134" s="12">
        <f t="shared" si="71"/>
        <v>1198.51644454703</v>
      </c>
      <c r="E134" s="23">
        <f t="shared" ref="E134:E165" si="108">+E133-$B133*$Y133</f>
        <v>7.6706783709022466E-2</v>
      </c>
      <c r="F134" s="23">
        <f t="shared" si="72"/>
        <v>135.72815765020098</v>
      </c>
      <c r="G134" s="95">
        <f t="shared" ref="G134:G165" si="109">+G133+$B133*$Y133</f>
        <v>0.60608502484345661</v>
      </c>
      <c r="H134" s="95">
        <f t="shared" ref="H134:H165" si="110">+H133-$B133*$Z133</f>
        <v>0.25085166840484785</v>
      </c>
      <c r="I134" s="95">
        <f t="shared" ref="I134:I165" si="111">+I133+$B133*$Z133</f>
        <v>1.5639805646666151E-2</v>
      </c>
      <c r="J134" s="12">
        <f t="shared" si="73"/>
        <v>0</v>
      </c>
      <c r="K134" s="12">
        <f t="shared" si="93"/>
        <v>1335.193885479835</v>
      </c>
      <c r="L134" s="54">
        <f t="shared" si="94"/>
        <v>5.7449921350902519E-5</v>
      </c>
      <c r="M134" s="10">
        <f t="shared" si="95"/>
        <v>0.1016542684371444</v>
      </c>
      <c r="N134" s="10">
        <f t="shared" si="96"/>
        <v>4.5393034782034291E-4</v>
      </c>
      <c r="O134" s="10">
        <f t="shared" si="97"/>
        <v>1.8787658566508345E-4</v>
      </c>
      <c r="P134" s="10">
        <f t="shared" si="98"/>
        <v>1.1713509039210136E-5</v>
      </c>
      <c r="Q134" s="54">
        <f t="shared" si="99"/>
        <v>1.7326523290198868E-2</v>
      </c>
      <c r="R134" s="10">
        <f t="shared" si="100"/>
        <v>1.3432468098568184E-4</v>
      </c>
      <c r="S134" s="10">
        <f t="shared" si="101"/>
        <v>4.9123048216836562E-4</v>
      </c>
      <c r="T134" s="10">
        <f t="shared" si="102"/>
        <v>0.29737582175547256</v>
      </c>
      <c r="U134" s="10">
        <f t="shared" si="103"/>
        <v>0.68467201111289944</v>
      </c>
      <c r="V134" s="10">
        <f t="shared" si="104"/>
        <v>8.6447527828723614E-8</v>
      </c>
      <c r="W134" s="10">
        <f t="shared" si="105"/>
        <v>2.2307473018743689E-9</v>
      </c>
      <c r="X134" s="163">
        <f t="shared" ref="X134:X197" si="112">SUM(Q134:W134)</f>
        <v>0.99999999999999989</v>
      </c>
      <c r="Y134" s="54">
        <f t="shared" si="106"/>
        <v>0.16445867760646846</v>
      </c>
      <c r="Z134" s="54">
        <f t="shared" si="107"/>
        <v>1.5035859820469819E-2</v>
      </c>
      <c r="AA134" s="113"/>
    </row>
    <row r="135" spans="1:27" x14ac:dyDescent="0.2">
      <c r="A135" s="20">
        <f t="shared" ref="A135:A198" si="113">+A134+B135</f>
        <v>1</v>
      </c>
      <c r="B135" s="23">
        <f t="shared" ref="B135:B198" si="114">MIN(B134,1-A134)</f>
        <v>0</v>
      </c>
      <c r="C135" s="12">
        <f t="shared" ref="C135:C198" si="115">+C134</f>
        <v>0</v>
      </c>
      <c r="D135" s="12">
        <f t="shared" ref="D135:D198" si="116">+D134</f>
        <v>1198.51644454703</v>
      </c>
      <c r="E135" s="23">
        <f t="shared" si="108"/>
        <v>7.6706783709022466E-2</v>
      </c>
      <c r="F135" s="23">
        <f t="shared" ref="F135:F198" si="117">+F134-$B134*(Y134/2+Z134/2)</f>
        <v>135.72815765020098</v>
      </c>
      <c r="G135" s="95">
        <f t="shared" si="109"/>
        <v>0.60608502484345661</v>
      </c>
      <c r="H135" s="95">
        <f t="shared" si="110"/>
        <v>0.25085166840484785</v>
      </c>
      <c r="I135" s="95">
        <f t="shared" si="111"/>
        <v>1.5639805646666151E-2</v>
      </c>
      <c r="J135" s="12">
        <f t="shared" ref="J135:J198" si="118">+J134</f>
        <v>0</v>
      </c>
      <c r="K135" s="12">
        <f t="shared" si="93"/>
        <v>1335.193885479835</v>
      </c>
      <c r="L135" s="54">
        <f t="shared" si="94"/>
        <v>5.7449921350902519E-5</v>
      </c>
      <c r="M135" s="10">
        <f t="shared" si="95"/>
        <v>0.1016542684371444</v>
      </c>
      <c r="N135" s="10">
        <f t="shared" si="96"/>
        <v>4.5393034782034291E-4</v>
      </c>
      <c r="O135" s="10">
        <f t="shared" si="97"/>
        <v>1.8787658566508345E-4</v>
      </c>
      <c r="P135" s="10">
        <f t="shared" si="98"/>
        <v>1.1713509039210136E-5</v>
      </c>
      <c r="Q135" s="54">
        <f t="shared" si="99"/>
        <v>1.7326523290198868E-2</v>
      </c>
      <c r="R135" s="10">
        <f t="shared" si="100"/>
        <v>1.3432468098568184E-4</v>
      </c>
      <c r="S135" s="10">
        <f t="shared" si="101"/>
        <v>4.9123048216836562E-4</v>
      </c>
      <c r="T135" s="10">
        <f t="shared" si="102"/>
        <v>0.29737582175547256</v>
      </c>
      <c r="U135" s="10">
        <f t="shared" si="103"/>
        <v>0.68467201111289944</v>
      </c>
      <c r="V135" s="10">
        <f t="shared" si="104"/>
        <v>8.6447527828723614E-8</v>
      </c>
      <c r="W135" s="10">
        <f t="shared" si="105"/>
        <v>2.2307473018743689E-9</v>
      </c>
      <c r="X135" s="163">
        <f t="shared" si="112"/>
        <v>0.99999999999999989</v>
      </c>
      <c r="Y135" s="54">
        <f t="shared" si="106"/>
        <v>0.16445867760646846</v>
      </c>
      <c r="Z135" s="54">
        <f t="shared" si="107"/>
        <v>1.5035859820469819E-2</v>
      </c>
      <c r="AA135" s="113"/>
    </row>
    <row r="136" spans="1:27" x14ac:dyDescent="0.2">
      <c r="A136" s="20">
        <f t="shared" si="113"/>
        <v>1</v>
      </c>
      <c r="B136" s="23">
        <f t="shared" si="114"/>
        <v>0</v>
      </c>
      <c r="C136" s="12">
        <f t="shared" si="115"/>
        <v>0</v>
      </c>
      <c r="D136" s="12">
        <f t="shared" si="116"/>
        <v>1198.51644454703</v>
      </c>
      <c r="E136" s="23">
        <f t="shared" si="108"/>
        <v>7.6706783709022466E-2</v>
      </c>
      <c r="F136" s="23">
        <f t="shared" si="117"/>
        <v>135.72815765020098</v>
      </c>
      <c r="G136" s="95">
        <f t="shared" si="109"/>
        <v>0.60608502484345661</v>
      </c>
      <c r="H136" s="95">
        <f t="shared" si="110"/>
        <v>0.25085166840484785</v>
      </c>
      <c r="I136" s="95">
        <f t="shared" si="111"/>
        <v>1.5639805646666151E-2</v>
      </c>
      <c r="J136" s="12">
        <f t="shared" si="118"/>
        <v>0</v>
      </c>
      <c r="K136" s="12">
        <f t="shared" si="93"/>
        <v>1335.193885479835</v>
      </c>
      <c r="L136" s="54">
        <f t="shared" si="94"/>
        <v>5.7449921350902519E-5</v>
      </c>
      <c r="M136" s="10">
        <f t="shared" si="95"/>
        <v>0.1016542684371444</v>
      </c>
      <c r="N136" s="10">
        <f t="shared" si="96"/>
        <v>4.5393034782034291E-4</v>
      </c>
      <c r="O136" s="10">
        <f t="shared" si="97"/>
        <v>1.8787658566508345E-4</v>
      </c>
      <c r="P136" s="10">
        <f t="shared" si="98"/>
        <v>1.1713509039210136E-5</v>
      </c>
      <c r="Q136" s="54">
        <f t="shared" si="99"/>
        <v>1.7326523290198868E-2</v>
      </c>
      <c r="R136" s="10">
        <f t="shared" si="100"/>
        <v>1.3432468098568184E-4</v>
      </c>
      <c r="S136" s="10">
        <f t="shared" si="101"/>
        <v>4.9123048216836562E-4</v>
      </c>
      <c r="T136" s="10">
        <f t="shared" si="102"/>
        <v>0.29737582175547256</v>
      </c>
      <c r="U136" s="10">
        <f t="shared" si="103"/>
        <v>0.68467201111289944</v>
      </c>
      <c r="V136" s="10">
        <f t="shared" si="104"/>
        <v>8.6447527828723614E-8</v>
      </c>
      <c r="W136" s="10">
        <f t="shared" si="105"/>
        <v>2.2307473018743689E-9</v>
      </c>
      <c r="X136" s="163">
        <f t="shared" si="112"/>
        <v>0.99999999999999989</v>
      </c>
      <c r="Y136" s="54">
        <f t="shared" si="106"/>
        <v>0.16445867760646846</v>
      </c>
      <c r="Z136" s="54">
        <f t="shared" si="107"/>
        <v>1.5035859820469819E-2</v>
      </c>
      <c r="AA136" s="113"/>
    </row>
    <row r="137" spans="1:27" x14ac:dyDescent="0.2">
      <c r="A137" s="20">
        <f t="shared" si="113"/>
        <v>1</v>
      </c>
      <c r="B137" s="23">
        <f t="shared" si="114"/>
        <v>0</v>
      </c>
      <c r="C137" s="12">
        <f t="shared" si="115"/>
        <v>0</v>
      </c>
      <c r="D137" s="12">
        <f t="shared" si="116"/>
        <v>1198.51644454703</v>
      </c>
      <c r="E137" s="23">
        <f t="shared" si="108"/>
        <v>7.6706783709022466E-2</v>
      </c>
      <c r="F137" s="23">
        <f t="shared" si="117"/>
        <v>135.72815765020098</v>
      </c>
      <c r="G137" s="95">
        <f t="shared" si="109"/>
        <v>0.60608502484345661</v>
      </c>
      <c r="H137" s="95">
        <f t="shared" si="110"/>
        <v>0.25085166840484785</v>
      </c>
      <c r="I137" s="95">
        <f t="shared" si="111"/>
        <v>1.5639805646666151E-2</v>
      </c>
      <c r="J137" s="12">
        <f t="shared" si="118"/>
        <v>0</v>
      </c>
      <c r="K137" s="12">
        <f t="shared" si="93"/>
        <v>1335.193885479835</v>
      </c>
      <c r="L137" s="54">
        <f t="shared" si="94"/>
        <v>5.7449921350902519E-5</v>
      </c>
      <c r="M137" s="10">
        <f t="shared" si="95"/>
        <v>0.1016542684371444</v>
      </c>
      <c r="N137" s="10">
        <f t="shared" si="96"/>
        <v>4.5393034782034291E-4</v>
      </c>
      <c r="O137" s="10">
        <f t="shared" si="97"/>
        <v>1.8787658566508345E-4</v>
      </c>
      <c r="P137" s="10">
        <f t="shared" si="98"/>
        <v>1.1713509039210136E-5</v>
      </c>
      <c r="Q137" s="54">
        <f t="shared" si="99"/>
        <v>1.7326523290198868E-2</v>
      </c>
      <c r="R137" s="10">
        <f t="shared" si="100"/>
        <v>1.3432468098568184E-4</v>
      </c>
      <c r="S137" s="10">
        <f t="shared" si="101"/>
        <v>4.9123048216836562E-4</v>
      </c>
      <c r="T137" s="10">
        <f t="shared" si="102"/>
        <v>0.29737582175547256</v>
      </c>
      <c r="U137" s="10">
        <f t="shared" si="103"/>
        <v>0.68467201111289944</v>
      </c>
      <c r="V137" s="10">
        <f t="shared" si="104"/>
        <v>8.6447527828723614E-8</v>
      </c>
      <c r="W137" s="10">
        <f t="shared" si="105"/>
        <v>2.2307473018743689E-9</v>
      </c>
      <c r="X137" s="163">
        <f t="shared" si="112"/>
        <v>0.99999999999999989</v>
      </c>
      <c r="Y137" s="54">
        <f t="shared" si="106"/>
        <v>0.16445867760646846</v>
      </c>
      <c r="Z137" s="54">
        <f t="shared" si="107"/>
        <v>1.5035859820469819E-2</v>
      </c>
      <c r="AA137" s="113"/>
    </row>
    <row r="138" spans="1:27" x14ac:dyDescent="0.2">
      <c r="A138" s="20">
        <f t="shared" si="113"/>
        <v>1</v>
      </c>
      <c r="B138" s="23">
        <f t="shared" si="114"/>
        <v>0</v>
      </c>
      <c r="C138" s="12">
        <f t="shared" si="115"/>
        <v>0</v>
      </c>
      <c r="D138" s="12">
        <f t="shared" si="116"/>
        <v>1198.51644454703</v>
      </c>
      <c r="E138" s="23">
        <f t="shared" si="108"/>
        <v>7.6706783709022466E-2</v>
      </c>
      <c r="F138" s="23">
        <f t="shared" si="117"/>
        <v>135.72815765020098</v>
      </c>
      <c r="G138" s="95">
        <f t="shared" si="109"/>
        <v>0.60608502484345661</v>
      </c>
      <c r="H138" s="95">
        <f t="shared" si="110"/>
        <v>0.25085166840484785</v>
      </c>
      <c r="I138" s="95">
        <f t="shared" si="111"/>
        <v>1.5639805646666151E-2</v>
      </c>
      <c r="J138" s="12">
        <f t="shared" si="118"/>
        <v>0</v>
      </c>
      <c r="K138" s="12">
        <f t="shared" si="93"/>
        <v>1335.193885479835</v>
      </c>
      <c r="L138" s="54">
        <f t="shared" si="94"/>
        <v>5.7449921350902519E-5</v>
      </c>
      <c r="M138" s="10">
        <f t="shared" si="95"/>
        <v>0.1016542684371444</v>
      </c>
      <c r="N138" s="10">
        <f t="shared" si="96"/>
        <v>4.5393034782034291E-4</v>
      </c>
      <c r="O138" s="10">
        <f t="shared" si="97"/>
        <v>1.8787658566508345E-4</v>
      </c>
      <c r="P138" s="10">
        <f t="shared" si="98"/>
        <v>1.1713509039210136E-5</v>
      </c>
      <c r="Q138" s="54">
        <f t="shared" si="99"/>
        <v>1.7326523290198868E-2</v>
      </c>
      <c r="R138" s="10">
        <f t="shared" si="100"/>
        <v>1.3432468098568184E-4</v>
      </c>
      <c r="S138" s="10">
        <f t="shared" si="101"/>
        <v>4.9123048216836562E-4</v>
      </c>
      <c r="T138" s="10">
        <f t="shared" si="102"/>
        <v>0.29737582175547256</v>
      </c>
      <c r="U138" s="10">
        <f t="shared" si="103"/>
        <v>0.68467201111289944</v>
      </c>
      <c r="V138" s="10">
        <f t="shared" si="104"/>
        <v>8.6447527828723614E-8</v>
      </c>
      <c r="W138" s="10">
        <f t="shared" si="105"/>
        <v>2.2307473018743689E-9</v>
      </c>
      <c r="X138" s="163">
        <f t="shared" si="112"/>
        <v>0.99999999999999989</v>
      </c>
      <c r="Y138" s="54">
        <f t="shared" si="106"/>
        <v>0.16445867760646846</v>
      </c>
      <c r="Z138" s="54">
        <f t="shared" si="107"/>
        <v>1.5035859820469819E-2</v>
      </c>
      <c r="AA138" s="113"/>
    </row>
    <row r="139" spans="1:27" x14ac:dyDescent="0.2">
      <c r="A139" s="20">
        <f t="shared" si="113"/>
        <v>1</v>
      </c>
      <c r="B139" s="23">
        <f t="shared" si="114"/>
        <v>0</v>
      </c>
      <c r="C139" s="12">
        <f t="shared" si="115"/>
        <v>0</v>
      </c>
      <c r="D139" s="12">
        <f t="shared" si="116"/>
        <v>1198.51644454703</v>
      </c>
      <c r="E139" s="23">
        <f t="shared" si="108"/>
        <v>7.6706783709022466E-2</v>
      </c>
      <c r="F139" s="23">
        <f t="shared" si="117"/>
        <v>135.72815765020098</v>
      </c>
      <c r="G139" s="95">
        <f t="shared" si="109"/>
        <v>0.60608502484345661</v>
      </c>
      <c r="H139" s="95">
        <f t="shared" si="110"/>
        <v>0.25085166840484785</v>
      </c>
      <c r="I139" s="95">
        <f t="shared" si="111"/>
        <v>1.5639805646666151E-2</v>
      </c>
      <c r="J139" s="12">
        <f t="shared" si="118"/>
        <v>0</v>
      </c>
      <c r="K139" s="12">
        <f t="shared" si="93"/>
        <v>1335.193885479835</v>
      </c>
      <c r="L139" s="54">
        <f t="shared" si="94"/>
        <v>5.7449921350902519E-5</v>
      </c>
      <c r="M139" s="10">
        <f t="shared" si="95"/>
        <v>0.1016542684371444</v>
      </c>
      <c r="N139" s="10">
        <f t="shared" si="96"/>
        <v>4.5393034782034291E-4</v>
      </c>
      <c r="O139" s="10">
        <f t="shared" si="97"/>
        <v>1.8787658566508345E-4</v>
      </c>
      <c r="P139" s="10">
        <f t="shared" si="98"/>
        <v>1.1713509039210136E-5</v>
      </c>
      <c r="Q139" s="54">
        <f t="shared" si="99"/>
        <v>1.7326523290198868E-2</v>
      </c>
      <c r="R139" s="10">
        <f t="shared" si="100"/>
        <v>1.3432468098568184E-4</v>
      </c>
      <c r="S139" s="10">
        <f t="shared" si="101"/>
        <v>4.9123048216836562E-4</v>
      </c>
      <c r="T139" s="10">
        <f t="shared" si="102"/>
        <v>0.29737582175547256</v>
      </c>
      <c r="U139" s="10">
        <f t="shared" si="103"/>
        <v>0.68467201111289944</v>
      </c>
      <c r="V139" s="10">
        <f t="shared" si="104"/>
        <v>8.6447527828723614E-8</v>
      </c>
      <c r="W139" s="10">
        <f t="shared" si="105"/>
        <v>2.2307473018743689E-9</v>
      </c>
      <c r="X139" s="163">
        <f t="shared" si="112"/>
        <v>0.99999999999999989</v>
      </c>
      <c r="Y139" s="54">
        <f t="shared" si="106"/>
        <v>0.16445867760646846</v>
      </c>
      <c r="Z139" s="54">
        <f t="shared" si="107"/>
        <v>1.5035859820469819E-2</v>
      </c>
      <c r="AA139" s="113"/>
    </row>
    <row r="140" spans="1:27" x14ac:dyDescent="0.2">
      <c r="A140" s="20">
        <f t="shared" si="113"/>
        <v>1</v>
      </c>
      <c r="B140" s="23">
        <f t="shared" si="114"/>
        <v>0</v>
      </c>
      <c r="C140" s="12">
        <f t="shared" si="115"/>
        <v>0</v>
      </c>
      <c r="D140" s="12">
        <f t="shared" si="116"/>
        <v>1198.51644454703</v>
      </c>
      <c r="E140" s="23">
        <f t="shared" si="108"/>
        <v>7.6706783709022466E-2</v>
      </c>
      <c r="F140" s="23">
        <f t="shared" si="117"/>
        <v>135.72815765020098</v>
      </c>
      <c r="G140" s="95">
        <f t="shared" si="109"/>
        <v>0.60608502484345661</v>
      </c>
      <c r="H140" s="95">
        <f t="shared" si="110"/>
        <v>0.25085166840484785</v>
      </c>
      <c r="I140" s="95">
        <f t="shared" si="111"/>
        <v>1.5639805646666151E-2</v>
      </c>
      <c r="J140" s="12">
        <f t="shared" si="118"/>
        <v>0</v>
      </c>
      <c r="K140" s="12">
        <f t="shared" si="93"/>
        <v>1335.193885479835</v>
      </c>
      <c r="L140" s="54">
        <f t="shared" si="94"/>
        <v>5.7449921350902519E-5</v>
      </c>
      <c r="M140" s="10">
        <f t="shared" si="95"/>
        <v>0.1016542684371444</v>
      </c>
      <c r="N140" s="10">
        <f t="shared" si="96"/>
        <v>4.5393034782034291E-4</v>
      </c>
      <c r="O140" s="10">
        <f t="shared" si="97"/>
        <v>1.8787658566508345E-4</v>
      </c>
      <c r="P140" s="10">
        <f t="shared" si="98"/>
        <v>1.1713509039210136E-5</v>
      </c>
      <c r="Q140" s="54">
        <f t="shared" si="99"/>
        <v>1.7326523290198868E-2</v>
      </c>
      <c r="R140" s="10">
        <f t="shared" si="100"/>
        <v>1.3432468098568184E-4</v>
      </c>
      <c r="S140" s="10">
        <f t="shared" si="101"/>
        <v>4.9123048216836562E-4</v>
      </c>
      <c r="T140" s="10">
        <f t="shared" si="102"/>
        <v>0.29737582175547256</v>
      </c>
      <c r="U140" s="10">
        <f t="shared" si="103"/>
        <v>0.68467201111289944</v>
      </c>
      <c r="V140" s="10">
        <f t="shared" si="104"/>
        <v>8.6447527828723614E-8</v>
      </c>
      <c r="W140" s="10">
        <f t="shared" si="105"/>
        <v>2.2307473018743689E-9</v>
      </c>
      <c r="X140" s="163">
        <f t="shared" si="112"/>
        <v>0.99999999999999989</v>
      </c>
      <c r="Y140" s="54">
        <f t="shared" si="106"/>
        <v>0.16445867760646846</v>
      </c>
      <c r="Z140" s="54">
        <f t="shared" si="107"/>
        <v>1.5035859820469819E-2</v>
      </c>
      <c r="AA140" s="113"/>
    </row>
    <row r="141" spans="1:27" x14ac:dyDescent="0.2">
      <c r="A141" s="20">
        <f t="shared" si="113"/>
        <v>1</v>
      </c>
      <c r="B141" s="23">
        <f t="shared" si="114"/>
        <v>0</v>
      </c>
      <c r="C141" s="12">
        <f t="shared" si="115"/>
        <v>0</v>
      </c>
      <c r="D141" s="12">
        <f t="shared" si="116"/>
        <v>1198.51644454703</v>
      </c>
      <c r="E141" s="23">
        <f t="shared" si="108"/>
        <v>7.6706783709022466E-2</v>
      </c>
      <c r="F141" s="23">
        <f t="shared" si="117"/>
        <v>135.72815765020098</v>
      </c>
      <c r="G141" s="95">
        <f t="shared" si="109"/>
        <v>0.60608502484345661</v>
      </c>
      <c r="H141" s="95">
        <f t="shared" si="110"/>
        <v>0.25085166840484785</v>
      </c>
      <c r="I141" s="95">
        <f t="shared" si="111"/>
        <v>1.5639805646666151E-2</v>
      </c>
      <c r="J141" s="12">
        <f t="shared" si="118"/>
        <v>0</v>
      </c>
      <c r="K141" s="12">
        <f t="shared" si="93"/>
        <v>1335.193885479835</v>
      </c>
      <c r="L141" s="54">
        <f t="shared" si="94"/>
        <v>5.7449921350902519E-5</v>
      </c>
      <c r="M141" s="10">
        <f t="shared" si="95"/>
        <v>0.1016542684371444</v>
      </c>
      <c r="N141" s="10">
        <f t="shared" si="96"/>
        <v>4.5393034782034291E-4</v>
      </c>
      <c r="O141" s="10">
        <f t="shared" si="97"/>
        <v>1.8787658566508345E-4</v>
      </c>
      <c r="P141" s="10">
        <f t="shared" si="98"/>
        <v>1.1713509039210136E-5</v>
      </c>
      <c r="Q141" s="54">
        <f t="shared" si="99"/>
        <v>1.7326523290198868E-2</v>
      </c>
      <c r="R141" s="10">
        <f t="shared" si="100"/>
        <v>1.3432468098568184E-4</v>
      </c>
      <c r="S141" s="10">
        <f t="shared" si="101"/>
        <v>4.9123048216836562E-4</v>
      </c>
      <c r="T141" s="10">
        <f t="shared" si="102"/>
        <v>0.29737582175547256</v>
      </c>
      <c r="U141" s="10">
        <f t="shared" si="103"/>
        <v>0.68467201111289944</v>
      </c>
      <c r="V141" s="10">
        <f t="shared" si="104"/>
        <v>8.6447527828723614E-8</v>
      </c>
      <c r="W141" s="10">
        <f t="shared" si="105"/>
        <v>2.2307473018743689E-9</v>
      </c>
      <c r="X141" s="163">
        <f t="shared" si="112"/>
        <v>0.99999999999999989</v>
      </c>
      <c r="Y141" s="54">
        <f t="shared" si="106"/>
        <v>0.16445867760646846</v>
      </c>
      <c r="Z141" s="54">
        <f t="shared" si="107"/>
        <v>1.5035859820469819E-2</v>
      </c>
      <c r="AA141" s="113"/>
    </row>
    <row r="142" spans="1:27" x14ac:dyDescent="0.2">
      <c r="A142" s="20">
        <f t="shared" si="113"/>
        <v>1</v>
      </c>
      <c r="B142" s="23">
        <f t="shared" si="114"/>
        <v>0</v>
      </c>
      <c r="C142" s="12">
        <f t="shared" si="115"/>
        <v>0</v>
      </c>
      <c r="D142" s="12">
        <f t="shared" si="116"/>
        <v>1198.51644454703</v>
      </c>
      <c r="E142" s="23">
        <f t="shared" si="108"/>
        <v>7.6706783709022466E-2</v>
      </c>
      <c r="F142" s="23">
        <f t="shared" si="117"/>
        <v>135.72815765020098</v>
      </c>
      <c r="G142" s="95">
        <f t="shared" si="109"/>
        <v>0.60608502484345661</v>
      </c>
      <c r="H142" s="95">
        <f t="shared" si="110"/>
        <v>0.25085166840484785</v>
      </c>
      <c r="I142" s="95">
        <f t="shared" si="111"/>
        <v>1.5639805646666151E-2</v>
      </c>
      <c r="J142" s="12">
        <f t="shared" si="118"/>
        <v>0</v>
      </c>
      <c r="K142" s="12">
        <f t="shared" si="93"/>
        <v>1335.193885479835</v>
      </c>
      <c r="L142" s="54">
        <f t="shared" si="94"/>
        <v>5.7449921350902519E-5</v>
      </c>
      <c r="M142" s="10">
        <f t="shared" si="95"/>
        <v>0.1016542684371444</v>
      </c>
      <c r="N142" s="10">
        <f t="shared" si="96"/>
        <v>4.5393034782034291E-4</v>
      </c>
      <c r="O142" s="10">
        <f t="shared" si="97"/>
        <v>1.8787658566508345E-4</v>
      </c>
      <c r="P142" s="10">
        <f t="shared" si="98"/>
        <v>1.1713509039210136E-5</v>
      </c>
      <c r="Q142" s="54">
        <f t="shared" si="99"/>
        <v>1.7326523290198868E-2</v>
      </c>
      <c r="R142" s="10">
        <f t="shared" si="100"/>
        <v>1.3432468098568184E-4</v>
      </c>
      <c r="S142" s="10">
        <f t="shared" si="101"/>
        <v>4.9123048216836562E-4</v>
      </c>
      <c r="T142" s="10">
        <f t="shared" si="102"/>
        <v>0.29737582175547256</v>
      </c>
      <c r="U142" s="10">
        <f t="shared" si="103"/>
        <v>0.68467201111289944</v>
      </c>
      <c r="V142" s="10">
        <f t="shared" si="104"/>
        <v>8.6447527828723614E-8</v>
      </c>
      <c r="W142" s="10">
        <f t="shared" si="105"/>
        <v>2.2307473018743689E-9</v>
      </c>
      <c r="X142" s="163">
        <f t="shared" si="112"/>
        <v>0.99999999999999989</v>
      </c>
      <c r="Y142" s="54">
        <f t="shared" si="106"/>
        <v>0.16445867760646846</v>
      </c>
      <c r="Z142" s="54">
        <f t="shared" si="107"/>
        <v>1.5035859820469819E-2</v>
      </c>
      <c r="AA142" s="113"/>
    </row>
    <row r="143" spans="1:27" x14ac:dyDescent="0.2">
      <c r="A143" s="20">
        <f t="shared" si="113"/>
        <v>1</v>
      </c>
      <c r="B143" s="23">
        <f t="shared" si="114"/>
        <v>0</v>
      </c>
      <c r="C143" s="12">
        <f t="shared" si="115"/>
        <v>0</v>
      </c>
      <c r="D143" s="12">
        <f t="shared" si="116"/>
        <v>1198.51644454703</v>
      </c>
      <c r="E143" s="23">
        <f t="shared" si="108"/>
        <v>7.6706783709022466E-2</v>
      </c>
      <c r="F143" s="23">
        <f t="shared" si="117"/>
        <v>135.72815765020098</v>
      </c>
      <c r="G143" s="95">
        <f t="shared" si="109"/>
        <v>0.60608502484345661</v>
      </c>
      <c r="H143" s="95">
        <f t="shared" si="110"/>
        <v>0.25085166840484785</v>
      </c>
      <c r="I143" s="95">
        <f t="shared" si="111"/>
        <v>1.5639805646666151E-2</v>
      </c>
      <c r="J143" s="12">
        <f t="shared" si="118"/>
        <v>0</v>
      </c>
      <c r="K143" s="12">
        <f t="shared" si="93"/>
        <v>1335.193885479835</v>
      </c>
      <c r="L143" s="54">
        <f t="shared" si="94"/>
        <v>5.7449921350902519E-5</v>
      </c>
      <c r="M143" s="10">
        <f t="shared" si="95"/>
        <v>0.1016542684371444</v>
      </c>
      <c r="N143" s="10">
        <f t="shared" si="96"/>
        <v>4.5393034782034291E-4</v>
      </c>
      <c r="O143" s="10">
        <f t="shared" si="97"/>
        <v>1.8787658566508345E-4</v>
      </c>
      <c r="P143" s="10">
        <f t="shared" si="98"/>
        <v>1.1713509039210136E-5</v>
      </c>
      <c r="Q143" s="54">
        <f t="shared" si="99"/>
        <v>1.7326523290198868E-2</v>
      </c>
      <c r="R143" s="10">
        <f t="shared" si="100"/>
        <v>1.3432468098568184E-4</v>
      </c>
      <c r="S143" s="10">
        <f t="shared" si="101"/>
        <v>4.9123048216836562E-4</v>
      </c>
      <c r="T143" s="10">
        <f t="shared" si="102"/>
        <v>0.29737582175547256</v>
      </c>
      <c r="U143" s="10">
        <f t="shared" si="103"/>
        <v>0.68467201111289944</v>
      </c>
      <c r="V143" s="10">
        <f t="shared" si="104"/>
        <v>8.6447527828723614E-8</v>
      </c>
      <c r="W143" s="10">
        <f t="shared" si="105"/>
        <v>2.2307473018743689E-9</v>
      </c>
      <c r="X143" s="163">
        <f t="shared" si="112"/>
        <v>0.99999999999999989</v>
      </c>
      <c r="Y143" s="54">
        <f t="shared" si="106"/>
        <v>0.16445867760646846</v>
      </c>
      <c r="Z143" s="54">
        <f t="shared" si="107"/>
        <v>1.5035859820469819E-2</v>
      </c>
      <c r="AA143" s="113"/>
    </row>
    <row r="144" spans="1:27" x14ac:dyDescent="0.2">
      <c r="A144" s="20">
        <f t="shared" si="113"/>
        <v>1</v>
      </c>
      <c r="B144" s="23">
        <f t="shared" si="114"/>
        <v>0</v>
      </c>
      <c r="C144" s="12">
        <f t="shared" si="115"/>
        <v>0</v>
      </c>
      <c r="D144" s="12">
        <f t="shared" si="116"/>
        <v>1198.51644454703</v>
      </c>
      <c r="E144" s="23">
        <f t="shared" si="108"/>
        <v>7.6706783709022466E-2</v>
      </c>
      <c r="F144" s="23">
        <f t="shared" si="117"/>
        <v>135.72815765020098</v>
      </c>
      <c r="G144" s="95">
        <f t="shared" si="109"/>
        <v>0.60608502484345661</v>
      </c>
      <c r="H144" s="95">
        <f t="shared" si="110"/>
        <v>0.25085166840484785</v>
      </c>
      <c r="I144" s="95">
        <f t="shared" si="111"/>
        <v>1.5639805646666151E-2</v>
      </c>
      <c r="J144" s="12">
        <f t="shared" si="118"/>
        <v>0</v>
      </c>
      <c r="K144" s="12">
        <f t="shared" si="93"/>
        <v>1335.193885479835</v>
      </c>
      <c r="L144" s="54">
        <f t="shared" si="94"/>
        <v>5.7449921350902519E-5</v>
      </c>
      <c r="M144" s="10">
        <f t="shared" si="95"/>
        <v>0.1016542684371444</v>
      </c>
      <c r="N144" s="10">
        <f t="shared" si="96"/>
        <v>4.5393034782034291E-4</v>
      </c>
      <c r="O144" s="10">
        <f t="shared" si="97"/>
        <v>1.8787658566508345E-4</v>
      </c>
      <c r="P144" s="10">
        <f t="shared" si="98"/>
        <v>1.1713509039210136E-5</v>
      </c>
      <c r="Q144" s="54">
        <f t="shared" si="99"/>
        <v>1.7326523290198868E-2</v>
      </c>
      <c r="R144" s="10">
        <f t="shared" si="100"/>
        <v>1.3432468098568184E-4</v>
      </c>
      <c r="S144" s="10">
        <f t="shared" si="101"/>
        <v>4.9123048216836562E-4</v>
      </c>
      <c r="T144" s="10">
        <f t="shared" si="102"/>
        <v>0.29737582175547256</v>
      </c>
      <c r="U144" s="10">
        <f t="shared" si="103"/>
        <v>0.68467201111289944</v>
      </c>
      <c r="V144" s="10">
        <f t="shared" si="104"/>
        <v>8.6447527828723614E-8</v>
      </c>
      <c r="W144" s="10">
        <f t="shared" si="105"/>
        <v>2.2307473018743689E-9</v>
      </c>
      <c r="X144" s="163">
        <f t="shared" si="112"/>
        <v>0.99999999999999989</v>
      </c>
      <c r="Y144" s="54">
        <f t="shared" si="106"/>
        <v>0.16445867760646846</v>
      </c>
      <c r="Z144" s="54">
        <f t="shared" si="107"/>
        <v>1.5035859820469819E-2</v>
      </c>
      <c r="AA144" s="113"/>
    </row>
    <row r="145" spans="1:27" x14ac:dyDescent="0.2">
      <c r="A145" s="20">
        <f t="shared" si="113"/>
        <v>1</v>
      </c>
      <c r="B145" s="23">
        <f t="shared" si="114"/>
        <v>0</v>
      </c>
      <c r="C145" s="12">
        <f t="shared" si="115"/>
        <v>0</v>
      </c>
      <c r="D145" s="12">
        <f t="shared" si="116"/>
        <v>1198.51644454703</v>
      </c>
      <c r="E145" s="23">
        <f t="shared" si="108"/>
        <v>7.6706783709022466E-2</v>
      </c>
      <c r="F145" s="23">
        <f t="shared" si="117"/>
        <v>135.72815765020098</v>
      </c>
      <c r="G145" s="95">
        <f t="shared" si="109"/>
        <v>0.60608502484345661</v>
      </c>
      <c r="H145" s="95">
        <f t="shared" si="110"/>
        <v>0.25085166840484785</v>
      </c>
      <c r="I145" s="95">
        <f t="shared" si="111"/>
        <v>1.5639805646666151E-2</v>
      </c>
      <c r="J145" s="12">
        <f t="shared" si="118"/>
        <v>0</v>
      </c>
      <c r="K145" s="12">
        <f t="shared" si="93"/>
        <v>1335.193885479835</v>
      </c>
      <c r="L145" s="54">
        <f t="shared" si="94"/>
        <v>5.7449921350902519E-5</v>
      </c>
      <c r="M145" s="10">
        <f t="shared" si="95"/>
        <v>0.1016542684371444</v>
      </c>
      <c r="N145" s="10">
        <f t="shared" si="96"/>
        <v>4.5393034782034291E-4</v>
      </c>
      <c r="O145" s="10">
        <f t="shared" si="97"/>
        <v>1.8787658566508345E-4</v>
      </c>
      <c r="P145" s="10">
        <f t="shared" si="98"/>
        <v>1.1713509039210136E-5</v>
      </c>
      <c r="Q145" s="54">
        <f t="shared" si="99"/>
        <v>1.7326523290198868E-2</v>
      </c>
      <c r="R145" s="10">
        <f t="shared" si="100"/>
        <v>1.3432468098568184E-4</v>
      </c>
      <c r="S145" s="10">
        <f t="shared" si="101"/>
        <v>4.9123048216836562E-4</v>
      </c>
      <c r="T145" s="10">
        <f t="shared" si="102"/>
        <v>0.29737582175547256</v>
      </c>
      <c r="U145" s="10">
        <f t="shared" si="103"/>
        <v>0.68467201111289944</v>
      </c>
      <c r="V145" s="10">
        <f t="shared" si="104"/>
        <v>8.6447527828723614E-8</v>
      </c>
      <c r="W145" s="10">
        <f t="shared" si="105"/>
        <v>2.2307473018743689E-9</v>
      </c>
      <c r="X145" s="163">
        <f t="shared" si="112"/>
        <v>0.99999999999999989</v>
      </c>
      <c r="Y145" s="54">
        <f t="shared" si="106"/>
        <v>0.16445867760646846</v>
      </c>
      <c r="Z145" s="54">
        <f t="shared" si="107"/>
        <v>1.5035859820469819E-2</v>
      </c>
      <c r="AA145" s="113"/>
    </row>
    <row r="146" spans="1:27" x14ac:dyDescent="0.2">
      <c r="A146" s="20">
        <f t="shared" si="113"/>
        <v>1</v>
      </c>
      <c r="B146" s="23">
        <f t="shared" si="114"/>
        <v>0</v>
      </c>
      <c r="C146" s="12">
        <f t="shared" si="115"/>
        <v>0</v>
      </c>
      <c r="D146" s="12">
        <f t="shared" si="116"/>
        <v>1198.51644454703</v>
      </c>
      <c r="E146" s="23">
        <f t="shared" si="108"/>
        <v>7.6706783709022466E-2</v>
      </c>
      <c r="F146" s="23">
        <f t="shared" si="117"/>
        <v>135.72815765020098</v>
      </c>
      <c r="G146" s="95">
        <f t="shared" si="109"/>
        <v>0.60608502484345661</v>
      </c>
      <c r="H146" s="95">
        <f t="shared" si="110"/>
        <v>0.25085166840484785</v>
      </c>
      <c r="I146" s="95">
        <f t="shared" si="111"/>
        <v>1.5639805646666151E-2</v>
      </c>
      <c r="J146" s="12">
        <f t="shared" si="118"/>
        <v>0</v>
      </c>
      <c r="K146" s="12">
        <f t="shared" si="93"/>
        <v>1335.193885479835</v>
      </c>
      <c r="L146" s="54">
        <f t="shared" si="94"/>
        <v>5.7449921350902519E-5</v>
      </c>
      <c r="M146" s="10">
        <f t="shared" si="95"/>
        <v>0.1016542684371444</v>
      </c>
      <c r="N146" s="10">
        <f t="shared" si="96"/>
        <v>4.5393034782034291E-4</v>
      </c>
      <c r="O146" s="10">
        <f t="shared" si="97"/>
        <v>1.8787658566508345E-4</v>
      </c>
      <c r="P146" s="10">
        <f t="shared" si="98"/>
        <v>1.1713509039210136E-5</v>
      </c>
      <c r="Q146" s="54">
        <f t="shared" si="99"/>
        <v>1.7326523290198868E-2</v>
      </c>
      <c r="R146" s="10">
        <f t="shared" si="100"/>
        <v>1.3432468098568184E-4</v>
      </c>
      <c r="S146" s="10">
        <f t="shared" si="101"/>
        <v>4.9123048216836562E-4</v>
      </c>
      <c r="T146" s="10">
        <f t="shared" si="102"/>
        <v>0.29737582175547256</v>
      </c>
      <c r="U146" s="10">
        <f t="shared" si="103"/>
        <v>0.68467201111289944</v>
      </c>
      <c r="V146" s="10">
        <f t="shared" si="104"/>
        <v>8.6447527828723614E-8</v>
      </c>
      <c r="W146" s="10">
        <f t="shared" si="105"/>
        <v>2.2307473018743689E-9</v>
      </c>
      <c r="X146" s="163">
        <f t="shared" si="112"/>
        <v>0.99999999999999989</v>
      </c>
      <c r="Y146" s="54">
        <f t="shared" si="106"/>
        <v>0.16445867760646846</v>
      </c>
      <c r="Z146" s="54">
        <f t="shared" si="107"/>
        <v>1.5035859820469819E-2</v>
      </c>
      <c r="AA146" s="113"/>
    </row>
    <row r="147" spans="1:27" x14ac:dyDescent="0.2">
      <c r="A147" s="20">
        <f t="shared" si="113"/>
        <v>1</v>
      </c>
      <c r="B147" s="23">
        <f t="shared" si="114"/>
        <v>0</v>
      </c>
      <c r="C147" s="12">
        <f t="shared" si="115"/>
        <v>0</v>
      </c>
      <c r="D147" s="12">
        <f t="shared" si="116"/>
        <v>1198.51644454703</v>
      </c>
      <c r="E147" s="23">
        <f t="shared" si="108"/>
        <v>7.6706783709022466E-2</v>
      </c>
      <c r="F147" s="23">
        <f t="shared" si="117"/>
        <v>135.72815765020098</v>
      </c>
      <c r="G147" s="95">
        <f t="shared" si="109"/>
        <v>0.60608502484345661</v>
      </c>
      <c r="H147" s="95">
        <f t="shared" si="110"/>
        <v>0.25085166840484785</v>
      </c>
      <c r="I147" s="95">
        <f t="shared" si="111"/>
        <v>1.5639805646666151E-2</v>
      </c>
      <c r="J147" s="12">
        <f t="shared" si="118"/>
        <v>0</v>
      </c>
      <c r="K147" s="12">
        <f t="shared" si="93"/>
        <v>1335.193885479835</v>
      </c>
      <c r="L147" s="54">
        <f t="shared" si="94"/>
        <v>5.7449921350902519E-5</v>
      </c>
      <c r="M147" s="10">
        <f t="shared" si="95"/>
        <v>0.1016542684371444</v>
      </c>
      <c r="N147" s="10">
        <f t="shared" si="96"/>
        <v>4.5393034782034291E-4</v>
      </c>
      <c r="O147" s="10">
        <f t="shared" si="97"/>
        <v>1.8787658566508345E-4</v>
      </c>
      <c r="P147" s="10">
        <f t="shared" si="98"/>
        <v>1.1713509039210136E-5</v>
      </c>
      <c r="Q147" s="54">
        <f t="shared" si="99"/>
        <v>1.7326523290198868E-2</v>
      </c>
      <c r="R147" s="10">
        <f t="shared" si="100"/>
        <v>1.3432468098568184E-4</v>
      </c>
      <c r="S147" s="10">
        <f t="shared" si="101"/>
        <v>4.9123048216836562E-4</v>
      </c>
      <c r="T147" s="10">
        <f t="shared" si="102"/>
        <v>0.29737582175547256</v>
      </c>
      <c r="U147" s="10">
        <f t="shared" si="103"/>
        <v>0.68467201111289944</v>
      </c>
      <c r="V147" s="10">
        <f t="shared" si="104"/>
        <v>8.6447527828723614E-8</v>
      </c>
      <c r="W147" s="10">
        <f t="shared" si="105"/>
        <v>2.2307473018743689E-9</v>
      </c>
      <c r="X147" s="163">
        <f t="shared" si="112"/>
        <v>0.99999999999999989</v>
      </c>
      <c r="Y147" s="54">
        <f t="shared" si="106"/>
        <v>0.16445867760646846</v>
      </c>
      <c r="Z147" s="54">
        <f t="shared" si="107"/>
        <v>1.5035859820469819E-2</v>
      </c>
      <c r="AA147" s="113"/>
    </row>
    <row r="148" spans="1:27" x14ac:dyDescent="0.2">
      <c r="A148" s="20">
        <f t="shared" si="113"/>
        <v>1</v>
      </c>
      <c r="B148" s="23">
        <f t="shared" si="114"/>
        <v>0</v>
      </c>
      <c r="C148" s="12">
        <f t="shared" si="115"/>
        <v>0</v>
      </c>
      <c r="D148" s="12">
        <f t="shared" si="116"/>
        <v>1198.51644454703</v>
      </c>
      <c r="E148" s="23">
        <f t="shared" si="108"/>
        <v>7.6706783709022466E-2</v>
      </c>
      <c r="F148" s="23">
        <f t="shared" si="117"/>
        <v>135.72815765020098</v>
      </c>
      <c r="G148" s="95">
        <f t="shared" si="109"/>
        <v>0.60608502484345661</v>
      </c>
      <c r="H148" s="95">
        <f t="shared" si="110"/>
        <v>0.25085166840484785</v>
      </c>
      <c r="I148" s="95">
        <f t="shared" si="111"/>
        <v>1.5639805646666151E-2</v>
      </c>
      <c r="J148" s="12">
        <f t="shared" si="118"/>
        <v>0</v>
      </c>
      <c r="K148" s="12">
        <f t="shared" si="93"/>
        <v>1335.193885479835</v>
      </c>
      <c r="L148" s="54">
        <f t="shared" si="94"/>
        <v>5.7449921350902519E-5</v>
      </c>
      <c r="M148" s="10">
        <f t="shared" si="95"/>
        <v>0.1016542684371444</v>
      </c>
      <c r="N148" s="10">
        <f t="shared" si="96"/>
        <v>4.5393034782034291E-4</v>
      </c>
      <c r="O148" s="10">
        <f t="shared" si="97"/>
        <v>1.8787658566508345E-4</v>
      </c>
      <c r="P148" s="10">
        <f t="shared" si="98"/>
        <v>1.1713509039210136E-5</v>
      </c>
      <c r="Q148" s="54">
        <f t="shared" si="99"/>
        <v>1.7326523290198868E-2</v>
      </c>
      <c r="R148" s="10">
        <f t="shared" si="100"/>
        <v>1.3432468098568184E-4</v>
      </c>
      <c r="S148" s="10">
        <f t="shared" si="101"/>
        <v>4.9123048216836562E-4</v>
      </c>
      <c r="T148" s="10">
        <f t="shared" si="102"/>
        <v>0.29737582175547256</v>
      </c>
      <c r="U148" s="10">
        <f t="shared" si="103"/>
        <v>0.68467201111289944</v>
      </c>
      <c r="V148" s="10">
        <f t="shared" si="104"/>
        <v>8.6447527828723614E-8</v>
      </c>
      <c r="W148" s="10">
        <f t="shared" si="105"/>
        <v>2.2307473018743689E-9</v>
      </c>
      <c r="X148" s="163">
        <f t="shared" si="112"/>
        <v>0.99999999999999989</v>
      </c>
      <c r="Y148" s="54">
        <f t="shared" si="106"/>
        <v>0.16445867760646846</v>
      </c>
      <c r="Z148" s="54">
        <f t="shared" si="107"/>
        <v>1.5035859820469819E-2</v>
      </c>
      <c r="AA148" s="113"/>
    </row>
    <row r="149" spans="1:27" x14ac:dyDescent="0.2">
      <c r="A149" s="20">
        <f t="shared" si="113"/>
        <v>1</v>
      </c>
      <c r="B149" s="23">
        <f t="shared" si="114"/>
        <v>0</v>
      </c>
      <c r="C149" s="12">
        <f t="shared" si="115"/>
        <v>0</v>
      </c>
      <c r="D149" s="12">
        <f t="shared" si="116"/>
        <v>1198.51644454703</v>
      </c>
      <c r="E149" s="23">
        <f t="shared" si="108"/>
        <v>7.6706783709022466E-2</v>
      </c>
      <c r="F149" s="23">
        <f t="shared" si="117"/>
        <v>135.72815765020098</v>
      </c>
      <c r="G149" s="95">
        <f t="shared" si="109"/>
        <v>0.60608502484345661</v>
      </c>
      <c r="H149" s="95">
        <f t="shared" si="110"/>
        <v>0.25085166840484785</v>
      </c>
      <c r="I149" s="95">
        <f t="shared" si="111"/>
        <v>1.5639805646666151E-2</v>
      </c>
      <c r="J149" s="12">
        <f t="shared" si="118"/>
        <v>0</v>
      </c>
      <c r="K149" s="12">
        <f t="shared" si="93"/>
        <v>1335.193885479835</v>
      </c>
      <c r="L149" s="54">
        <f t="shared" si="94"/>
        <v>5.7449921350902519E-5</v>
      </c>
      <c r="M149" s="10">
        <f t="shared" si="95"/>
        <v>0.1016542684371444</v>
      </c>
      <c r="N149" s="10">
        <f t="shared" si="96"/>
        <v>4.5393034782034291E-4</v>
      </c>
      <c r="O149" s="10">
        <f t="shared" si="97"/>
        <v>1.8787658566508345E-4</v>
      </c>
      <c r="P149" s="10">
        <f t="shared" si="98"/>
        <v>1.1713509039210136E-5</v>
      </c>
      <c r="Q149" s="54">
        <f t="shared" si="99"/>
        <v>1.7326523290198868E-2</v>
      </c>
      <c r="R149" s="10">
        <f t="shared" si="100"/>
        <v>1.3432468098568184E-4</v>
      </c>
      <c r="S149" s="10">
        <f t="shared" si="101"/>
        <v>4.9123048216836562E-4</v>
      </c>
      <c r="T149" s="10">
        <f t="shared" si="102"/>
        <v>0.29737582175547256</v>
      </c>
      <c r="U149" s="10">
        <f t="shared" si="103"/>
        <v>0.68467201111289944</v>
      </c>
      <c r="V149" s="10">
        <f t="shared" si="104"/>
        <v>8.6447527828723614E-8</v>
      </c>
      <c r="W149" s="10">
        <f t="shared" si="105"/>
        <v>2.2307473018743689E-9</v>
      </c>
      <c r="X149" s="163">
        <f t="shared" si="112"/>
        <v>0.99999999999999989</v>
      </c>
      <c r="Y149" s="54">
        <f t="shared" si="106"/>
        <v>0.16445867760646846</v>
      </c>
      <c r="Z149" s="54">
        <f t="shared" si="107"/>
        <v>1.5035859820469819E-2</v>
      </c>
      <c r="AA149" s="113"/>
    </row>
    <row r="150" spans="1:27" x14ac:dyDescent="0.2">
      <c r="A150" s="20">
        <f t="shared" si="113"/>
        <v>1</v>
      </c>
      <c r="B150" s="23">
        <f t="shared" si="114"/>
        <v>0</v>
      </c>
      <c r="C150" s="12">
        <f t="shared" si="115"/>
        <v>0</v>
      </c>
      <c r="D150" s="12">
        <f t="shared" si="116"/>
        <v>1198.51644454703</v>
      </c>
      <c r="E150" s="23">
        <f t="shared" si="108"/>
        <v>7.6706783709022466E-2</v>
      </c>
      <c r="F150" s="23">
        <f t="shared" si="117"/>
        <v>135.72815765020098</v>
      </c>
      <c r="G150" s="95">
        <f t="shared" si="109"/>
        <v>0.60608502484345661</v>
      </c>
      <c r="H150" s="95">
        <f t="shared" si="110"/>
        <v>0.25085166840484785</v>
      </c>
      <c r="I150" s="95">
        <f t="shared" si="111"/>
        <v>1.5639805646666151E-2</v>
      </c>
      <c r="J150" s="12">
        <f t="shared" si="118"/>
        <v>0</v>
      </c>
      <c r="K150" s="12">
        <f t="shared" si="93"/>
        <v>1335.193885479835</v>
      </c>
      <c r="L150" s="54">
        <f t="shared" si="94"/>
        <v>5.7449921350902519E-5</v>
      </c>
      <c r="M150" s="10">
        <f t="shared" si="95"/>
        <v>0.1016542684371444</v>
      </c>
      <c r="N150" s="10">
        <f t="shared" si="96"/>
        <v>4.5393034782034291E-4</v>
      </c>
      <c r="O150" s="10">
        <f t="shared" si="97"/>
        <v>1.8787658566508345E-4</v>
      </c>
      <c r="P150" s="10">
        <f t="shared" si="98"/>
        <v>1.1713509039210136E-5</v>
      </c>
      <c r="Q150" s="54">
        <f t="shared" si="99"/>
        <v>1.7326523290198868E-2</v>
      </c>
      <c r="R150" s="10">
        <f t="shared" si="100"/>
        <v>1.3432468098568184E-4</v>
      </c>
      <c r="S150" s="10">
        <f t="shared" si="101"/>
        <v>4.9123048216836562E-4</v>
      </c>
      <c r="T150" s="10">
        <f t="shared" si="102"/>
        <v>0.29737582175547256</v>
      </c>
      <c r="U150" s="10">
        <f t="shared" si="103"/>
        <v>0.68467201111289944</v>
      </c>
      <c r="V150" s="10">
        <f t="shared" si="104"/>
        <v>8.6447527828723614E-8</v>
      </c>
      <c r="W150" s="10">
        <f t="shared" si="105"/>
        <v>2.2307473018743689E-9</v>
      </c>
      <c r="X150" s="163">
        <f t="shared" si="112"/>
        <v>0.99999999999999989</v>
      </c>
      <c r="Y150" s="54">
        <f t="shared" si="106"/>
        <v>0.16445867760646846</v>
      </c>
      <c r="Z150" s="54">
        <f t="shared" si="107"/>
        <v>1.5035859820469819E-2</v>
      </c>
      <c r="AA150" s="113"/>
    </row>
    <row r="151" spans="1:27" x14ac:dyDescent="0.2">
      <c r="A151" s="20">
        <f t="shared" si="113"/>
        <v>1</v>
      </c>
      <c r="B151" s="23">
        <f t="shared" si="114"/>
        <v>0</v>
      </c>
      <c r="C151" s="12">
        <f t="shared" si="115"/>
        <v>0</v>
      </c>
      <c r="D151" s="12">
        <f t="shared" si="116"/>
        <v>1198.51644454703</v>
      </c>
      <c r="E151" s="23">
        <f t="shared" si="108"/>
        <v>7.6706783709022466E-2</v>
      </c>
      <c r="F151" s="23">
        <f t="shared" si="117"/>
        <v>135.72815765020098</v>
      </c>
      <c r="G151" s="95">
        <f t="shared" si="109"/>
        <v>0.60608502484345661</v>
      </c>
      <c r="H151" s="95">
        <f t="shared" si="110"/>
        <v>0.25085166840484785</v>
      </c>
      <c r="I151" s="95">
        <f t="shared" si="111"/>
        <v>1.5639805646666151E-2</v>
      </c>
      <c r="J151" s="12">
        <f t="shared" si="118"/>
        <v>0</v>
      </c>
      <c r="K151" s="12">
        <f t="shared" si="93"/>
        <v>1335.193885479835</v>
      </c>
      <c r="L151" s="54">
        <f t="shared" si="94"/>
        <v>5.7449921350902519E-5</v>
      </c>
      <c r="M151" s="10">
        <f t="shared" si="95"/>
        <v>0.1016542684371444</v>
      </c>
      <c r="N151" s="10">
        <f t="shared" si="96"/>
        <v>4.5393034782034291E-4</v>
      </c>
      <c r="O151" s="10">
        <f t="shared" si="97"/>
        <v>1.8787658566508345E-4</v>
      </c>
      <c r="P151" s="10">
        <f t="shared" si="98"/>
        <v>1.1713509039210136E-5</v>
      </c>
      <c r="Q151" s="54">
        <f t="shared" si="99"/>
        <v>1.7326523290198868E-2</v>
      </c>
      <c r="R151" s="10">
        <f t="shared" si="100"/>
        <v>1.3432468098568184E-4</v>
      </c>
      <c r="S151" s="10">
        <f t="shared" si="101"/>
        <v>4.9123048216836562E-4</v>
      </c>
      <c r="T151" s="10">
        <f t="shared" si="102"/>
        <v>0.29737582175547256</v>
      </c>
      <c r="U151" s="10">
        <f t="shared" si="103"/>
        <v>0.68467201111289944</v>
      </c>
      <c r="V151" s="10">
        <f t="shared" si="104"/>
        <v>8.6447527828723614E-8</v>
      </c>
      <c r="W151" s="10">
        <f t="shared" si="105"/>
        <v>2.2307473018743689E-9</v>
      </c>
      <c r="X151" s="163">
        <f t="shared" si="112"/>
        <v>0.99999999999999989</v>
      </c>
      <c r="Y151" s="54">
        <f t="shared" si="106"/>
        <v>0.16445867760646846</v>
      </c>
      <c r="Z151" s="54">
        <f t="shared" si="107"/>
        <v>1.5035859820469819E-2</v>
      </c>
      <c r="AA151" s="113"/>
    </row>
    <row r="152" spans="1:27" x14ac:dyDescent="0.2">
      <c r="A152" s="20">
        <f t="shared" si="113"/>
        <v>1</v>
      </c>
      <c r="B152" s="23">
        <f t="shared" si="114"/>
        <v>0</v>
      </c>
      <c r="C152" s="12">
        <f t="shared" si="115"/>
        <v>0</v>
      </c>
      <c r="D152" s="12">
        <f t="shared" si="116"/>
        <v>1198.51644454703</v>
      </c>
      <c r="E152" s="23">
        <f t="shared" si="108"/>
        <v>7.6706783709022466E-2</v>
      </c>
      <c r="F152" s="23">
        <f t="shared" si="117"/>
        <v>135.72815765020098</v>
      </c>
      <c r="G152" s="95">
        <f t="shared" si="109"/>
        <v>0.60608502484345661</v>
      </c>
      <c r="H152" s="95">
        <f t="shared" si="110"/>
        <v>0.25085166840484785</v>
      </c>
      <c r="I152" s="95">
        <f t="shared" si="111"/>
        <v>1.5639805646666151E-2</v>
      </c>
      <c r="J152" s="12">
        <f t="shared" si="118"/>
        <v>0</v>
      </c>
      <c r="K152" s="12">
        <f t="shared" si="93"/>
        <v>1335.193885479835</v>
      </c>
      <c r="L152" s="54">
        <f t="shared" si="94"/>
        <v>5.7449921350902519E-5</v>
      </c>
      <c r="M152" s="10">
        <f t="shared" si="95"/>
        <v>0.1016542684371444</v>
      </c>
      <c r="N152" s="10">
        <f t="shared" si="96"/>
        <v>4.5393034782034291E-4</v>
      </c>
      <c r="O152" s="10">
        <f t="shared" si="97"/>
        <v>1.8787658566508345E-4</v>
      </c>
      <c r="P152" s="10">
        <f t="shared" si="98"/>
        <v>1.1713509039210136E-5</v>
      </c>
      <c r="Q152" s="54">
        <f t="shared" si="99"/>
        <v>1.7326523290198868E-2</v>
      </c>
      <c r="R152" s="10">
        <f t="shared" si="100"/>
        <v>1.3432468098568184E-4</v>
      </c>
      <c r="S152" s="10">
        <f t="shared" si="101"/>
        <v>4.9123048216836562E-4</v>
      </c>
      <c r="T152" s="10">
        <f t="shared" si="102"/>
        <v>0.29737582175547256</v>
      </c>
      <c r="U152" s="10">
        <f t="shared" si="103"/>
        <v>0.68467201111289944</v>
      </c>
      <c r="V152" s="10">
        <f t="shared" si="104"/>
        <v>8.6447527828723614E-8</v>
      </c>
      <c r="W152" s="10">
        <f t="shared" si="105"/>
        <v>2.2307473018743689E-9</v>
      </c>
      <c r="X152" s="163">
        <f t="shared" si="112"/>
        <v>0.99999999999999989</v>
      </c>
      <c r="Y152" s="54">
        <f t="shared" si="106"/>
        <v>0.16445867760646846</v>
      </c>
      <c r="Z152" s="54">
        <f t="shared" si="107"/>
        <v>1.5035859820469819E-2</v>
      </c>
      <c r="AA152" s="113"/>
    </row>
    <row r="153" spans="1:27" x14ac:dyDescent="0.2">
      <c r="A153" s="20">
        <f t="shared" si="113"/>
        <v>1</v>
      </c>
      <c r="B153" s="23">
        <f t="shared" si="114"/>
        <v>0</v>
      </c>
      <c r="C153" s="12">
        <f t="shared" si="115"/>
        <v>0</v>
      </c>
      <c r="D153" s="12">
        <f t="shared" si="116"/>
        <v>1198.51644454703</v>
      </c>
      <c r="E153" s="23">
        <f t="shared" si="108"/>
        <v>7.6706783709022466E-2</v>
      </c>
      <c r="F153" s="23">
        <f t="shared" si="117"/>
        <v>135.72815765020098</v>
      </c>
      <c r="G153" s="95">
        <f t="shared" si="109"/>
        <v>0.60608502484345661</v>
      </c>
      <c r="H153" s="95">
        <f t="shared" si="110"/>
        <v>0.25085166840484785</v>
      </c>
      <c r="I153" s="95">
        <f t="shared" si="111"/>
        <v>1.5639805646666151E-2</v>
      </c>
      <c r="J153" s="12">
        <f t="shared" si="118"/>
        <v>0</v>
      </c>
      <c r="K153" s="12">
        <f t="shared" si="93"/>
        <v>1335.193885479835</v>
      </c>
      <c r="L153" s="54">
        <f t="shared" si="94"/>
        <v>5.7449921350902519E-5</v>
      </c>
      <c r="M153" s="10">
        <f t="shared" si="95"/>
        <v>0.1016542684371444</v>
      </c>
      <c r="N153" s="10">
        <f t="shared" si="96"/>
        <v>4.5393034782034291E-4</v>
      </c>
      <c r="O153" s="10">
        <f t="shared" si="97"/>
        <v>1.8787658566508345E-4</v>
      </c>
      <c r="P153" s="10">
        <f t="shared" si="98"/>
        <v>1.1713509039210136E-5</v>
      </c>
      <c r="Q153" s="54">
        <f t="shared" si="99"/>
        <v>1.7326523290198868E-2</v>
      </c>
      <c r="R153" s="10">
        <f t="shared" si="100"/>
        <v>1.3432468098568184E-4</v>
      </c>
      <c r="S153" s="10">
        <f t="shared" si="101"/>
        <v>4.9123048216836562E-4</v>
      </c>
      <c r="T153" s="10">
        <f t="shared" si="102"/>
        <v>0.29737582175547256</v>
      </c>
      <c r="U153" s="10">
        <f t="shared" si="103"/>
        <v>0.68467201111289944</v>
      </c>
      <c r="V153" s="10">
        <f t="shared" si="104"/>
        <v>8.6447527828723614E-8</v>
      </c>
      <c r="W153" s="10">
        <f t="shared" si="105"/>
        <v>2.2307473018743689E-9</v>
      </c>
      <c r="X153" s="163">
        <f t="shared" si="112"/>
        <v>0.99999999999999989</v>
      </c>
      <c r="Y153" s="54">
        <f t="shared" si="106"/>
        <v>0.16445867760646846</v>
      </c>
      <c r="Z153" s="54">
        <f t="shared" si="107"/>
        <v>1.5035859820469819E-2</v>
      </c>
      <c r="AA153" s="113"/>
    </row>
    <row r="154" spans="1:27" x14ac:dyDescent="0.2">
      <c r="A154" s="20">
        <f t="shared" si="113"/>
        <v>1</v>
      </c>
      <c r="B154" s="23">
        <f t="shared" si="114"/>
        <v>0</v>
      </c>
      <c r="C154" s="12">
        <f t="shared" si="115"/>
        <v>0</v>
      </c>
      <c r="D154" s="12">
        <f t="shared" si="116"/>
        <v>1198.51644454703</v>
      </c>
      <c r="E154" s="23">
        <f t="shared" si="108"/>
        <v>7.6706783709022466E-2</v>
      </c>
      <c r="F154" s="23">
        <f t="shared" si="117"/>
        <v>135.72815765020098</v>
      </c>
      <c r="G154" s="95">
        <f t="shared" si="109"/>
        <v>0.60608502484345661</v>
      </c>
      <c r="H154" s="95">
        <f t="shared" si="110"/>
        <v>0.25085166840484785</v>
      </c>
      <c r="I154" s="95">
        <f t="shared" si="111"/>
        <v>1.5639805646666151E-2</v>
      </c>
      <c r="J154" s="12">
        <f t="shared" si="118"/>
        <v>0</v>
      </c>
      <c r="K154" s="12">
        <f t="shared" si="93"/>
        <v>1335.193885479835</v>
      </c>
      <c r="L154" s="54">
        <f t="shared" si="94"/>
        <v>5.7449921350902519E-5</v>
      </c>
      <c r="M154" s="10">
        <f t="shared" si="95"/>
        <v>0.1016542684371444</v>
      </c>
      <c r="N154" s="10">
        <f t="shared" si="96"/>
        <v>4.5393034782034291E-4</v>
      </c>
      <c r="O154" s="10">
        <f t="shared" si="97"/>
        <v>1.8787658566508345E-4</v>
      </c>
      <c r="P154" s="10">
        <f t="shared" si="98"/>
        <v>1.1713509039210136E-5</v>
      </c>
      <c r="Q154" s="54">
        <f t="shared" si="99"/>
        <v>1.7326523290198868E-2</v>
      </c>
      <c r="R154" s="10">
        <f t="shared" si="100"/>
        <v>1.3432468098568184E-4</v>
      </c>
      <c r="S154" s="10">
        <f t="shared" si="101"/>
        <v>4.9123048216836562E-4</v>
      </c>
      <c r="T154" s="10">
        <f t="shared" si="102"/>
        <v>0.29737582175547256</v>
      </c>
      <c r="U154" s="10">
        <f t="shared" si="103"/>
        <v>0.68467201111289944</v>
      </c>
      <c r="V154" s="10">
        <f t="shared" si="104"/>
        <v>8.6447527828723614E-8</v>
      </c>
      <c r="W154" s="10">
        <f t="shared" si="105"/>
        <v>2.2307473018743689E-9</v>
      </c>
      <c r="X154" s="163">
        <f t="shared" si="112"/>
        <v>0.99999999999999989</v>
      </c>
      <c r="Y154" s="54">
        <f t="shared" si="106"/>
        <v>0.16445867760646846</v>
      </c>
      <c r="Z154" s="54">
        <f t="shared" si="107"/>
        <v>1.5035859820469819E-2</v>
      </c>
      <c r="AA154" s="113"/>
    </row>
    <row r="155" spans="1:27" x14ac:dyDescent="0.2">
      <c r="A155" s="20">
        <f t="shared" si="113"/>
        <v>1</v>
      </c>
      <c r="B155" s="23">
        <f t="shared" si="114"/>
        <v>0</v>
      </c>
      <c r="C155" s="12">
        <f t="shared" si="115"/>
        <v>0</v>
      </c>
      <c r="D155" s="12">
        <f t="shared" si="116"/>
        <v>1198.51644454703</v>
      </c>
      <c r="E155" s="23">
        <f t="shared" si="108"/>
        <v>7.6706783709022466E-2</v>
      </c>
      <c r="F155" s="23">
        <f t="shared" si="117"/>
        <v>135.72815765020098</v>
      </c>
      <c r="G155" s="95">
        <f t="shared" si="109"/>
        <v>0.60608502484345661</v>
      </c>
      <c r="H155" s="95">
        <f t="shared" si="110"/>
        <v>0.25085166840484785</v>
      </c>
      <c r="I155" s="95">
        <f t="shared" si="111"/>
        <v>1.5639805646666151E-2</v>
      </c>
      <c r="J155" s="12">
        <f t="shared" si="118"/>
        <v>0</v>
      </c>
      <c r="K155" s="12">
        <f t="shared" si="93"/>
        <v>1335.193885479835</v>
      </c>
      <c r="L155" s="54">
        <f t="shared" si="94"/>
        <v>5.7449921350902519E-5</v>
      </c>
      <c r="M155" s="10">
        <f t="shared" si="95"/>
        <v>0.1016542684371444</v>
      </c>
      <c r="N155" s="10">
        <f t="shared" si="96"/>
        <v>4.5393034782034291E-4</v>
      </c>
      <c r="O155" s="10">
        <f t="shared" si="97"/>
        <v>1.8787658566508345E-4</v>
      </c>
      <c r="P155" s="10">
        <f t="shared" si="98"/>
        <v>1.1713509039210136E-5</v>
      </c>
      <c r="Q155" s="54">
        <f t="shared" si="99"/>
        <v>1.7326523290198868E-2</v>
      </c>
      <c r="R155" s="10">
        <f t="shared" si="100"/>
        <v>1.3432468098568184E-4</v>
      </c>
      <c r="S155" s="10">
        <f t="shared" si="101"/>
        <v>4.9123048216836562E-4</v>
      </c>
      <c r="T155" s="10">
        <f t="shared" si="102"/>
        <v>0.29737582175547256</v>
      </c>
      <c r="U155" s="10">
        <f t="shared" si="103"/>
        <v>0.68467201111289944</v>
      </c>
      <c r="V155" s="10">
        <f t="shared" si="104"/>
        <v>8.6447527828723614E-8</v>
      </c>
      <c r="W155" s="10">
        <f t="shared" si="105"/>
        <v>2.2307473018743689E-9</v>
      </c>
      <c r="X155" s="163">
        <f t="shared" si="112"/>
        <v>0.99999999999999989</v>
      </c>
      <c r="Y155" s="54">
        <f t="shared" si="106"/>
        <v>0.16445867760646846</v>
      </c>
      <c r="Z155" s="54">
        <f t="shared" si="107"/>
        <v>1.5035859820469819E-2</v>
      </c>
      <c r="AA155" s="113"/>
    </row>
    <row r="156" spans="1:27" x14ac:dyDescent="0.2">
      <c r="A156" s="20">
        <f t="shared" si="113"/>
        <v>1</v>
      </c>
      <c r="B156" s="23">
        <f t="shared" si="114"/>
        <v>0</v>
      </c>
      <c r="C156" s="12">
        <f t="shared" si="115"/>
        <v>0</v>
      </c>
      <c r="D156" s="12">
        <f t="shared" si="116"/>
        <v>1198.51644454703</v>
      </c>
      <c r="E156" s="23">
        <f t="shared" si="108"/>
        <v>7.6706783709022466E-2</v>
      </c>
      <c r="F156" s="23">
        <f t="shared" si="117"/>
        <v>135.72815765020098</v>
      </c>
      <c r="G156" s="95">
        <f t="shared" si="109"/>
        <v>0.60608502484345661</v>
      </c>
      <c r="H156" s="95">
        <f t="shared" si="110"/>
        <v>0.25085166840484785</v>
      </c>
      <c r="I156" s="95">
        <f t="shared" si="111"/>
        <v>1.5639805646666151E-2</v>
      </c>
      <c r="J156" s="12">
        <f t="shared" si="118"/>
        <v>0</v>
      </c>
      <c r="K156" s="12">
        <f t="shared" si="93"/>
        <v>1335.193885479835</v>
      </c>
      <c r="L156" s="54">
        <f t="shared" si="94"/>
        <v>5.7449921350902519E-5</v>
      </c>
      <c r="M156" s="10">
        <f t="shared" si="95"/>
        <v>0.1016542684371444</v>
      </c>
      <c r="N156" s="10">
        <f t="shared" si="96"/>
        <v>4.5393034782034291E-4</v>
      </c>
      <c r="O156" s="10">
        <f t="shared" si="97"/>
        <v>1.8787658566508345E-4</v>
      </c>
      <c r="P156" s="10">
        <f t="shared" si="98"/>
        <v>1.1713509039210136E-5</v>
      </c>
      <c r="Q156" s="54">
        <f t="shared" si="99"/>
        <v>1.7326523290198868E-2</v>
      </c>
      <c r="R156" s="10">
        <f t="shared" si="100"/>
        <v>1.3432468098568184E-4</v>
      </c>
      <c r="S156" s="10">
        <f t="shared" si="101"/>
        <v>4.9123048216836562E-4</v>
      </c>
      <c r="T156" s="10">
        <f t="shared" si="102"/>
        <v>0.29737582175547256</v>
      </c>
      <c r="U156" s="10">
        <f t="shared" si="103"/>
        <v>0.68467201111289944</v>
      </c>
      <c r="V156" s="10">
        <f t="shared" si="104"/>
        <v>8.6447527828723614E-8</v>
      </c>
      <c r="W156" s="10">
        <f t="shared" si="105"/>
        <v>2.2307473018743689E-9</v>
      </c>
      <c r="X156" s="163">
        <f t="shared" si="112"/>
        <v>0.99999999999999989</v>
      </c>
      <c r="Y156" s="54">
        <f t="shared" si="106"/>
        <v>0.16445867760646846</v>
      </c>
      <c r="Z156" s="54">
        <f t="shared" si="107"/>
        <v>1.5035859820469819E-2</v>
      </c>
      <c r="AA156" s="113"/>
    </row>
    <row r="157" spans="1:27" x14ac:dyDescent="0.2">
      <c r="A157" s="20">
        <f t="shared" si="113"/>
        <v>1</v>
      </c>
      <c r="B157" s="23">
        <f t="shared" si="114"/>
        <v>0</v>
      </c>
      <c r="C157" s="12">
        <f t="shared" si="115"/>
        <v>0</v>
      </c>
      <c r="D157" s="12">
        <f t="shared" si="116"/>
        <v>1198.51644454703</v>
      </c>
      <c r="E157" s="23">
        <f t="shared" si="108"/>
        <v>7.6706783709022466E-2</v>
      </c>
      <c r="F157" s="23">
        <f t="shared" si="117"/>
        <v>135.72815765020098</v>
      </c>
      <c r="G157" s="95">
        <f t="shared" si="109"/>
        <v>0.60608502484345661</v>
      </c>
      <c r="H157" s="95">
        <f t="shared" si="110"/>
        <v>0.25085166840484785</v>
      </c>
      <c r="I157" s="95">
        <f t="shared" si="111"/>
        <v>1.5639805646666151E-2</v>
      </c>
      <c r="J157" s="12">
        <f t="shared" si="118"/>
        <v>0</v>
      </c>
      <c r="K157" s="12">
        <f t="shared" si="93"/>
        <v>1335.193885479835</v>
      </c>
      <c r="L157" s="54">
        <f t="shared" si="94"/>
        <v>5.7449921350902519E-5</v>
      </c>
      <c r="M157" s="10">
        <f t="shared" si="95"/>
        <v>0.1016542684371444</v>
      </c>
      <c r="N157" s="10">
        <f t="shared" si="96"/>
        <v>4.5393034782034291E-4</v>
      </c>
      <c r="O157" s="10">
        <f t="shared" si="97"/>
        <v>1.8787658566508345E-4</v>
      </c>
      <c r="P157" s="10">
        <f t="shared" si="98"/>
        <v>1.1713509039210136E-5</v>
      </c>
      <c r="Q157" s="54">
        <f t="shared" si="99"/>
        <v>1.7326523290198868E-2</v>
      </c>
      <c r="R157" s="10">
        <f t="shared" si="100"/>
        <v>1.3432468098568184E-4</v>
      </c>
      <c r="S157" s="10">
        <f t="shared" si="101"/>
        <v>4.9123048216836562E-4</v>
      </c>
      <c r="T157" s="10">
        <f t="shared" si="102"/>
        <v>0.29737582175547256</v>
      </c>
      <c r="U157" s="10">
        <f t="shared" si="103"/>
        <v>0.68467201111289944</v>
      </c>
      <c r="V157" s="10">
        <f t="shared" si="104"/>
        <v>8.6447527828723614E-8</v>
      </c>
      <c r="W157" s="10">
        <f t="shared" si="105"/>
        <v>2.2307473018743689E-9</v>
      </c>
      <c r="X157" s="163">
        <f t="shared" si="112"/>
        <v>0.99999999999999989</v>
      </c>
      <c r="Y157" s="54">
        <f t="shared" si="106"/>
        <v>0.16445867760646846</v>
      </c>
      <c r="Z157" s="54">
        <f t="shared" si="107"/>
        <v>1.5035859820469819E-2</v>
      </c>
      <c r="AA157" s="113"/>
    </row>
    <row r="158" spans="1:27" x14ac:dyDescent="0.2">
      <c r="A158" s="20">
        <f t="shared" si="113"/>
        <v>1</v>
      </c>
      <c r="B158" s="23">
        <f t="shared" si="114"/>
        <v>0</v>
      </c>
      <c r="C158" s="12">
        <f t="shared" si="115"/>
        <v>0</v>
      </c>
      <c r="D158" s="12">
        <f t="shared" si="116"/>
        <v>1198.51644454703</v>
      </c>
      <c r="E158" s="23">
        <f t="shared" si="108"/>
        <v>7.6706783709022466E-2</v>
      </c>
      <c r="F158" s="23">
        <f t="shared" si="117"/>
        <v>135.72815765020098</v>
      </c>
      <c r="G158" s="95">
        <f t="shared" si="109"/>
        <v>0.60608502484345661</v>
      </c>
      <c r="H158" s="95">
        <f t="shared" si="110"/>
        <v>0.25085166840484785</v>
      </c>
      <c r="I158" s="95">
        <f t="shared" si="111"/>
        <v>1.5639805646666151E-2</v>
      </c>
      <c r="J158" s="12">
        <f t="shared" si="118"/>
        <v>0</v>
      </c>
      <c r="K158" s="12">
        <f t="shared" si="93"/>
        <v>1335.193885479835</v>
      </c>
      <c r="L158" s="54">
        <f t="shared" si="94"/>
        <v>5.7449921350902519E-5</v>
      </c>
      <c r="M158" s="10">
        <f t="shared" si="95"/>
        <v>0.1016542684371444</v>
      </c>
      <c r="N158" s="10">
        <f t="shared" si="96"/>
        <v>4.5393034782034291E-4</v>
      </c>
      <c r="O158" s="10">
        <f t="shared" si="97"/>
        <v>1.8787658566508345E-4</v>
      </c>
      <c r="P158" s="10">
        <f t="shared" si="98"/>
        <v>1.1713509039210136E-5</v>
      </c>
      <c r="Q158" s="54">
        <f t="shared" si="99"/>
        <v>1.7326523290198868E-2</v>
      </c>
      <c r="R158" s="10">
        <f t="shared" si="100"/>
        <v>1.3432468098568184E-4</v>
      </c>
      <c r="S158" s="10">
        <f t="shared" si="101"/>
        <v>4.9123048216836562E-4</v>
      </c>
      <c r="T158" s="10">
        <f t="shared" si="102"/>
        <v>0.29737582175547256</v>
      </c>
      <c r="U158" s="10">
        <f t="shared" si="103"/>
        <v>0.68467201111289944</v>
      </c>
      <c r="V158" s="10">
        <f t="shared" si="104"/>
        <v>8.6447527828723614E-8</v>
      </c>
      <c r="W158" s="10">
        <f t="shared" si="105"/>
        <v>2.2307473018743689E-9</v>
      </c>
      <c r="X158" s="163">
        <f t="shared" si="112"/>
        <v>0.99999999999999989</v>
      </c>
      <c r="Y158" s="54">
        <f t="shared" si="106"/>
        <v>0.16445867760646846</v>
      </c>
      <c r="Z158" s="54">
        <f t="shared" si="107"/>
        <v>1.5035859820469819E-2</v>
      </c>
      <c r="AA158" s="113"/>
    </row>
    <row r="159" spans="1:27" x14ac:dyDescent="0.2">
      <c r="A159" s="20">
        <f t="shared" si="113"/>
        <v>1</v>
      </c>
      <c r="B159" s="23">
        <f t="shared" si="114"/>
        <v>0</v>
      </c>
      <c r="C159" s="12">
        <f t="shared" si="115"/>
        <v>0</v>
      </c>
      <c r="D159" s="12">
        <f t="shared" si="116"/>
        <v>1198.51644454703</v>
      </c>
      <c r="E159" s="23">
        <f t="shared" si="108"/>
        <v>7.6706783709022466E-2</v>
      </c>
      <c r="F159" s="23">
        <f t="shared" si="117"/>
        <v>135.72815765020098</v>
      </c>
      <c r="G159" s="95">
        <f t="shared" si="109"/>
        <v>0.60608502484345661</v>
      </c>
      <c r="H159" s="95">
        <f t="shared" si="110"/>
        <v>0.25085166840484785</v>
      </c>
      <c r="I159" s="95">
        <f t="shared" si="111"/>
        <v>1.5639805646666151E-2</v>
      </c>
      <c r="J159" s="12">
        <f t="shared" si="118"/>
        <v>0</v>
      </c>
      <c r="K159" s="12">
        <f t="shared" si="93"/>
        <v>1335.193885479835</v>
      </c>
      <c r="L159" s="54">
        <f t="shared" si="94"/>
        <v>5.7449921350902519E-5</v>
      </c>
      <c r="M159" s="10">
        <f t="shared" si="95"/>
        <v>0.1016542684371444</v>
      </c>
      <c r="N159" s="10">
        <f t="shared" si="96"/>
        <v>4.5393034782034291E-4</v>
      </c>
      <c r="O159" s="10">
        <f t="shared" si="97"/>
        <v>1.8787658566508345E-4</v>
      </c>
      <c r="P159" s="10">
        <f t="shared" si="98"/>
        <v>1.1713509039210136E-5</v>
      </c>
      <c r="Q159" s="54">
        <f t="shared" si="99"/>
        <v>1.7326523290198868E-2</v>
      </c>
      <c r="R159" s="10">
        <f t="shared" si="100"/>
        <v>1.3432468098568184E-4</v>
      </c>
      <c r="S159" s="10">
        <f t="shared" si="101"/>
        <v>4.9123048216836562E-4</v>
      </c>
      <c r="T159" s="10">
        <f t="shared" si="102"/>
        <v>0.29737582175547256</v>
      </c>
      <c r="U159" s="10">
        <f t="shared" si="103"/>
        <v>0.68467201111289944</v>
      </c>
      <c r="V159" s="10">
        <f t="shared" si="104"/>
        <v>8.6447527828723614E-8</v>
      </c>
      <c r="W159" s="10">
        <f t="shared" si="105"/>
        <v>2.2307473018743689E-9</v>
      </c>
      <c r="X159" s="163">
        <f t="shared" si="112"/>
        <v>0.99999999999999989</v>
      </c>
      <c r="Y159" s="54">
        <f t="shared" si="106"/>
        <v>0.16445867760646846</v>
      </c>
      <c r="Z159" s="54">
        <f t="shared" si="107"/>
        <v>1.5035859820469819E-2</v>
      </c>
      <c r="AA159" s="113"/>
    </row>
    <row r="160" spans="1:27" x14ac:dyDescent="0.2">
      <c r="A160" s="20">
        <f t="shared" si="113"/>
        <v>1</v>
      </c>
      <c r="B160" s="23">
        <f t="shared" si="114"/>
        <v>0</v>
      </c>
      <c r="C160" s="12">
        <f t="shared" si="115"/>
        <v>0</v>
      </c>
      <c r="D160" s="12">
        <f t="shared" si="116"/>
        <v>1198.51644454703</v>
      </c>
      <c r="E160" s="23">
        <f t="shared" si="108"/>
        <v>7.6706783709022466E-2</v>
      </c>
      <c r="F160" s="23">
        <f t="shared" si="117"/>
        <v>135.72815765020098</v>
      </c>
      <c r="G160" s="95">
        <f t="shared" si="109"/>
        <v>0.60608502484345661</v>
      </c>
      <c r="H160" s="95">
        <f t="shared" si="110"/>
        <v>0.25085166840484785</v>
      </c>
      <c r="I160" s="95">
        <f t="shared" si="111"/>
        <v>1.5639805646666151E-2</v>
      </c>
      <c r="J160" s="12">
        <f t="shared" si="118"/>
        <v>0</v>
      </c>
      <c r="K160" s="12">
        <f t="shared" si="93"/>
        <v>1335.193885479835</v>
      </c>
      <c r="L160" s="54">
        <f t="shared" si="94"/>
        <v>5.7449921350902519E-5</v>
      </c>
      <c r="M160" s="10">
        <f t="shared" si="95"/>
        <v>0.1016542684371444</v>
      </c>
      <c r="N160" s="10">
        <f t="shared" si="96"/>
        <v>4.5393034782034291E-4</v>
      </c>
      <c r="O160" s="10">
        <f t="shared" si="97"/>
        <v>1.8787658566508345E-4</v>
      </c>
      <c r="P160" s="10">
        <f t="shared" si="98"/>
        <v>1.1713509039210136E-5</v>
      </c>
      <c r="Q160" s="54">
        <f t="shared" si="99"/>
        <v>1.7326523290198868E-2</v>
      </c>
      <c r="R160" s="10">
        <f t="shared" si="100"/>
        <v>1.3432468098568184E-4</v>
      </c>
      <c r="S160" s="10">
        <f t="shared" si="101"/>
        <v>4.9123048216836562E-4</v>
      </c>
      <c r="T160" s="10">
        <f t="shared" si="102"/>
        <v>0.29737582175547256</v>
      </c>
      <c r="U160" s="10">
        <f t="shared" si="103"/>
        <v>0.68467201111289944</v>
      </c>
      <c r="V160" s="10">
        <f t="shared" si="104"/>
        <v>8.6447527828723614E-8</v>
      </c>
      <c r="W160" s="10">
        <f t="shared" si="105"/>
        <v>2.2307473018743689E-9</v>
      </c>
      <c r="X160" s="163">
        <f t="shared" si="112"/>
        <v>0.99999999999999989</v>
      </c>
      <c r="Y160" s="54">
        <f t="shared" si="106"/>
        <v>0.16445867760646846</v>
      </c>
      <c r="Z160" s="54">
        <f t="shared" si="107"/>
        <v>1.5035859820469819E-2</v>
      </c>
      <c r="AA160" s="113"/>
    </row>
    <row r="161" spans="1:27" x14ac:dyDescent="0.2">
      <c r="A161" s="20">
        <f t="shared" si="113"/>
        <v>1</v>
      </c>
      <c r="B161" s="23">
        <f t="shared" si="114"/>
        <v>0</v>
      </c>
      <c r="C161" s="12">
        <f t="shared" si="115"/>
        <v>0</v>
      </c>
      <c r="D161" s="12">
        <f t="shared" si="116"/>
        <v>1198.51644454703</v>
      </c>
      <c r="E161" s="23">
        <f t="shared" si="108"/>
        <v>7.6706783709022466E-2</v>
      </c>
      <c r="F161" s="23">
        <f t="shared" si="117"/>
        <v>135.72815765020098</v>
      </c>
      <c r="G161" s="95">
        <f t="shared" si="109"/>
        <v>0.60608502484345661</v>
      </c>
      <c r="H161" s="95">
        <f t="shared" si="110"/>
        <v>0.25085166840484785</v>
      </c>
      <c r="I161" s="95">
        <f t="shared" si="111"/>
        <v>1.5639805646666151E-2</v>
      </c>
      <c r="J161" s="12">
        <f t="shared" si="118"/>
        <v>0</v>
      </c>
      <c r="K161" s="12">
        <f t="shared" si="93"/>
        <v>1335.193885479835</v>
      </c>
      <c r="L161" s="54">
        <f t="shared" si="94"/>
        <v>5.7449921350902519E-5</v>
      </c>
      <c r="M161" s="10">
        <f t="shared" si="95"/>
        <v>0.1016542684371444</v>
      </c>
      <c r="N161" s="10">
        <f t="shared" si="96"/>
        <v>4.5393034782034291E-4</v>
      </c>
      <c r="O161" s="10">
        <f t="shared" si="97"/>
        <v>1.8787658566508345E-4</v>
      </c>
      <c r="P161" s="10">
        <f t="shared" si="98"/>
        <v>1.1713509039210136E-5</v>
      </c>
      <c r="Q161" s="54">
        <f t="shared" si="99"/>
        <v>1.7326523290198868E-2</v>
      </c>
      <c r="R161" s="10">
        <f t="shared" si="100"/>
        <v>1.3432468098568184E-4</v>
      </c>
      <c r="S161" s="10">
        <f t="shared" si="101"/>
        <v>4.9123048216836562E-4</v>
      </c>
      <c r="T161" s="10">
        <f t="shared" si="102"/>
        <v>0.29737582175547256</v>
      </c>
      <c r="U161" s="10">
        <f t="shared" si="103"/>
        <v>0.68467201111289944</v>
      </c>
      <c r="V161" s="10">
        <f t="shared" si="104"/>
        <v>8.6447527828723614E-8</v>
      </c>
      <c r="W161" s="10">
        <f t="shared" si="105"/>
        <v>2.2307473018743689E-9</v>
      </c>
      <c r="X161" s="163">
        <f t="shared" si="112"/>
        <v>0.99999999999999989</v>
      </c>
      <c r="Y161" s="54">
        <f t="shared" si="106"/>
        <v>0.16445867760646846</v>
      </c>
      <c r="Z161" s="54">
        <f t="shared" si="107"/>
        <v>1.5035859820469819E-2</v>
      </c>
      <c r="AA161" s="113"/>
    </row>
    <row r="162" spans="1:27" x14ac:dyDescent="0.2">
      <c r="A162" s="20">
        <f t="shared" si="113"/>
        <v>1</v>
      </c>
      <c r="B162" s="23">
        <f t="shared" si="114"/>
        <v>0</v>
      </c>
      <c r="C162" s="12">
        <f t="shared" si="115"/>
        <v>0</v>
      </c>
      <c r="D162" s="12">
        <f t="shared" si="116"/>
        <v>1198.51644454703</v>
      </c>
      <c r="E162" s="23">
        <f t="shared" si="108"/>
        <v>7.6706783709022466E-2</v>
      </c>
      <c r="F162" s="23">
        <f t="shared" si="117"/>
        <v>135.72815765020098</v>
      </c>
      <c r="G162" s="95">
        <f t="shared" si="109"/>
        <v>0.60608502484345661</v>
      </c>
      <c r="H162" s="95">
        <f t="shared" si="110"/>
        <v>0.25085166840484785</v>
      </c>
      <c r="I162" s="95">
        <f t="shared" si="111"/>
        <v>1.5639805646666151E-2</v>
      </c>
      <c r="J162" s="12">
        <f t="shared" si="118"/>
        <v>0</v>
      </c>
      <c r="K162" s="12">
        <f t="shared" si="93"/>
        <v>1335.193885479835</v>
      </c>
      <c r="L162" s="54">
        <f t="shared" si="94"/>
        <v>5.7449921350902519E-5</v>
      </c>
      <c r="M162" s="10">
        <f t="shared" si="95"/>
        <v>0.1016542684371444</v>
      </c>
      <c r="N162" s="10">
        <f t="shared" si="96"/>
        <v>4.5393034782034291E-4</v>
      </c>
      <c r="O162" s="10">
        <f t="shared" si="97"/>
        <v>1.8787658566508345E-4</v>
      </c>
      <c r="P162" s="10">
        <f t="shared" si="98"/>
        <v>1.1713509039210136E-5</v>
      </c>
      <c r="Q162" s="54">
        <f t="shared" si="99"/>
        <v>1.7326523290198868E-2</v>
      </c>
      <c r="R162" s="10">
        <f t="shared" si="100"/>
        <v>1.3432468098568184E-4</v>
      </c>
      <c r="S162" s="10">
        <f t="shared" si="101"/>
        <v>4.9123048216836562E-4</v>
      </c>
      <c r="T162" s="10">
        <f t="shared" si="102"/>
        <v>0.29737582175547256</v>
      </c>
      <c r="U162" s="10">
        <f t="shared" si="103"/>
        <v>0.68467201111289944</v>
      </c>
      <c r="V162" s="10">
        <f t="shared" si="104"/>
        <v>8.6447527828723614E-8</v>
      </c>
      <c r="W162" s="10">
        <f t="shared" si="105"/>
        <v>2.2307473018743689E-9</v>
      </c>
      <c r="X162" s="163">
        <f t="shared" si="112"/>
        <v>0.99999999999999989</v>
      </c>
      <c r="Y162" s="54">
        <f t="shared" si="106"/>
        <v>0.16445867760646846</v>
      </c>
      <c r="Z162" s="54">
        <f t="shared" si="107"/>
        <v>1.5035859820469819E-2</v>
      </c>
      <c r="AA162" s="113"/>
    </row>
    <row r="163" spans="1:27" x14ac:dyDescent="0.2">
      <c r="A163" s="20">
        <f t="shared" si="113"/>
        <v>1</v>
      </c>
      <c r="B163" s="23">
        <f t="shared" si="114"/>
        <v>0</v>
      </c>
      <c r="C163" s="12">
        <f t="shared" si="115"/>
        <v>0</v>
      </c>
      <c r="D163" s="12">
        <f t="shared" si="116"/>
        <v>1198.51644454703</v>
      </c>
      <c r="E163" s="23">
        <f t="shared" si="108"/>
        <v>7.6706783709022466E-2</v>
      </c>
      <c r="F163" s="23">
        <f t="shared" si="117"/>
        <v>135.72815765020098</v>
      </c>
      <c r="G163" s="95">
        <f t="shared" si="109"/>
        <v>0.60608502484345661</v>
      </c>
      <c r="H163" s="95">
        <f t="shared" si="110"/>
        <v>0.25085166840484785</v>
      </c>
      <c r="I163" s="95">
        <f t="shared" si="111"/>
        <v>1.5639805646666151E-2</v>
      </c>
      <c r="J163" s="12">
        <f t="shared" si="118"/>
        <v>0</v>
      </c>
      <c r="K163" s="12">
        <f t="shared" si="93"/>
        <v>1335.193885479835</v>
      </c>
      <c r="L163" s="54">
        <f t="shared" si="94"/>
        <v>5.7449921350902519E-5</v>
      </c>
      <c r="M163" s="10">
        <f t="shared" si="95"/>
        <v>0.1016542684371444</v>
      </c>
      <c r="N163" s="10">
        <f t="shared" si="96"/>
        <v>4.5393034782034291E-4</v>
      </c>
      <c r="O163" s="10">
        <f t="shared" si="97"/>
        <v>1.8787658566508345E-4</v>
      </c>
      <c r="P163" s="10">
        <f t="shared" si="98"/>
        <v>1.1713509039210136E-5</v>
      </c>
      <c r="Q163" s="54">
        <f t="shared" si="99"/>
        <v>1.7326523290198868E-2</v>
      </c>
      <c r="R163" s="10">
        <f t="shared" si="100"/>
        <v>1.3432468098568184E-4</v>
      </c>
      <c r="S163" s="10">
        <f t="shared" si="101"/>
        <v>4.9123048216836562E-4</v>
      </c>
      <c r="T163" s="10">
        <f t="shared" si="102"/>
        <v>0.29737582175547256</v>
      </c>
      <c r="U163" s="10">
        <f t="shared" si="103"/>
        <v>0.68467201111289944</v>
      </c>
      <c r="V163" s="10">
        <f t="shared" si="104"/>
        <v>8.6447527828723614E-8</v>
      </c>
      <c r="W163" s="10">
        <f t="shared" si="105"/>
        <v>2.2307473018743689E-9</v>
      </c>
      <c r="X163" s="163">
        <f t="shared" si="112"/>
        <v>0.99999999999999989</v>
      </c>
      <c r="Y163" s="54">
        <f t="shared" si="106"/>
        <v>0.16445867760646846</v>
      </c>
      <c r="Z163" s="54">
        <f t="shared" si="107"/>
        <v>1.5035859820469819E-2</v>
      </c>
      <c r="AA163" s="113"/>
    </row>
    <row r="164" spans="1:27" x14ac:dyDescent="0.2">
      <c r="A164" s="20">
        <f t="shared" si="113"/>
        <v>1</v>
      </c>
      <c r="B164" s="23">
        <f t="shared" si="114"/>
        <v>0</v>
      </c>
      <c r="C164" s="12">
        <f t="shared" si="115"/>
        <v>0</v>
      </c>
      <c r="D164" s="12">
        <f t="shared" si="116"/>
        <v>1198.51644454703</v>
      </c>
      <c r="E164" s="23">
        <f t="shared" si="108"/>
        <v>7.6706783709022466E-2</v>
      </c>
      <c r="F164" s="23">
        <f t="shared" si="117"/>
        <v>135.72815765020098</v>
      </c>
      <c r="G164" s="95">
        <f t="shared" si="109"/>
        <v>0.60608502484345661</v>
      </c>
      <c r="H164" s="95">
        <f t="shared" si="110"/>
        <v>0.25085166840484785</v>
      </c>
      <c r="I164" s="95">
        <f t="shared" si="111"/>
        <v>1.5639805646666151E-2</v>
      </c>
      <c r="J164" s="12">
        <f t="shared" si="118"/>
        <v>0</v>
      </c>
      <c r="K164" s="12">
        <f t="shared" si="93"/>
        <v>1335.193885479835</v>
      </c>
      <c r="L164" s="54">
        <f t="shared" si="94"/>
        <v>5.7449921350902519E-5</v>
      </c>
      <c r="M164" s="10">
        <f t="shared" si="95"/>
        <v>0.1016542684371444</v>
      </c>
      <c r="N164" s="10">
        <f t="shared" si="96"/>
        <v>4.5393034782034291E-4</v>
      </c>
      <c r="O164" s="10">
        <f t="shared" si="97"/>
        <v>1.8787658566508345E-4</v>
      </c>
      <c r="P164" s="10">
        <f t="shared" si="98"/>
        <v>1.1713509039210136E-5</v>
      </c>
      <c r="Q164" s="54">
        <f t="shared" si="99"/>
        <v>1.7326523290198868E-2</v>
      </c>
      <c r="R164" s="10">
        <f t="shared" si="100"/>
        <v>1.3432468098568184E-4</v>
      </c>
      <c r="S164" s="10">
        <f t="shared" si="101"/>
        <v>4.9123048216836562E-4</v>
      </c>
      <c r="T164" s="10">
        <f t="shared" si="102"/>
        <v>0.29737582175547256</v>
      </c>
      <c r="U164" s="10">
        <f t="shared" si="103"/>
        <v>0.68467201111289944</v>
      </c>
      <c r="V164" s="10">
        <f t="shared" si="104"/>
        <v>8.6447527828723614E-8</v>
      </c>
      <c r="W164" s="10">
        <f t="shared" si="105"/>
        <v>2.2307473018743689E-9</v>
      </c>
      <c r="X164" s="163">
        <f t="shared" si="112"/>
        <v>0.99999999999999989</v>
      </c>
      <c r="Y164" s="54">
        <f t="shared" si="106"/>
        <v>0.16445867760646846</v>
      </c>
      <c r="Z164" s="54">
        <f t="shared" si="107"/>
        <v>1.5035859820469819E-2</v>
      </c>
      <c r="AA164" s="113"/>
    </row>
    <row r="165" spans="1:27" x14ac:dyDescent="0.2">
      <c r="A165" s="20">
        <f t="shared" si="113"/>
        <v>1</v>
      </c>
      <c r="B165" s="23">
        <f t="shared" si="114"/>
        <v>0</v>
      </c>
      <c r="C165" s="12">
        <f t="shared" si="115"/>
        <v>0</v>
      </c>
      <c r="D165" s="12">
        <f t="shared" si="116"/>
        <v>1198.51644454703</v>
      </c>
      <c r="E165" s="23">
        <f t="shared" si="108"/>
        <v>7.6706783709022466E-2</v>
      </c>
      <c r="F165" s="23">
        <f t="shared" si="117"/>
        <v>135.72815765020098</v>
      </c>
      <c r="G165" s="95">
        <f t="shared" si="109"/>
        <v>0.60608502484345661</v>
      </c>
      <c r="H165" s="95">
        <f t="shared" si="110"/>
        <v>0.25085166840484785</v>
      </c>
      <c r="I165" s="95">
        <f t="shared" si="111"/>
        <v>1.5639805646666151E-2</v>
      </c>
      <c r="J165" s="12">
        <f t="shared" si="118"/>
        <v>0</v>
      </c>
      <c r="K165" s="12">
        <f t="shared" ref="K165:K196" si="119">SUM(C165:J165)</f>
        <v>1335.193885479835</v>
      </c>
      <c r="L165" s="54">
        <f t="shared" ref="L165:L199" si="120">+E165/$K165*P_t</f>
        <v>5.7449921350902519E-5</v>
      </c>
      <c r="M165" s="10">
        <f t="shared" ref="M165:M199" si="121">+F165/$K165*P_t</f>
        <v>0.1016542684371444</v>
      </c>
      <c r="N165" s="10">
        <f t="shared" ref="N165:N199" si="122">+G165/$K165*P_t</f>
        <v>4.5393034782034291E-4</v>
      </c>
      <c r="O165" s="10">
        <f t="shared" ref="O165:O199" si="123">+H165/$K165*P_t</f>
        <v>1.8787658566508345E-4</v>
      </c>
      <c r="P165" s="10">
        <f t="shared" ref="P165:P199" si="124">+I165/$K165*P_t</f>
        <v>1.1713509039210136E-5</v>
      </c>
      <c r="Q165" s="54">
        <f t="shared" ref="Q165:Q196" si="125">1/(1+K1_*L165+K2_*M165+SQRT(K2_*K3_*M165)+1/K6_*N165+K7_*O165+P165/K10_)</f>
        <v>1.7326523290198868E-2</v>
      </c>
      <c r="R165" s="10">
        <f t="shared" ref="R165:R196" si="126">K1_*L165*Q165</f>
        <v>1.3432468098568184E-4</v>
      </c>
      <c r="S165" s="10">
        <f t="shared" ref="S165:S199" si="127">K7_*O165*Q165</f>
        <v>4.9123048216836562E-4</v>
      </c>
      <c r="T165" s="10">
        <f t="shared" ref="T165:T199" si="128">K2_*M165*Q165</f>
        <v>0.29737582175547256</v>
      </c>
      <c r="U165" s="10">
        <f t="shared" ref="U165:U199" si="129">SQRT(K2_*K3_*M165)*Q165</f>
        <v>0.68467201111289944</v>
      </c>
      <c r="V165" s="10">
        <f t="shared" ref="V165:V199" si="130">N165/K6_*Q165</f>
        <v>8.6447527828723614E-8</v>
      </c>
      <c r="W165" s="10">
        <f t="shared" ref="W165:W199" si="131">P165/K10_*Q165</f>
        <v>2.2307473018743689E-9</v>
      </c>
      <c r="X165" s="163">
        <f t="shared" si="112"/>
        <v>0.99999999999999989</v>
      </c>
      <c r="Y165" s="54">
        <f t="shared" ref="Y165:Y199" si="132">(k4f*K1_*SQRT(K2_*K3_*M165)*L165+k5f*K1_*K2_*L165*M165-k4r/K6_*N165-k5r/K6_*SQRT(K2_*K3_*M165)*N165)*Q165*Q165</f>
        <v>0.16445867760646846</v>
      </c>
      <c r="Z165" s="54">
        <f t="shared" ref="Z165:Z199" si="133">(k8f*K7_*SQRT(K2_*K3_*M165)*O165+k9f*K7_*K2_*O165*M165-k8r/K10_*P165-k9r/K10_*SQRT(K2_*K3_*M165)*P165)*Q165*Q165</f>
        <v>1.5035859820469819E-2</v>
      </c>
      <c r="AA165" s="113"/>
    </row>
    <row r="166" spans="1:27" x14ac:dyDescent="0.2">
      <c r="A166" s="20">
        <f t="shared" si="113"/>
        <v>1</v>
      </c>
      <c r="B166" s="23">
        <f t="shared" si="114"/>
        <v>0</v>
      </c>
      <c r="C166" s="12">
        <f t="shared" si="115"/>
        <v>0</v>
      </c>
      <c r="D166" s="12">
        <f t="shared" si="116"/>
        <v>1198.51644454703</v>
      </c>
      <c r="E166" s="23">
        <f t="shared" ref="E166:E199" si="134">+E165-$B165*$Y165</f>
        <v>7.6706783709022466E-2</v>
      </c>
      <c r="F166" s="23">
        <f t="shared" si="117"/>
        <v>135.72815765020098</v>
      </c>
      <c r="G166" s="95">
        <f t="shared" ref="G166:G199" si="135">+G165+$B165*$Y165</f>
        <v>0.60608502484345661</v>
      </c>
      <c r="H166" s="95">
        <f t="shared" ref="H166:H199" si="136">+H165-$B165*$Z165</f>
        <v>0.25085166840484785</v>
      </c>
      <c r="I166" s="95">
        <f t="shared" ref="I166:I199" si="137">+I165+$B165*$Z165</f>
        <v>1.5639805646666151E-2</v>
      </c>
      <c r="J166" s="12">
        <f t="shared" si="118"/>
        <v>0</v>
      </c>
      <c r="K166" s="12">
        <f t="shared" si="119"/>
        <v>1335.193885479835</v>
      </c>
      <c r="L166" s="54">
        <f t="shared" si="120"/>
        <v>5.7449921350902519E-5</v>
      </c>
      <c r="M166" s="10">
        <f t="shared" si="121"/>
        <v>0.1016542684371444</v>
      </c>
      <c r="N166" s="10">
        <f t="shared" si="122"/>
        <v>4.5393034782034291E-4</v>
      </c>
      <c r="O166" s="10">
        <f t="shared" si="123"/>
        <v>1.8787658566508345E-4</v>
      </c>
      <c r="P166" s="10">
        <f t="shared" si="124"/>
        <v>1.1713509039210136E-5</v>
      </c>
      <c r="Q166" s="54">
        <f t="shared" si="125"/>
        <v>1.7326523290198868E-2</v>
      </c>
      <c r="R166" s="10">
        <f t="shared" si="126"/>
        <v>1.3432468098568184E-4</v>
      </c>
      <c r="S166" s="10">
        <f t="shared" si="127"/>
        <v>4.9123048216836562E-4</v>
      </c>
      <c r="T166" s="10">
        <f t="shared" si="128"/>
        <v>0.29737582175547256</v>
      </c>
      <c r="U166" s="10">
        <f t="shared" si="129"/>
        <v>0.68467201111289944</v>
      </c>
      <c r="V166" s="10">
        <f t="shared" si="130"/>
        <v>8.6447527828723614E-8</v>
      </c>
      <c r="W166" s="10">
        <f t="shared" si="131"/>
        <v>2.2307473018743689E-9</v>
      </c>
      <c r="X166" s="163">
        <f t="shared" si="112"/>
        <v>0.99999999999999989</v>
      </c>
      <c r="Y166" s="54">
        <f t="shared" si="132"/>
        <v>0.16445867760646846</v>
      </c>
      <c r="Z166" s="54">
        <f t="shared" si="133"/>
        <v>1.5035859820469819E-2</v>
      </c>
      <c r="AA166" s="113"/>
    </row>
    <row r="167" spans="1:27" x14ac:dyDescent="0.2">
      <c r="A167" s="20">
        <f t="shared" si="113"/>
        <v>1</v>
      </c>
      <c r="B167" s="23">
        <f t="shared" si="114"/>
        <v>0</v>
      </c>
      <c r="C167" s="12">
        <f t="shared" si="115"/>
        <v>0</v>
      </c>
      <c r="D167" s="12">
        <f t="shared" si="116"/>
        <v>1198.51644454703</v>
      </c>
      <c r="E167" s="23">
        <f t="shared" si="134"/>
        <v>7.6706783709022466E-2</v>
      </c>
      <c r="F167" s="23">
        <f t="shared" si="117"/>
        <v>135.72815765020098</v>
      </c>
      <c r="G167" s="95">
        <f t="shared" si="135"/>
        <v>0.60608502484345661</v>
      </c>
      <c r="H167" s="95">
        <f t="shared" si="136"/>
        <v>0.25085166840484785</v>
      </c>
      <c r="I167" s="95">
        <f t="shared" si="137"/>
        <v>1.5639805646666151E-2</v>
      </c>
      <c r="J167" s="12">
        <f t="shared" si="118"/>
        <v>0</v>
      </c>
      <c r="K167" s="12">
        <f t="shared" si="119"/>
        <v>1335.193885479835</v>
      </c>
      <c r="L167" s="54">
        <f t="shared" si="120"/>
        <v>5.7449921350902519E-5</v>
      </c>
      <c r="M167" s="10">
        <f t="shared" si="121"/>
        <v>0.1016542684371444</v>
      </c>
      <c r="N167" s="10">
        <f t="shared" si="122"/>
        <v>4.5393034782034291E-4</v>
      </c>
      <c r="O167" s="10">
        <f t="shared" si="123"/>
        <v>1.8787658566508345E-4</v>
      </c>
      <c r="P167" s="10">
        <f t="shared" si="124"/>
        <v>1.1713509039210136E-5</v>
      </c>
      <c r="Q167" s="54">
        <f t="shared" si="125"/>
        <v>1.7326523290198868E-2</v>
      </c>
      <c r="R167" s="10">
        <f t="shared" si="126"/>
        <v>1.3432468098568184E-4</v>
      </c>
      <c r="S167" s="10">
        <f t="shared" si="127"/>
        <v>4.9123048216836562E-4</v>
      </c>
      <c r="T167" s="10">
        <f t="shared" si="128"/>
        <v>0.29737582175547256</v>
      </c>
      <c r="U167" s="10">
        <f t="shared" si="129"/>
        <v>0.68467201111289944</v>
      </c>
      <c r="V167" s="10">
        <f t="shared" si="130"/>
        <v>8.6447527828723614E-8</v>
      </c>
      <c r="W167" s="10">
        <f t="shared" si="131"/>
        <v>2.2307473018743689E-9</v>
      </c>
      <c r="X167" s="163">
        <f t="shared" si="112"/>
        <v>0.99999999999999989</v>
      </c>
      <c r="Y167" s="54">
        <f t="shared" si="132"/>
        <v>0.16445867760646846</v>
      </c>
      <c r="Z167" s="54">
        <f t="shared" si="133"/>
        <v>1.5035859820469819E-2</v>
      </c>
      <c r="AA167" s="113"/>
    </row>
    <row r="168" spans="1:27" x14ac:dyDescent="0.2">
      <c r="A168" s="20">
        <f t="shared" si="113"/>
        <v>1</v>
      </c>
      <c r="B168" s="23">
        <f t="shared" si="114"/>
        <v>0</v>
      </c>
      <c r="C168" s="12">
        <f t="shared" si="115"/>
        <v>0</v>
      </c>
      <c r="D168" s="12">
        <f t="shared" si="116"/>
        <v>1198.51644454703</v>
      </c>
      <c r="E168" s="23">
        <f t="shared" si="134"/>
        <v>7.6706783709022466E-2</v>
      </c>
      <c r="F168" s="23">
        <f t="shared" si="117"/>
        <v>135.72815765020098</v>
      </c>
      <c r="G168" s="95">
        <f t="shared" si="135"/>
        <v>0.60608502484345661</v>
      </c>
      <c r="H168" s="95">
        <f t="shared" si="136"/>
        <v>0.25085166840484785</v>
      </c>
      <c r="I168" s="95">
        <f t="shared" si="137"/>
        <v>1.5639805646666151E-2</v>
      </c>
      <c r="J168" s="12">
        <f t="shared" si="118"/>
        <v>0</v>
      </c>
      <c r="K168" s="12">
        <f t="shared" si="119"/>
        <v>1335.193885479835</v>
      </c>
      <c r="L168" s="54">
        <f t="shared" si="120"/>
        <v>5.7449921350902519E-5</v>
      </c>
      <c r="M168" s="10">
        <f t="shared" si="121"/>
        <v>0.1016542684371444</v>
      </c>
      <c r="N168" s="10">
        <f t="shared" si="122"/>
        <v>4.5393034782034291E-4</v>
      </c>
      <c r="O168" s="10">
        <f t="shared" si="123"/>
        <v>1.8787658566508345E-4</v>
      </c>
      <c r="P168" s="10">
        <f t="shared" si="124"/>
        <v>1.1713509039210136E-5</v>
      </c>
      <c r="Q168" s="54">
        <f t="shared" si="125"/>
        <v>1.7326523290198868E-2</v>
      </c>
      <c r="R168" s="10">
        <f t="shared" si="126"/>
        <v>1.3432468098568184E-4</v>
      </c>
      <c r="S168" s="10">
        <f t="shared" si="127"/>
        <v>4.9123048216836562E-4</v>
      </c>
      <c r="T168" s="10">
        <f t="shared" si="128"/>
        <v>0.29737582175547256</v>
      </c>
      <c r="U168" s="10">
        <f t="shared" si="129"/>
        <v>0.68467201111289944</v>
      </c>
      <c r="V168" s="10">
        <f t="shared" si="130"/>
        <v>8.6447527828723614E-8</v>
      </c>
      <c r="W168" s="10">
        <f t="shared" si="131"/>
        <v>2.2307473018743689E-9</v>
      </c>
      <c r="X168" s="163">
        <f t="shared" si="112"/>
        <v>0.99999999999999989</v>
      </c>
      <c r="Y168" s="54">
        <f t="shared" si="132"/>
        <v>0.16445867760646846</v>
      </c>
      <c r="Z168" s="54">
        <f t="shared" si="133"/>
        <v>1.5035859820469819E-2</v>
      </c>
      <c r="AA168" s="113"/>
    </row>
    <row r="169" spans="1:27" x14ac:dyDescent="0.2">
      <c r="A169" s="20">
        <f t="shared" si="113"/>
        <v>1</v>
      </c>
      <c r="B169" s="23">
        <f t="shared" si="114"/>
        <v>0</v>
      </c>
      <c r="C169" s="12">
        <f t="shared" si="115"/>
        <v>0</v>
      </c>
      <c r="D169" s="12">
        <f t="shared" si="116"/>
        <v>1198.51644454703</v>
      </c>
      <c r="E169" s="23">
        <f t="shared" si="134"/>
        <v>7.6706783709022466E-2</v>
      </c>
      <c r="F169" s="23">
        <f t="shared" si="117"/>
        <v>135.72815765020098</v>
      </c>
      <c r="G169" s="95">
        <f t="shared" si="135"/>
        <v>0.60608502484345661</v>
      </c>
      <c r="H169" s="95">
        <f t="shared" si="136"/>
        <v>0.25085166840484785</v>
      </c>
      <c r="I169" s="95">
        <f t="shared" si="137"/>
        <v>1.5639805646666151E-2</v>
      </c>
      <c r="J169" s="12">
        <f t="shared" si="118"/>
        <v>0</v>
      </c>
      <c r="K169" s="12">
        <f t="shared" si="119"/>
        <v>1335.193885479835</v>
      </c>
      <c r="L169" s="54">
        <f t="shared" si="120"/>
        <v>5.7449921350902519E-5</v>
      </c>
      <c r="M169" s="10">
        <f t="shared" si="121"/>
        <v>0.1016542684371444</v>
      </c>
      <c r="N169" s="10">
        <f t="shared" si="122"/>
        <v>4.5393034782034291E-4</v>
      </c>
      <c r="O169" s="10">
        <f t="shared" si="123"/>
        <v>1.8787658566508345E-4</v>
      </c>
      <c r="P169" s="10">
        <f t="shared" si="124"/>
        <v>1.1713509039210136E-5</v>
      </c>
      <c r="Q169" s="54">
        <f t="shared" si="125"/>
        <v>1.7326523290198868E-2</v>
      </c>
      <c r="R169" s="10">
        <f t="shared" si="126"/>
        <v>1.3432468098568184E-4</v>
      </c>
      <c r="S169" s="10">
        <f t="shared" si="127"/>
        <v>4.9123048216836562E-4</v>
      </c>
      <c r="T169" s="10">
        <f t="shared" si="128"/>
        <v>0.29737582175547256</v>
      </c>
      <c r="U169" s="10">
        <f t="shared" si="129"/>
        <v>0.68467201111289944</v>
      </c>
      <c r="V169" s="10">
        <f t="shared" si="130"/>
        <v>8.6447527828723614E-8</v>
      </c>
      <c r="W169" s="10">
        <f t="shared" si="131"/>
        <v>2.2307473018743689E-9</v>
      </c>
      <c r="X169" s="163">
        <f t="shared" si="112"/>
        <v>0.99999999999999989</v>
      </c>
      <c r="Y169" s="54">
        <f t="shared" si="132"/>
        <v>0.16445867760646846</v>
      </c>
      <c r="Z169" s="54">
        <f t="shared" si="133"/>
        <v>1.5035859820469819E-2</v>
      </c>
      <c r="AA169" s="113"/>
    </row>
    <row r="170" spans="1:27" x14ac:dyDescent="0.2">
      <c r="A170" s="20">
        <f t="shared" si="113"/>
        <v>1</v>
      </c>
      <c r="B170" s="23">
        <f t="shared" si="114"/>
        <v>0</v>
      </c>
      <c r="C170" s="12">
        <f t="shared" si="115"/>
        <v>0</v>
      </c>
      <c r="D170" s="12">
        <f t="shared" si="116"/>
        <v>1198.51644454703</v>
      </c>
      <c r="E170" s="23">
        <f t="shared" si="134"/>
        <v>7.6706783709022466E-2</v>
      </c>
      <c r="F170" s="23">
        <f t="shared" si="117"/>
        <v>135.72815765020098</v>
      </c>
      <c r="G170" s="95">
        <f t="shared" si="135"/>
        <v>0.60608502484345661</v>
      </c>
      <c r="H170" s="95">
        <f t="shared" si="136"/>
        <v>0.25085166840484785</v>
      </c>
      <c r="I170" s="95">
        <f t="shared" si="137"/>
        <v>1.5639805646666151E-2</v>
      </c>
      <c r="J170" s="12">
        <f t="shared" si="118"/>
        <v>0</v>
      </c>
      <c r="K170" s="12">
        <f t="shared" si="119"/>
        <v>1335.193885479835</v>
      </c>
      <c r="L170" s="54">
        <f t="shared" si="120"/>
        <v>5.7449921350902519E-5</v>
      </c>
      <c r="M170" s="10">
        <f t="shared" si="121"/>
        <v>0.1016542684371444</v>
      </c>
      <c r="N170" s="10">
        <f t="shared" si="122"/>
        <v>4.5393034782034291E-4</v>
      </c>
      <c r="O170" s="10">
        <f t="shared" si="123"/>
        <v>1.8787658566508345E-4</v>
      </c>
      <c r="P170" s="10">
        <f t="shared" si="124"/>
        <v>1.1713509039210136E-5</v>
      </c>
      <c r="Q170" s="54">
        <f t="shared" si="125"/>
        <v>1.7326523290198868E-2</v>
      </c>
      <c r="R170" s="10">
        <f t="shared" si="126"/>
        <v>1.3432468098568184E-4</v>
      </c>
      <c r="S170" s="10">
        <f t="shared" si="127"/>
        <v>4.9123048216836562E-4</v>
      </c>
      <c r="T170" s="10">
        <f t="shared" si="128"/>
        <v>0.29737582175547256</v>
      </c>
      <c r="U170" s="10">
        <f t="shared" si="129"/>
        <v>0.68467201111289944</v>
      </c>
      <c r="V170" s="10">
        <f t="shared" si="130"/>
        <v>8.6447527828723614E-8</v>
      </c>
      <c r="W170" s="10">
        <f t="shared" si="131"/>
        <v>2.2307473018743689E-9</v>
      </c>
      <c r="X170" s="163">
        <f t="shared" si="112"/>
        <v>0.99999999999999989</v>
      </c>
      <c r="Y170" s="54">
        <f t="shared" si="132"/>
        <v>0.16445867760646846</v>
      </c>
      <c r="Z170" s="54">
        <f t="shared" si="133"/>
        <v>1.5035859820469819E-2</v>
      </c>
      <c r="AA170" s="113"/>
    </row>
    <row r="171" spans="1:27" x14ac:dyDescent="0.2">
      <c r="A171" s="20">
        <f t="shared" si="113"/>
        <v>1</v>
      </c>
      <c r="B171" s="23">
        <f t="shared" si="114"/>
        <v>0</v>
      </c>
      <c r="C171" s="12">
        <f t="shared" si="115"/>
        <v>0</v>
      </c>
      <c r="D171" s="12">
        <f t="shared" si="116"/>
        <v>1198.51644454703</v>
      </c>
      <c r="E171" s="23">
        <f t="shared" si="134"/>
        <v>7.6706783709022466E-2</v>
      </c>
      <c r="F171" s="23">
        <f t="shared" si="117"/>
        <v>135.72815765020098</v>
      </c>
      <c r="G171" s="95">
        <f t="shared" si="135"/>
        <v>0.60608502484345661</v>
      </c>
      <c r="H171" s="95">
        <f t="shared" si="136"/>
        <v>0.25085166840484785</v>
      </c>
      <c r="I171" s="95">
        <f t="shared" si="137"/>
        <v>1.5639805646666151E-2</v>
      </c>
      <c r="J171" s="12">
        <f t="shared" si="118"/>
        <v>0</v>
      </c>
      <c r="K171" s="12">
        <f t="shared" si="119"/>
        <v>1335.193885479835</v>
      </c>
      <c r="L171" s="54">
        <f t="shared" si="120"/>
        <v>5.7449921350902519E-5</v>
      </c>
      <c r="M171" s="10">
        <f t="shared" si="121"/>
        <v>0.1016542684371444</v>
      </c>
      <c r="N171" s="10">
        <f t="shared" si="122"/>
        <v>4.5393034782034291E-4</v>
      </c>
      <c r="O171" s="10">
        <f t="shared" si="123"/>
        <v>1.8787658566508345E-4</v>
      </c>
      <c r="P171" s="10">
        <f t="shared" si="124"/>
        <v>1.1713509039210136E-5</v>
      </c>
      <c r="Q171" s="54">
        <f t="shared" si="125"/>
        <v>1.7326523290198868E-2</v>
      </c>
      <c r="R171" s="10">
        <f t="shared" si="126"/>
        <v>1.3432468098568184E-4</v>
      </c>
      <c r="S171" s="10">
        <f t="shared" si="127"/>
        <v>4.9123048216836562E-4</v>
      </c>
      <c r="T171" s="10">
        <f t="shared" si="128"/>
        <v>0.29737582175547256</v>
      </c>
      <c r="U171" s="10">
        <f t="shared" si="129"/>
        <v>0.68467201111289944</v>
      </c>
      <c r="V171" s="10">
        <f t="shared" si="130"/>
        <v>8.6447527828723614E-8</v>
      </c>
      <c r="W171" s="10">
        <f t="shared" si="131"/>
        <v>2.2307473018743689E-9</v>
      </c>
      <c r="X171" s="163">
        <f t="shared" si="112"/>
        <v>0.99999999999999989</v>
      </c>
      <c r="Y171" s="54">
        <f t="shared" si="132"/>
        <v>0.16445867760646846</v>
      </c>
      <c r="Z171" s="54">
        <f t="shared" si="133"/>
        <v>1.5035859820469819E-2</v>
      </c>
      <c r="AA171" s="113"/>
    </row>
    <row r="172" spans="1:27" x14ac:dyDescent="0.2">
      <c r="A172" s="20">
        <f t="shared" si="113"/>
        <v>1</v>
      </c>
      <c r="B172" s="23">
        <f t="shared" si="114"/>
        <v>0</v>
      </c>
      <c r="C172" s="12">
        <f t="shared" si="115"/>
        <v>0</v>
      </c>
      <c r="D172" s="12">
        <f t="shared" si="116"/>
        <v>1198.51644454703</v>
      </c>
      <c r="E172" s="23">
        <f t="shared" si="134"/>
        <v>7.6706783709022466E-2</v>
      </c>
      <c r="F172" s="23">
        <f t="shared" si="117"/>
        <v>135.72815765020098</v>
      </c>
      <c r="G172" s="95">
        <f t="shared" si="135"/>
        <v>0.60608502484345661</v>
      </c>
      <c r="H172" s="95">
        <f t="shared" si="136"/>
        <v>0.25085166840484785</v>
      </c>
      <c r="I172" s="95">
        <f t="shared" si="137"/>
        <v>1.5639805646666151E-2</v>
      </c>
      <c r="J172" s="12">
        <f t="shared" si="118"/>
        <v>0</v>
      </c>
      <c r="K172" s="12">
        <f t="shared" si="119"/>
        <v>1335.193885479835</v>
      </c>
      <c r="L172" s="54">
        <f t="shared" si="120"/>
        <v>5.7449921350902519E-5</v>
      </c>
      <c r="M172" s="10">
        <f t="shared" si="121"/>
        <v>0.1016542684371444</v>
      </c>
      <c r="N172" s="10">
        <f t="shared" si="122"/>
        <v>4.5393034782034291E-4</v>
      </c>
      <c r="O172" s="10">
        <f t="shared" si="123"/>
        <v>1.8787658566508345E-4</v>
      </c>
      <c r="P172" s="10">
        <f t="shared" si="124"/>
        <v>1.1713509039210136E-5</v>
      </c>
      <c r="Q172" s="54">
        <f t="shared" si="125"/>
        <v>1.7326523290198868E-2</v>
      </c>
      <c r="R172" s="10">
        <f t="shared" si="126"/>
        <v>1.3432468098568184E-4</v>
      </c>
      <c r="S172" s="10">
        <f t="shared" si="127"/>
        <v>4.9123048216836562E-4</v>
      </c>
      <c r="T172" s="10">
        <f t="shared" si="128"/>
        <v>0.29737582175547256</v>
      </c>
      <c r="U172" s="10">
        <f t="shared" si="129"/>
        <v>0.68467201111289944</v>
      </c>
      <c r="V172" s="10">
        <f t="shared" si="130"/>
        <v>8.6447527828723614E-8</v>
      </c>
      <c r="W172" s="10">
        <f t="shared" si="131"/>
        <v>2.2307473018743689E-9</v>
      </c>
      <c r="X172" s="163">
        <f t="shared" si="112"/>
        <v>0.99999999999999989</v>
      </c>
      <c r="Y172" s="54">
        <f t="shared" si="132"/>
        <v>0.16445867760646846</v>
      </c>
      <c r="Z172" s="54">
        <f t="shared" si="133"/>
        <v>1.5035859820469819E-2</v>
      </c>
      <c r="AA172" s="113"/>
    </row>
    <row r="173" spans="1:27" x14ac:dyDescent="0.2">
      <c r="A173" s="20">
        <f t="shared" si="113"/>
        <v>1</v>
      </c>
      <c r="B173" s="23">
        <f t="shared" si="114"/>
        <v>0</v>
      </c>
      <c r="C173" s="12">
        <f t="shared" si="115"/>
        <v>0</v>
      </c>
      <c r="D173" s="12">
        <f t="shared" si="116"/>
        <v>1198.51644454703</v>
      </c>
      <c r="E173" s="23">
        <f t="shared" si="134"/>
        <v>7.6706783709022466E-2</v>
      </c>
      <c r="F173" s="23">
        <f t="shared" si="117"/>
        <v>135.72815765020098</v>
      </c>
      <c r="G173" s="95">
        <f t="shared" si="135"/>
        <v>0.60608502484345661</v>
      </c>
      <c r="H173" s="95">
        <f t="shared" si="136"/>
        <v>0.25085166840484785</v>
      </c>
      <c r="I173" s="95">
        <f t="shared" si="137"/>
        <v>1.5639805646666151E-2</v>
      </c>
      <c r="J173" s="12">
        <f t="shared" si="118"/>
        <v>0</v>
      </c>
      <c r="K173" s="12">
        <f t="shared" si="119"/>
        <v>1335.193885479835</v>
      </c>
      <c r="L173" s="54">
        <f t="shared" si="120"/>
        <v>5.7449921350902519E-5</v>
      </c>
      <c r="M173" s="10">
        <f t="shared" si="121"/>
        <v>0.1016542684371444</v>
      </c>
      <c r="N173" s="10">
        <f t="shared" si="122"/>
        <v>4.5393034782034291E-4</v>
      </c>
      <c r="O173" s="10">
        <f t="shared" si="123"/>
        <v>1.8787658566508345E-4</v>
      </c>
      <c r="P173" s="10">
        <f t="shared" si="124"/>
        <v>1.1713509039210136E-5</v>
      </c>
      <c r="Q173" s="54">
        <f t="shared" si="125"/>
        <v>1.7326523290198868E-2</v>
      </c>
      <c r="R173" s="10">
        <f t="shared" si="126"/>
        <v>1.3432468098568184E-4</v>
      </c>
      <c r="S173" s="10">
        <f t="shared" si="127"/>
        <v>4.9123048216836562E-4</v>
      </c>
      <c r="T173" s="10">
        <f t="shared" si="128"/>
        <v>0.29737582175547256</v>
      </c>
      <c r="U173" s="10">
        <f t="shared" si="129"/>
        <v>0.68467201111289944</v>
      </c>
      <c r="V173" s="10">
        <f t="shared" si="130"/>
        <v>8.6447527828723614E-8</v>
      </c>
      <c r="W173" s="10">
        <f t="shared" si="131"/>
        <v>2.2307473018743689E-9</v>
      </c>
      <c r="X173" s="163">
        <f t="shared" si="112"/>
        <v>0.99999999999999989</v>
      </c>
      <c r="Y173" s="54">
        <f t="shared" si="132"/>
        <v>0.16445867760646846</v>
      </c>
      <c r="Z173" s="54">
        <f t="shared" si="133"/>
        <v>1.5035859820469819E-2</v>
      </c>
      <c r="AA173" s="113"/>
    </row>
    <row r="174" spans="1:27" x14ac:dyDescent="0.2">
      <c r="A174" s="20">
        <f t="shared" si="113"/>
        <v>1</v>
      </c>
      <c r="B174" s="23">
        <f t="shared" si="114"/>
        <v>0</v>
      </c>
      <c r="C174" s="12">
        <f t="shared" si="115"/>
        <v>0</v>
      </c>
      <c r="D174" s="12">
        <f t="shared" si="116"/>
        <v>1198.51644454703</v>
      </c>
      <c r="E174" s="23">
        <f t="shared" si="134"/>
        <v>7.6706783709022466E-2</v>
      </c>
      <c r="F174" s="23">
        <f t="shared" si="117"/>
        <v>135.72815765020098</v>
      </c>
      <c r="G174" s="95">
        <f t="shared" si="135"/>
        <v>0.60608502484345661</v>
      </c>
      <c r="H174" s="95">
        <f t="shared" si="136"/>
        <v>0.25085166840484785</v>
      </c>
      <c r="I174" s="95">
        <f t="shared" si="137"/>
        <v>1.5639805646666151E-2</v>
      </c>
      <c r="J174" s="12">
        <f t="shared" si="118"/>
        <v>0</v>
      </c>
      <c r="K174" s="12">
        <f t="shared" si="119"/>
        <v>1335.193885479835</v>
      </c>
      <c r="L174" s="54">
        <f t="shared" si="120"/>
        <v>5.7449921350902519E-5</v>
      </c>
      <c r="M174" s="10">
        <f t="shared" si="121"/>
        <v>0.1016542684371444</v>
      </c>
      <c r="N174" s="10">
        <f t="shared" si="122"/>
        <v>4.5393034782034291E-4</v>
      </c>
      <c r="O174" s="10">
        <f t="shared" si="123"/>
        <v>1.8787658566508345E-4</v>
      </c>
      <c r="P174" s="10">
        <f t="shared" si="124"/>
        <v>1.1713509039210136E-5</v>
      </c>
      <c r="Q174" s="54">
        <f t="shared" si="125"/>
        <v>1.7326523290198868E-2</v>
      </c>
      <c r="R174" s="10">
        <f t="shared" si="126"/>
        <v>1.3432468098568184E-4</v>
      </c>
      <c r="S174" s="10">
        <f t="shared" si="127"/>
        <v>4.9123048216836562E-4</v>
      </c>
      <c r="T174" s="10">
        <f t="shared" si="128"/>
        <v>0.29737582175547256</v>
      </c>
      <c r="U174" s="10">
        <f t="shared" si="129"/>
        <v>0.68467201111289944</v>
      </c>
      <c r="V174" s="10">
        <f t="shared" si="130"/>
        <v>8.6447527828723614E-8</v>
      </c>
      <c r="W174" s="10">
        <f t="shared" si="131"/>
        <v>2.2307473018743689E-9</v>
      </c>
      <c r="X174" s="163">
        <f t="shared" si="112"/>
        <v>0.99999999999999989</v>
      </c>
      <c r="Y174" s="54">
        <f t="shared" si="132"/>
        <v>0.16445867760646846</v>
      </c>
      <c r="Z174" s="54">
        <f t="shared" si="133"/>
        <v>1.5035859820469819E-2</v>
      </c>
      <c r="AA174" s="113"/>
    </row>
    <row r="175" spans="1:27" x14ac:dyDescent="0.2">
      <c r="A175" s="20">
        <f t="shared" si="113"/>
        <v>1</v>
      </c>
      <c r="B175" s="23">
        <f t="shared" si="114"/>
        <v>0</v>
      </c>
      <c r="C175" s="12">
        <f t="shared" si="115"/>
        <v>0</v>
      </c>
      <c r="D175" s="12">
        <f t="shared" si="116"/>
        <v>1198.51644454703</v>
      </c>
      <c r="E175" s="23">
        <f t="shared" si="134"/>
        <v>7.6706783709022466E-2</v>
      </c>
      <c r="F175" s="23">
        <f t="shared" si="117"/>
        <v>135.72815765020098</v>
      </c>
      <c r="G175" s="95">
        <f t="shared" si="135"/>
        <v>0.60608502484345661</v>
      </c>
      <c r="H175" s="95">
        <f t="shared" si="136"/>
        <v>0.25085166840484785</v>
      </c>
      <c r="I175" s="95">
        <f t="shared" si="137"/>
        <v>1.5639805646666151E-2</v>
      </c>
      <c r="J175" s="12">
        <f t="shared" si="118"/>
        <v>0</v>
      </c>
      <c r="K175" s="12">
        <f t="shared" si="119"/>
        <v>1335.193885479835</v>
      </c>
      <c r="L175" s="54">
        <f t="shared" si="120"/>
        <v>5.7449921350902519E-5</v>
      </c>
      <c r="M175" s="10">
        <f t="shared" si="121"/>
        <v>0.1016542684371444</v>
      </c>
      <c r="N175" s="10">
        <f t="shared" si="122"/>
        <v>4.5393034782034291E-4</v>
      </c>
      <c r="O175" s="10">
        <f t="shared" si="123"/>
        <v>1.8787658566508345E-4</v>
      </c>
      <c r="P175" s="10">
        <f t="shared" si="124"/>
        <v>1.1713509039210136E-5</v>
      </c>
      <c r="Q175" s="54">
        <f t="shared" si="125"/>
        <v>1.7326523290198868E-2</v>
      </c>
      <c r="R175" s="10">
        <f t="shared" si="126"/>
        <v>1.3432468098568184E-4</v>
      </c>
      <c r="S175" s="10">
        <f t="shared" si="127"/>
        <v>4.9123048216836562E-4</v>
      </c>
      <c r="T175" s="10">
        <f t="shared" si="128"/>
        <v>0.29737582175547256</v>
      </c>
      <c r="U175" s="10">
        <f t="shared" si="129"/>
        <v>0.68467201111289944</v>
      </c>
      <c r="V175" s="10">
        <f t="shared" si="130"/>
        <v>8.6447527828723614E-8</v>
      </c>
      <c r="W175" s="10">
        <f t="shared" si="131"/>
        <v>2.2307473018743689E-9</v>
      </c>
      <c r="X175" s="163">
        <f t="shared" si="112"/>
        <v>0.99999999999999989</v>
      </c>
      <c r="Y175" s="54">
        <f t="shared" si="132"/>
        <v>0.16445867760646846</v>
      </c>
      <c r="Z175" s="54">
        <f t="shared" si="133"/>
        <v>1.5035859820469819E-2</v>
      </c>
      <c r="AA175" s="113"/>
    </row>
    <row r="176" spans="1:27" x14ac:dyDescent="0.2">
      <c r="A176" s="20">
        <f t="shared" si="113"/>
        <v>1</v>
      </c>
      <c r="B176" s="23">
        <f t="shared" si="114"/>
        <v>0</v>
      </c>
      <c r="C176" s="12">
        <f t="shared" si="115"/>
        <v>0</v>
      </c>
      <c r="D176" s="12">
        <f t="shared" si="116"/>
        <v>1198.51644454703</v>
      </c>
      <c r="E176" s="23">
        <f t="shared" si="134"/>
        <v>7.6706783709022466E-2</v>
      </c>
      <c r="F176" s="23">
        <f t="shared" si="117"/>
        <v>135.72815765020098</v>
      </c>
      <c r="G176" s="95">
        <f t="shared" si="135"/>
        <v>0.60608502484345661</v>
      </c>
      <c r="H176" s="95">
        <f t="shared" si="136"/>
        <v>0.25085166840484785</v>
      </c>
      <c r="I176" s="95">
        <f t="shared" si="137"/>
        <v>1.5639805646666151E-2</v>
      </c>
      <c r="J176" s="12">
        <f t="shared" si="118"/>
        <v>0</v>
      </c>
      <c r="K176" s="12">
        <f t="shared" si="119"/>
        <v>1335.193885479835</v>
      </c>
      <c r="L176" s="54">
        <f t="shared" si="120"/>
        <v>5.7449921350902519E-5</v>
      </c>
      <c r="M176" s="10">
        <f t="shared" si="121"/>
        <v>0.1016542684371444</v>
      </c>
      <c r="N176" s="10">
        <f t="shared" si="122"/>
        <v>4.5393034782034291E-4</v>
      </c>
      <c r="O176" s="10">
        <f t="shared" si="123"/>
        <v>1.8787658566508345E-4</v>
      </c>
      <c r="P176" s="10">
        <f t="shared" si="124"/>
        <v>1.1713509039210136E-5</v>
      </c>
      <c r="Q176" s="54">
        <f t="shared" si="125"/>
        <v>1.7326523290198868E-2</v>
      </c>
      <c r="R176" s="10">
        <f t="shared" si="126"/>
        <v>1.3432468098568184E-4</v>
      </c>
      <c r="S176" s="10">
        <f t="shared" si="127"/>
        <v>4.9123048216836562E-4</v>
      </c>
      <c r="T176" s="10">
        <f t="shared" si="128"/>
        <v>0.29737582175547256</v>
      </c>
      <c r="U176" s="10">
        <f t="shared" si="129"/>
        <v>0.68467201111289944</v>
      </c>
      <c r="V176" s="10">
        <f t="shared" si="130"/>
        <v>8.6447527828723614E-8</v>
      </c>
      <c r="W176" s="10">
        <f t="shared" si="131"/>
        <v>2.2307473018743689E-9</v>
      </c>
      <c r="X176" s="163">
        <f t="shared" si="112"/>
        <v>0.99999999999999989</v>
      </c>
      <c r="Y176" s="54">
        <f t="shared" si="132"/>
        <v>0.16445867760646846</v>
      </c>
      <c r="Z176" s="54">
        <f t="shared" si="133"/>
        <v>1.5035859820469819E-2</v>
      </c>
      <c r="AA176" s="113"/>
    </row>
    <row r="177" spans="1:27" x14ac:dyDescent="0.2">
      <c r="A177" s="20">
        <f t="shared" si="113"/>
        <v>1</v>
      </c>
      <c r="B177" s="23">
        <f t="shared" si="114"/>
        <v>0</v>
      </c>
      <c r="C177" s="12">
        <f t="shared" si="115"/>
        <v>0</v>
      </c>
      <c r="D177" s="12">
        <f t="shared" si="116"/>
        <v>1198.51644454703</v>
      </c>
      <c r="E177" s="23">
        <f t="shared" si="134"/>
        <v>7.6706783709022466E-2</v>
      </c>
      <c r="F177" s="23">
        <f t="shared" si="117"/>
        <v>135.72815765020098</v>
      </c>
      <c r="G177" s="95">
        <f t="shared" si="135"/>
        <v>0.60608502484345661</v>
      </c>
      <c r="H177" s="95">
        <f t="shared" si="136"/>
        <v>0.25085166840484785</v>
      </c>
      <c r="I177" s="95">
        <f t="shared" si="137"/>
        <v>1.5639805646666151E-2</v>
      </c>
      <c r="J177" s="12">
        <f t="shared" si="118"/>
        <v>0</v>
      </c>
      <c r="K177" s="12">
        <f t="shared" si="119"/>
        <v>1335.193885479835</v>
      </c>
      <c r="L177" s="54">
        <f t="shared" si="120"/>
        <v>5.7449921350902519E-5</v>
      </c>
      <c r="M177" s="10">
        <f t="shared" si="121"/>
        <v>0.1016542684371444</v>
      </c>
      <c r="N177" s="10">
        <f t="shared" si="122"/>
        <v>4.5393034782034291E-4</v>
      </c>
      <c r="O177" s="10">
        <f t="shared" si="123"/>
        <v>1.8787658566508345E-4</v>
      </c>
      <c r="P177" s="10">
        <f t="shared" si="124"/>
        <v>1.1713509039210136E-5</v>
      </c>
      <c r="Q177" s="54">
        <f t="shared" si="125"/>
        <v>1.7326523290198868E-2</v>
      </c>
      <c r="R177" s="10">
        <f t="shared" si="126"/>
        <v>1.3432468098568184E-4</v>
      </c>
      <c r="S177" s="10">
        <f t="shared" si="127"/>
        <v>4.9123048216836562E-4</v>
      </c>
      <c r="T177" s="10">
        <f t="shared" si="128"/>
        <v>0.29737582175547256</v>
      </c>
      <c r="U177" s="10">
        <f t="shared" si="129"/>
        <v>0.68467201111289944</v>
      </c>
      <c r="V177" s="10">
        <f t="shared" si="130"/>
        <v>8.6447527828723614E-8</v>
      </c>
      <c r="W177" s="10">
        <f t="shared" si="131"/>
        <v>2.2307473018743689E-9</v>
      </c>
      <c r="X177" s="163">
        <f t="shared" si="112"/>
        <v>0.99999999999999989</v>
      </c>
      <c r="Y177" s="54">
        <f t="shared" si="132"/>
        <v>0.16445867760646846</v>
      </c>
      <c r="Z177" s="54">
        <f t="shared" si="133"/>
        <v>1.5035859820469819E-2</v>
      </c>
      <c r="AA177" s="113"/>
    </row>
    <row r="178" spans="1:27" x14ac:dyDescent="0.2">
      <c r="A178" s="20">
        <f t="shared" si="113"/>
        <v>1</v>
      </c>
      <c r="B178" s="23">
        <f t="shared" si="114"/>
        <v>0</v>
      </c>
      <c r="C178" s="12">
        <f t="shared" si="115"/>
        <v>0</v>
      </c>
      <c r="D178" s="12">
        <f t="shared" si="116"/>
        <v>1198.51644454703</v>
      </c>
      <c r="E178" s="23">
        <f t="shared" si="134"/>
        <v>7.6706783709022466E-2</v>
      </c>
      <c r="F178" s="23">
        <f t="shared" si="117"/>
        <v>135.72815765020098</v>
      </c>
      <c r="G178" s="95">
        <f t="shared" si="135"/>
        <v>0.60608502484345661</v>
      </c>
      <c r="H178" s="95">
        <f t="shared" si="136"/>
        <v>0.25085166840484785</v>
      </c>
      <c r="I178" s="95">
        <f t="shared" si="137"/>
        <v>1.5639805646666151E-2</v>
      </c>
      <c r="J178" s="12">
        <f t="shared" si="118"/>
        <v>0</v>
      </c>
      <c r="K178" s="12">
        <f t="shared" si="119"/>
        <v>1335.193885479835</v>
      </c>
      <c r="L178" s="54">
        <f t="shared" si="120"/>
        <v>5.7449921350902519E-5</v>
      </c>
      <c r="M178" s="10">
        <f t="shared" si="121"/>
        <v>0.1016542684371444</v>
      </c>
      <c r="N178" s="10">
        <f t="shared" si="122"/>
        <v>4.5393034782034291E-4</v>
      </c>
      <c r="O178" s="10">
        <f t="shared" si="123"/>
        <v>1.8787658566508345E-4</v>
      </c>
      <c r="P178" s="10">
        <f t="shared" si="124"/>
        <v>1.1713509039210136E-5</v>
      </c>
      <c r="Q178" s="54">
        <f t="shared" si="125"/>
        <v>1.7326523290198868E-2</v>
      </c>
      <c r="R178" s="10">
        <f t="shared" si="126"/>
        <v>1.3432468098568184E-4</v>
      </c>
      <c r="S178" s="10">
        <f t="shared" si="127"/>
        <v>4.9123048216836562E-4</v>
      </c>
      <c r="T178" s="10">
        <f t="shared" si="128"/>
        <v>0.29737582175547256</v>
      </c>
      <c r="U178" s="10">
        <f t="shared" si="129"/>
        <v>0.68467201111289944</v>
      </c>
      <c r="V178" s="10">
        <f t="shared" si="130"/>
        <v>8.6447527828723614E-8</v>
      </c>
      <c r="W178" s="10">
        <f t="shared" si="131"/>
        <v>2.2307473018743689E-9</v>
      </c>
      <c r="X178" s="163">
        <f t="shared" si="112"/>
        <v>0.99999999999999989</v>
      </c>
      <c r="Y178" s="54">
        <f t="shared" si="132"/>
        <v>0.16445867760646846</v>
      </c>
      <c r="Z178" s="54">
        <f t="shared" si="133"/>
        <v>1.5035859820469819E-2</v>
      </c>
      <c r="AA178" s="113"/>
    </row>
    <row r="179" spans="1:27" x14ac:dyDescent="0.2">
      <c r="A179" s="20">
        <f t="shared" si="113"/>
        <v>1</v>
      </c>
      <c r="B179" s="23">
        <f t="shared" si="114"/>
        <v>0</v>
      </c>
      <c r="C179" s="12">
        <f t="shared" si="115"/>
        <v>0</v>
      </c>
      <c r="D179" s="12">
        <f t="shared" si="116"/>
        <v>1198.51644454703</v>
      </c>
      <c r="E179" s="23">
        <f t="shared" si="134"/>
        <v>7.6706783709022466E-2</v>
      </c>
      <c r="F179" s="23">
        <f t="shared" si="117"/>
        <v>135.72815765020098</v>
      </c>
      <c r="G179" s="95">
        <f t="shared" si="135"/>
        <v>0.60608502484345661</v>
      </c>
      <c r="H179" s="95">
        <f t="shared" si="136"/>
        <v>0.25085166840484785</v>
      </c>
      <c r="I179" s="95">
        <f t="shared" si="137"/>
        <v>1.5639805646666151E-2</v>
      </c>
      <c r="J179" s="12">
        <f t="shared" si="118"/>
        <v>0</v>
      </c>
      <c r="K179" s="12">
        <f t="shared" si="119"/>
        <v>1335.193885479835</v>
      </c>
      <c r="L179" s="54">
        <f t="shared" si="120"/>
        <v>5.7449921350902519E-5</v>
      </c>
      <c r="M179" s="10">
        <f t="shared" si="121"/>
        <v>0.1016542684371444</v>
      </c>
      <c r="N179" s="10">
        <f t="shared" si="122"/>
        <v>4.5393034782034291E-4</v>
      </c>
      <c r="O179" s="10">
        <f t="shared" si="123"/>
        <v>1.8787658566508345E-4</v>
      </c>
      <c r="P179" s="10">
        <f t="shared" si="124"/>
        <v>1.1713509039210136E-5</v>
      </c>
      <c r="Q179" s="54">
        <f t="shared" si="125"/>
        <v>1.7326523290198868E-2</v>
      </c>
      <c r="R179" s="10">
        <f t="shared" si="126"/>
        <v>1.3432468098568184E-4</v>
      </c>
      <c r="S179" s="10">
        <f t="shared" si="127"/>
        <v>4.9123048216836562E-4</v>
      </c>
      <c r="T179" s="10">
        <f t="shared" si="128"/>
        <v>0.29737582175547256</v>
      </c>
      <c r="U179" s="10">
        <f t="shared" si="129"/>
        <v>0.68467201111289944</v>
      </c>
      <c r="V179" s="10">
        <f t="shared" si="130"/>
        <v>8.6447527828723614E-8</v>
      </c>
      <c r="W179" s="10">
        <f t="shared" si="131"/>
        <v>2.2307473018743689E-9</v>
      </c>
      <c r="X179" s="163">
        <f t="shared" si="112"/>
        <v>0.99999999999999989</v>
      </c>
      <c r="Y179" s="54">
        <f t="shared" si="132"/>
        <v>0.16445867760646846</v>
      </c>
      <c r="Z179" s="54">
        <f t="shared" si="133"/>
        <v>1.5035859820469819E-2</v>
      </c>
      <c r="AA179" s="113"/>
    </row>
    <row r="180" spans="1:27" x14ac:dyDescent="0.2">
      <c r="A180" s="20">
        <f t="shared" si="113"/>
        <v>1</v>
      </c>
      <c r="B180" s="23">
        <f t="shared" si="114"/>
        <v>0</v>
      </c>
      <c r="C180" s="12">
        <f t="shared" si="115"/>
        <v>0</v>
      </c>
      <c r="D180" s="12">
        <f t="shared" si="116"/>
        <v>1198.51644454703</v>
      </c>
      <c r="E180" s="23">
        <f t="shared" si="134"/>
        <v>7.6706783709022466E-2</v>
      </c>
      <c r="F180" s="23">
        <f t="shared" si="117"/>
        <v>135.72815765020098</v>
      </c>
      <c r="G180" s="95">
        <f t="shared" si="135"/>
        <v>0.60608502484345661</v>
      </c>
      <c r="H180" s="95">
        <f t="shared" si="136"/>
        <v>0.25085166840484785</v>
      </c>
      <c r="I180" s="95">
        <f t="shared" si="137"/>
        <v>1.5639805646666151E-2</v>
      </c>
      <c r="J180" s="12">
        <f t="shared" si="118"/>
        <v>0</v>
      </c>
      <c r="K180" s="12">
        <f t="shared" si="119"/>
        <v>1335.193885479835</v>
      </c>
      <c r="L180" s="54">
        <f t="shared" si="120"/>
        <v>5.7449921350902519E-5</v>
      </c>
      <c r="M180" s="10">
        <f t="shared" si="121"/>
        <v>0.1016542684371444</v>
      </c>
      <c r="N180" s="10">
        <f t="shared" si="122"/>
        <v>4.5393034782034291E-4</v>
      </c>
      <c r="O180" s="10">
        <f t="shared" si="123"/>
        <v>1.8787658566508345E-4</v>
      </c>
      <c r="P180" s="10">
        <f t="shared" si="124"/>
        <v>1.1713509039210136E-5</v>
      </c>
      <c r="Q180" s="54">
        <f t="shared" si="125"/>
        <v>1.7326523290198868E-2</v>
      </c>
      <c r="R180" s="10">
        <f t="shared" si="126"/>
        <v>1.3432468098568184E-4</v>
      </c>
      <c r="S180" s="10">
        <f t="shared" si="127"/>
        <v>4.9123048216836562E-4</v>
      </c>
      <c r="T180" s="10">
        <f t="shared" si="128"/>
        <v>0.29737582175547256</v>
      </c>
      <c r="U180" s="10">
        <f t="shared" si="129"/>
        <v>0.68467201111289944</v>
      </c>
      <c r="V180" s="10">
        <f t="shared" si="130"/>
        <v>8.6447527828723614E-8</v>
      </c>
      <c r="W180" s="10">
        <f t="shared" si="131"/>
        <v>2.2307473018743689E-9</v>
      </c>
      <c r="X180" s="163">
        <f t="shared" si="112"/>
        <v>0.99999999999999989</v>
      </c>
      <c r="Y180" s="54">
        <f t="shared" si="132"/>
        <v>0.16445867760646846</v>
      </c>
      <c r="Z180" s="54">
        <f t="shared" si="133"/>
        <v>1.5035859820469819E-2</v>
      </c>
      <c r="AA180" s="113"/>
    </row>
    <row r="181" spans="1:27" x14ac:dyDescent="0.2">
      <c r="A181" s="20">
        <f t="shared" si="113"/>
        <v>1</v>
      </c>
      <c r="B181" s="23">
        <f t="shared" si="114"/>
        <v>0</v>
      </c>
      <c r="C181" s="12">
        <f t="shared" si="115"/>
        <v>0</v>
      </c>
      <c r="D181" s="12">
        <f t="shared" si="116"/>
        <v>1198.51644454703</v>
      </c>
      <c r="E181" s="23">
        <f t="shared" si="134"/>
        <v>7.6706783709022466E-2</v>
      </c>
      <c r="F181" s="23">
        <f t="shared" si="117"/>
        <v>135.72815765020098</v>
      </c>
      <c r="G181" s="95">
        <f t="shared" si="135"/>
        <v>0.60608502484345661</v>
      </c>
      <c r="H181" s="95">
        <f t="shared" si="136"/>
        <v>0.25085166840484785</v>
      </c>
      <c r="I181" s="95">
        <f t="shared" si="137"/>
        <v>1.5639805646666151E-2</v>
      </c>
      <c r="J181" s="12">
        <f t="shared" si="118"/>
        <v>0</v>
      </c>
      <c r="K181" s="12">
        <f t="shared" si="119"/>
        <v>1335.193885479835</v>
      </c>
      <c r="L181" s="54">
        <f t="shared" si="120"/>
        <v>5.7449921350902519E-5</v>
      </c>
      <c r="M181" s="10">
        <f t="shared" si="121"/>
        <v>0.1016542684371444</v>
      </c>
      <c r="N181" s="10">
        <f t="shared" si="122"/>
        <v>4.5393034782034291E-4</v>
      </c>
      <c r="O181" s="10">
        <f t="shared" si="123"/>
        <v>1.8787658566508345E-4</v>
      </c>
      <c r="P181" s="10">
        <f t="shared" si="124"/>
        <v>1.1713509039210136E-5</v>
      </c>
      <c r="Q181" s="54">
        <f t="shared" si="125"/>
        <v>1.7326523290198868E-2</v>
      </c>
      <c r="R181" s="10">
        <f t="shared" si="126"/>
        <v>1.3432468098568184E-4</v>
      </c>
      <c r="S181" s="10">
        <f t="shared" si="127"/>
        <v>4.9123048216836562E-4</v>
      </c>
      <c r="T181" s="10">
        <f t="shared" si="128"/>
        <v>0.29737582175547256</v>
      </c>
      <c r="U181" s="10">
        <f t="shared" si="129"/>
        <v>0.68467201111289944</v>
      </c>
      <c r="V181" s="10">
        <f t="shared" si="130"/>
        <v>8.6447527828723614E-8</v>
      </c>
      <c r="W181" s="10">
        <f t="shared" si="131"/>
        <v>2.2307473018743689E-9</v>
      </c>
      <c r="X181" s="163">
        <f t="shared" si="112"/>
        <v>0.99999999999999989</v>
      </c>
      <c r="Y181" s="54">
        <f t="shared" si="132"/>
        <v>0.16445867760646846</v>
      </c>
      <c r="Z181" s="54">
        <f t="shared" si="133"/>
        <v>1.5035859820469819E-2</v>
      </c>
      <c r="AA181" s="113"/>
    </row>
    <row r="182" spans="1:27" x14ac:dyDescent="0.2">
      <c r="A182" s="20">
        <f t="shared" si="113"/>
        <v>1</v>
      </c>
      <c r="B182" s="23">
        <f t="shared" si="114"/>
        <v>0</v>
      </c>
      <c r="C182" s="12">
        <f t="shared" si="115"/>
        <v>0</v>
      </c>
      <c r="D182" s="12">
        <f t="shared" si="116"/>
        <v>1198.51644454703</v>
      </c>
      <c r="E182" s="23">
        <f t="shared" si="134"/>
        <v>7.6706783709022466E-2</v>
      </c>
      <c r="F182" s="23">
        <f t="shared" si="117"/>
        <v>135.72815765020098</v>
      </c>
      <c r="G182" s="95">
        <f t="shared" si="135"/>
        <v>0.60608502484345661</v>
      </c>
      <c r="H182" s="95">
        <f t="shared" si="136"/>
        <v>0.25085166840484785</v>
      </c>
      <c r="I182" s="95">
        <f t="shared" si="137"/>
        <v>1.5639805646666151E-2</v>
      </c>
      <c r="J182" s="12">
        <f t="shared" si="118"/>
        <v>0</v>
      </c>
      <c r="K182" s="12">
        <f t="shared" si="119"/>
        <v>1335.193885479835</v>
      </c>
      <c r="L182" s="54">
        <f t="shared" si="120"/>
        <v>5.7449921350902519E-5</v>
      </c>
      <c r="M182" s="10">
        <f t="shared" si="121"/>
        <v>0.1016542684371444</v>
      </c>
      <c r="N182" s="10">
        <f t="shared" si="122"/>
        <v>4.5393034782034291E-4</v>
      </c>
      <c r="O182" s="10">
        <f t="shared" si="123"/>
        <v>1.8787658566508345E-4</v>
      </c>
      <c r="P182" s="10">
        <f t="shared" si="124"/>
        <v>1.1713509039210136E-5</v>
      </c>
      <c r="Q182" s="54">
        <f t="shared" si="125"/>
        <v>1.7326523290198868E-2</v>
      </c>
      <c r="R182" s="10">
        <f t="shared" si="126"/>
        <v>1.3432468098568184E-4</v>
      </c>
      <c r="S182" s="10">
        <f t="shared" si="127"/>
        <v>4.9123048216836562E-4</v>
      </c>
      <c r="T182" s="10">
        <f t="shared" si="128"/>
        <v>0.29737582175547256</v>
      </c>
      <c r="U182" s="10">
        <f t="shared" si="129"/>
        <v>0.68467201111289944</v>
      </c>
      <c r="V182" s="10">
        <f t="shared" si="130"/>
        <v>8.6447527828723614E-8</v>
      </c>
      <c r="W182" s="10">
        <f t="shared" si="131"/>
        <v>2.2307473018743689E-9</v>
      </c>
      <c r="X182" s="163">
        <f t="shared" si="112"/>
        <v>0.99999999999999989</v>
      </c>
      <c r="Y182" s="54">
        <f t="shared" si="132"/>
        <v>0.16445867760646846</v>
      </c>
      <c r="Z182" s="54">
        <f t="shared" si="133"/>
        <v>1.5035859820469819E-2</v>
      </c>
      <c r="AA182" s="113"/>
    </row>
    <row r="183" spans="1:27" x14ac:dyDescent="0.2">
      <c r="A183" s="20">
        <f t="shared" si="113"/>
        <v>1</v>
      </c>
      <c r="B183" s="23">
        <f t="shared" si="114"/>
        <v>0</v>
      </c>
      <c r="C183" s="12">
        <f t="shared" si="115"/>
        <v>0</v>
      </c>
      <c r="D183" s="12">
        <f t="shared" si="116"/>
        <v>1198.51644454703</v>
      </c>
      <c r="E183" s="23">
        <f t="shared" si="134"/>
        <v>7.6706783709022466E-2</v>
      </c>
      <c r="F183" s="23">
        <f t="shared" si="117"/>
        <v>135.72815765020098</v>
      </c>
      <c r="G183" s="95">
        <f t="shared" si="135"/>
        <v>0.60608502484345661</v>
      </c>
      <c r="H183" s="95">
        <f t="shared" si="136"/>
        <v>0.25085166840484785</v>
      </c>
      <c r="I183" s="95">
        <f t="shared" si="137"/>
        <v>1.5639805646666151E-2</v>
      </c>
      <c r="J183" s="12">
        <f t="shared" si="118"/>
        <v>0</v>
      </c>
      <c r="K183" s="12">
        <f t="shared" si="119"/>
        <v>1335.193885479835</v>
      </c>
      <c r="L183" s="54">
        <f t="shared" si="120"/>
        <v>5.7449921350902519E-5</v>
      </c>
      <c r="M183" s="10">
        <f t="shared" si="121"/>
        <v>0.1016542684371444</v>
      </c>
      <c r="N183" s="10">
        <f t="shared" si="122"/>
        <v>4.5393034782034291E-4</v>
      </c>
      <c r="O183" s="10">
        <f t="shared" si="123"/>
        <v>1.8787658566508345E-4</v>
      </c>
      <c r="P183" s="10">
        <f t="shared" si="124"/>
        <v>1.1713509039210136E-5</v>
      </c>
      <c r="Q183" s="54">
        <f t="shared" si="125"/>
        <v>1.7326523290198868E-2</v>
      </c>
      <c r="R183" s="10">
        <f t="shared" si="126"/>
        <v>1.3432468098568184E-4</v>
      </c>
      <c r="S183" s="10">
        <f t="shared" si="127"/>
        <v>4.9123048216836562E-4</v>
      </c>
      <c r="T183" s="10">
        <f t="shared" si="128"/>
        <v>0.29737582175547256</v>
      </c>
      <c r="U183" s="10">
        <f t="shared" si="129"/>
        <v>0.68467201111289944</v>
      </c>
      <c r="V183" s="10">
        <f t="shared" si="130"/>
        <v>8.6447527828723614E-8</v>
      </c>
      <c r="W183" s="10">
        <f t="shared" si="131"/>
        <v>2.2307473018743689E-9</v>
      </c>
      <c r="X183" s="163">
        <f t="shared" si="112"/>
        <v>0.99999999999999989</v>
      </c>
      <c r="Y183" s="54">
        <f t="shared" si="132"/>
        <v>0.16445867760646846</v>
      </c>
      <c r="Z183" s="54">
        <f t="shared" si="133"/>
        <v>1.5035859820469819E-2</v>
      </c>
      <c r="AA183" s="113"/>
    </row>
    <row r="184" spans="1:27" x14ac:dyDescent="0.2">
      <c r="A184" s="20">
        <f t="shared" si="113"/>
        <v>1</v>
      </c>
      <c r="B184" s="23">
        <f t="shared" si="114"/>
        <v>0</v>
      </c>
      <c r="C184" s="12">
        <f t="shared" si="115"/>
        <v>0</v>
      </c>
      <c r="D184" s="12">
        <f t="shared" si="116"/>
        <v>1198.51644454703</v>
      </c>
      <c r="E184" s="23">
        <f t="shared" si="134"/>
        <v>7.6706783709022466E-2</v>
      </c>
      <c r="F184" s="23">
        <f t="shared" si="117"/>
        <v>135.72815765020098</v>
      </c>
      <c r="G184" s="95">
        <f t="shared" si="135"/>
        <v>0.60608502484345661</v>
      </c>
      <c r="H184" s="95">
        <f t="shared" si="136"/>
        <v>0.25085166840484785</v>
      </c>
      <c r="I184" s="95">
        <f t="shared" si="137"/>
        <v>1.5639805646666151E-2</v>
      </c>
      <c r="J184" s="12">
        <f t="shared" si="118"/>
        <v>0</v>
      </c>
      <c r="K184" s="12">
        <f t="shared" si="119"/>
        <v>1335.193885479835</v>
      </c>
      <c r="L184" s="54">
        <f t="shared" si="120"/>
        <v>5.7449921350902519E-5</v>
      </c>
      <c r="M184" s="10">
        <f t="shared" si="121"/>
        <v>0.1016542684371444</v>
      </c>
      <c r="N184" s="10">
        <f t="shared" si="122"/>
        <v>4.5393034782034291E-4</v>
      </c>
      <c r="O184" s="10">
        <f t="shared" si="123"/>
        <v>1.8787658566508345E-4</v>
      </c>
      <c r="P184" s="10">
        <f t="shared" si="124"/>
        <v>1.1713509039210136E-5</v>
      </c>
      <c r="Q184" s="54">
        <f t="shared" si="125"/>
        <v>1.7326523290198868E-2</v>
      </c>
      <c r="R184" s="10">
        <f t="shared" si="126"/>
        <v>1.3432468098568184E-4</v>
      </c>
      <c r="S184" s="10">
        <f t="shared" si="127"/>
        <v>4.9123048216836562E-4</v>
      </c>
      <c r="T184" s="10">
        <f t="shared" si="128"/>
        <v>0.29737582175547256</v>
      </c>
      <c r="U184" s="10">
        <f t="shared" si="129"/>
        <v>0.68467201111289944</v>
      </c>
      <c r="V184" s="10">
        <f t="shared" si="130"/>
        <v>8.6447527828723614E-8</v>
      </c>
      <c r="W184" s="10">
        <f t="shared" si="131"/>
        <v>2.2307473018743689E-9</v>
      </c>
      <c r="X184" s="163">
        <f t="shared" si="112"/>
        <v>0.99999999999999989</v>
      </c>
      <c r="Y184" s="54">
        <f t="shared" si="132"/>
        <v>0.16445867760646846</v>
      </c>
      <c r="Z184" s="54">
        <f t="shared" si="133"/>
        <v>1.5035859820469819E-2</v>
      </c>
      <c r="AA184" s="113"/>
    </row>
    <row r="185" spans="1:27" x14ac:dyDescent="0.2">
      <c r="A185" s="20">
        <f t="shared" si="113"/>
        <v>1</v>
      </c>
      <c r="B185" s="23">
        <f t="shared" si="114"/>
        <v>0</v>
      </c>
      <c r="C185" s="12">
        <f t="shared" si="115"/>
        <v>0</v>
      </c>
      <c r="D185" s="12">
        <f t="shared" si="116"/>
        <v>1198.51644454703</v>
      </c>
      <c r="E185" s="23">
        <f t="shared" si="134"/>
        <v>7.6706783709022466E-2</v>
      </c>
      <c r="F185" s="23">
        <f t="shared" si="117"/>
        <v>135.72815765020098</v>
      </c>
      <c r="G185" s="95">
        <f t="shared" si="135"/>
        <v>0.60608502484345661</v>
      </c>
      <c r="H185" s="95">
        <f t="shared" si="136"/>
        <v>0.25085166840484785</v>
      </c>
      <c r="I185" s="95">
        <f t="shared" si="137"/>
        <v>1.5639805646666151E-2</v>
      </c>
      <c r="J185" s="12">
        <f t="shared" si="118"/>
        <v>0</v>
      </c>
      <c r="K185" s="12">
        <f t="shared" si="119"/>
        <v>1335.193885479835</v>
      </c>
      <c r="L185" s="54">
        <f t="shared" si="120"/>
        <v>5.7449921350902519E-5</v>
      </c>
      <c r="M185" s="10">
        <f t="shared" si="121"/>
        <v>0.1016542684371444</v>
      </c>
      <c r="N185" s="10">
        <f t="shared" si="122"/>
        <v>4.5393034782034291E-4</v>
      </c>
      <c r="O185" s="10">
        <f t="shared" si="123"/>
        <v>1.8787658566508345E-4</v>
      </c>
      <c r="P185" s="10">
        <f t="shared" si="124"/>
        <v>1.1713509039210136E-5</v>
      </c>
      <c r="Q185" s="54">
        <f t="shared" si="125"/>
        <v>1.7326523290198868E-2</v>
      </c>
      <c r="R185" s="10">
        <f t="shared" si="126"/>
        <v>1.3432468098568184E-4</v>
      </c>
      <c r="S185" s="10">
        <f t="shared" si="127"/>
        <v>4.9123048216836562E-4</v>
      </c>
      <c r="T185" s="10">
        <f t="shared" si="128"/>
        <v>0.29737582175547256</v>
      </c>
      <c r="U185" s="10">
        <f t="shared" si="129"/>
        <v>0.68467201111289944</v>
      </c>
      <c r="V185" s="10">
        <f t="shared" si="130"/>
        <v>8.6447527828723614E-8</v>
      </c>
      <c r="W185" s="10">
        <f t="shared" si="131"/>
        <v>2.2307473018743689E-9</v>
      </c>
      <c r="X185" s="163">
        <f t="shared" si="112"/>
        <v>0.99999999999999989</v>
      </c>
      <c r="Y185" s="54">
        <f t="shared" si="132"/>
        <v>0.16445867760646846</v>
      </c>
      <c r="Z185" s="54">
        <f t="shared" si="133"/>
        <v>1.5035859820469819E-2</v>
      </c>
      <c r="AA185" s="113"/>
    </row>
    <row r="186" spans="1:27" x14ac:dyDescent="0.2">
      <c r="A186" s="20">
        <f t="shared" si="113"/>
        <v>1</v>
      </c>
      <c r="B186" s="23">
        <f t="shared" si="114"/>
        <v>0</v>
      </c>
      <c r="C186" s="12">
        <f t="shared" si="115"/>
        <v>0</v>
      </c>
      <c r="D186" s="12">
        <f t="shared" si="116"/>
        <v>1198.51644454703</v>
      </c>
      <c r="E186" s="23">
        <f t="shared" si="134"/>
        <v>7.6706783709022466E-2</v>
      </c>
      <c r="F186" s="23">
        <f t="shared" si="117"/>
        <v>135.72815765020098</v>
      </c>
      <c r="G186" s="95">
        <f t="shared" si="135"/>
        <v>0.60608502484345661</v>
      </c>
      <c r="H186" s="95">
        <f t="shared" si="136"/>
        <v>0.25085166840484785</v>
      </c>
      <c r="I186" s="95">
        <f t="shared" si="137"/>
        <v>1.5639805646666151E-2</v>
      </c>
      <c r="J186" s="12">
        <f t="shared" si="118"/>
        <v>0</v>
      </c>
      <c r="K186" s="12">
        <f t="shared" si="119"/>
        <v>1335.193885479835</v>
      </c>
      <c r="L186" s="54">
        <f t="shared" si="120"/>
        <v>5.7449921350902519E-5</v>
      </c>
      <c r="M186" s="10">
        <f t="shared" si="121"/>
        <v>0.1016542684371444</v>
      </c>
      <c r="N186" s="10">
        <f t="shared" si="122"/>
        <v>4.5393034782034291E-4</v>
      </c>
      <c r="O186" s="10">
        <f t="shared" si="123"/>
        <v>1.8787658566508345E-4</v>
      </c>
      <c r="P186" s="10">
        <f t="shared" si="124"/>
        <v>1.1713509039210136E-5</v>
      </c>
      <c r="Q186" s="54">
        <f t="shared" si="125"/>
        <v>1.7326523290198868E-2</v>
      </c>
      <c r="R186" s="10">
        <f t="shared" si="126"/>
        <v>1.3432468098568184E-4</v>
      </c>
      <c r="S186" s="10">
        <f t="shared" si="127"/>
        <v>4.9123048216836562E-4</v>
      </c>
      <c r="T186" s="10">
        <f t="shared" si="128"/>
        <v>0.29737582175547256</v>
      </c>
      <c r="U186" s="10">
        <f t="shared" si="129"/>
        <v>0.68467201111289944</v>
      </c>
      <c r="V186" s="10">
        <f t="shared" si="130"/>
        <v>8.6447527828723614E-8</v>
      </c>
      <c r="W186" s="10">
        <f t="shared" si="131"/>
        <v>2.2307473018743689E-9</v>
      </c>
      <c r="X186" s="163">
        <f t="shared" si="112"/>
        <v>0.99999999999999989</v>
      </c>
      <c r="Y186" s="54">
        <f t="shared" si="132"/>
        <v>0.16445867760646846</v>
      </c>
      <c r="Z186" s="54">
        <f t="shared" si="133"/>
        <v>1.5035859820469819E-2</v>
      </c>
      <c r="AA186" s="113"/>
    </row>
    <row r="187" spans="1:27" x14ac:dyDescent="0.2">
      <c r="A187" s="20">
        <f t="shared" si="113"/>
        <v>1</v>
      </c>
      <c r="B187" s="23">
        <f t="shared" si="114"/>
        <v>0</v>
      </c>
      <c r="C187" s="12">
        <f t="shared" si="115"/>
        <v>0</v>
      </c>
      <c r="D187" s="12">
        <f t="shared" si="116"/>
        <v>1198.51644454703</v>
      </c>
      <c r="E187" s="23">
        <f t="shared" si="134"/>
        <v>7.6706783709022466E-2</v>
      </c>
      <c r="F187" s="23">
        <f t="shared" si="117"/>
        <v>135.72815765020098</v>
      </c>
      <c r="G187" s="95">
        <f t="shared" si="135"/>
        <v>0.60608502484345661</v>
      </c>
      <c r="H187" s="95">
        <f t="shared" si="136"/>
        <v>0.25085166840484785</v>
      </c>
      <c r="I187" s="95">
        <f t="shared" si="137"/>
        <v>1.5639805646666151E-2</v>
      </c>
      <c r="J187" s="12">
        <f t="shared" si="118"/>
        <v>0</v>
      </c>
      <c r="K187" s="12">
        <f t="shared" si="119"/>
        <v>1335.193885479835</v>
      </c>
      <c r="L187" s="54">
        <f t="shared" si="120"/>
        <v>5.7449921350902519E-5</v>
      </c>
      <c r="M187" s="10">
        <f t="shared" si="121"/>
        <v>0.1016542684371444</v>
      </c>
      <c r="N187" s="10">
        <f t="shared" si="122"/>
        <v>4.5393034782034291E-4</v>
      </c>
      <c r="O187" s="10">
        <f t="shared" si="123"/>
        <v>1.8787658566508345E-4</v>
      </c>
      <c r="P187" s="10">
        <f t="shared" si="124"/>
        <v>1.1713509039210136E-5</v>
      </c>
      <c r="Q187" s="54">
        <f t="shared" si="125"/>
        <v>1.7326523290198868E-2</v>
      </c>
      <c r="R187" s="10">
        <f t="shared" si="126"/>
        <v>1.3432468098568184E-4</v>
      </c>
      <c r="S187" s="10">
        <f t="shared" si="127"/>
        <v>4.9123048216836562E-4</v>
      </c>
      <c r="T187" s="10">
        <f t="shared" si="128"/>
        <v>0.29737582175547256</v>
      </c>
      <c r="U187" s="10">
        <f t="shared" si="129"/>
        <v>0.68467201111289944</v>
      </c>
      <c r="V187" s="10">
        <f t="shared" si="130"/>
        <v>8.6447527828723614E-8</v>
      </c>
      <c r="W187" s="10">
        <f t="shared" si="131"/>
        <v>2.2307473018743689E-9</v>
      </c>
      <c r="X187" s="163">
        <f t="shared" si="112"/>
        <v>0.99999999999999989</v>
      </c>
      <c r="Y187" s="54">
        <f t="shared" si="132"/>
        <v>0.16445867760646846</v>
      </c>
      <c r="Z187" s="54">
        <f t="shared" si="133"/>
        <v>1.5035859820469819E-2</v>
      </c>
      <c r="AA187" s="113"/>
    </row>
    <row r="188" spans="1:27" x14ac:dyDescent="0.2">
      <c r="A188" s="20">
        <f t="shared" si="113"/>
        <v>1</v>
      </c>
      <c r="B188" s="23">
        <f t="shared" si="114"/>
        <v>0</v>
      </c>
      <c r="C188" s="12">
        <f t="shared" si="115"/>
        <v>0</v>
      </c>
      <c r="D188" s="12">
        <f t="shared" si="116"/>
        <v>1198.51644454703</v>
      </c>
      <c r="E188" s="23">
        <f t="shared" si="134"/>
        <v>7.6706783709022466E-2</v>
      </c>
      <c r="F188" s="23">
        <f t="shared" si="117"/>
        <v>135.72815765020098</v>
      </c>
      <c r="G188" s="95">
        <f t="shared" si="135"/>
        <v>0.60608502484345661</v>
      </c>
      <c r="H188" s="95">
        <f t="shared" si="136"/>
        <v>0.25085166840484785</v>
      </c>
      <c r="I188" s="95">
        <f t="shared" si="137"/>
        <v>1.5639805646666151E-2</v>
      </c>
      <c r="J188" s="12">
        <f t="shared" si="118"/>
        <v>0</v>
      </c>
      <c r="K188" s="12">
        <f t="shared" si="119"/>
        <v>1335.193885479835</v>
      </c>
      <c r="L188" s="54">
        <f t="shared" si="120"/>
        <v>5.7449921350902519E-5</v>
      </c>
      <c r="M188" s="10">
        <f t="shared" si="121"/>
        <v>0.1016542684371444</v>
      </c>
      <c r="N188" s="10">
        <f t="shared" si="122"/>
        <v>4.5393034782034291E-4</v>
      </c>
      <c r="O188" s="10">
        <f t="shared" si="123"/>
        <v>1.8787658566508345E-4</v>
      </c>
      <c r="P188" s="10">
        <f t="shared" si="124"/>
        <v>1.1713509039210136E-5</v>
      </c>
      <c r="Q188" s="54">
        <f t="shared" si="125"/>
        <v>1.7326523290198868E-2</v>
      </c>
      <c r="R188" s="10">
        <f t="shared" si="126"/>
        <v>1.3432468098568184E-4</v>
      </c>
      <c r="S188" s="10">
        <f t="shared" si="127"/>
        <v>4.9123048216836562E-4</v>
      </c>
      <c r="T188" s="10">
        <f t="shared" si="128"/>
        <v>0.29737582175547256</v>
      </c>
      <c r="U188" s="10">
        <f t="shared" si="129"/>
        <v>0.68467201111289944</v>
      </c>
      <c r="V188" s="10">
        <f t="shared" si="130"/>
        <v>8.6447527828723614E-8</v>
      </c>
      <c r="W188" s="10">
        <f t="shared" si="131"/>
        <v>2.2307473018743689E-9</v>
      </c>
      <c r="X188" s="163">
        <f t="shared" si="112"/>
        <v>0.99999999999999989</v>
      </c>
      <c r="Y188" s="54">
        <f t="shared" si="132"/>
        <v>0.16445867760646846</v>
      </c>
      <c r="Z188" s="54">
        <f t="shared" si="133"/>
        <v>1.5035859820469819E-2</v>
      </c>
      <c r="AA188" s="113"/>
    </row>
    <row r="189" spans="1:27" x14ac:dyDescent="0.2">
      <c r="A189" s="20">
        <f t="shared" si="113"/>
        <v>1</v>
      </c>
      <c r="B189" s="23">
        <f t="shared" si="114"/>
        <v>0</v>
      </c>
      <c r="C189" s="12">
        <f t="shared" si="115"/>
        <v>0</v>
      </c>
      <c r="D189" s="12">
        <f t="shared" si="116"/>
        <v>1198.51644454703</v>
      </c>
      <c r="E189" s="23">
        <f t="shared" si="134"/>
        <v>7.6706783709022466E-2</v>
      </c>
      <c r="F189" s="23">
        <f t="shared" si="117"/>
        <v>135.72815765020098</v>
      </c>
      <c r="G189" s="95">
        <f t="shared" si="135"/>
        <v>0.60608502484345661</v>
      </c>
      <c r="H189" s="95">
        <f t="shared" si="136"/>
        <v>0.25085166840484785</v>
      </c>
      <c r="I189" s="95">
        <f t="shared" si="137"/>
        <v>1.5639805646666151E-2</v>
      </c>
      <c r="J189" s="12">
        <f t="shared" si="118"/>
        <v>0</v>
      </c>
      <c r="K189" s="12">
        <f t="shared" si="119"/>
        <v>1335.193885479835</v>
      </c>
      <c r="L189" s="54">
        <f t="shared" si="120"/>
        <v>5.7449921350902519E-5</v>
      </c>
      <c r="M189" s="10">
        <f t="shared" si="121"/>
        <v>0.1016542684371444</v>
      </c>
      <c r="N189" s="10">
        <f t="shared" si="122"/>
        <v>4.5393034782034291E-4</v>
      </c>
      <c r="O189" s="10">
        <f t="shared" si="123"/>
        <v>1.8787658566508345E-4</v>
      </c>
      <c r="P189" s="10">
        <f t="shared" si="124"/>
        <v>1.1713509039210136E-5</v>
      </c>
      <c r="Q189" s="54">
        <f t="shared" si="125"/>
        <v>1.7326523290198868E-2</v>
      </c>
      <c r="R189" s="10">
        <f t="shared" si="126"/>
        <v>1.3432468098568184E-4</v>
      </c>
      <c r="S189" s="10">
        <f t="shared" si="127"/>
        <v>4.9123048216836562E-4</v>
      </c>
      <c r="T189" s="10">
        <f t="shared" si="128"/>
        <v>0.29737582175547256</v>
      </c>
      <c r="U189" s="10">
        <f t="shared" si="129"/>
        <v>0.68467201111289944</v>
      </c>
      <c r="V189" s="10">
        <f t="shared" si="130"/>
        <v>8.6447527828723614E-8</v>
      </c>
      <c r="W189" s="10">
        <f t="shared" si="131"/>
        <v>2.2307473018743689E-9</v>
      </c>
      <c r="X189" s="163">
        <f t="shared" si="112"/>
        <v>0.99999999999999989</v>
      </c>
      <c r="Y189" s="54">
        <f t="shared" si="132"/>
        <v>0.16445867760646846</v>
      </c>
      <c r="Z189" s="54">
        <f t="shared" si="133"/>
        <v>1.5035859820469819E-2</v>
      </c>
      <c r="AA189" s="113"/>
    </row>
    <row r="190" spans="1:27" x14ac:dyDescent="0.2">
      <c r="A190" s="20">
        <f t="shared" si="113"/>
        <v>1</v>
      </c>
      <c r="B190" s="23">
        <f t="shared" si="114"/>
        <v>0</v>
      </c>
      <c r="C190" s="12">
        <f t="shared" si="115"/>
        <v>0</v>
      </c>
      <c r="D190" s="12">
        <f t="shared" si="116"/>
        <v>1198.51644454703</v>
      </c>
      <c r="E190" s="23">
        <f t="shared" si="134"/>
        <v>7.6706783709022466E-2</v>
      </c>
      <c r="F190" s="23">
        <f t="shared" si="117"/>
        <v>135.72815765020098</v>
      </c>
      <c r="G190" s="95">
        <f t="shared" si="135"/>
        <v>0.60608502484345661</v>
      </c>
      <c r="H190" s="95">
        <f t="shared" si="136"/>
        <v>0.25085166840484785</v>
      </c>
      <c r="I190" s="95">
        <f t="shared" si="137"/>
        <v>1.5639805646666151E-2</v>
      </c>
      <c r="J190" s="12">
        <f t="shared" si="118"/>
        <v>0</v>
      </c>
      <c r="K190" s="12">
        <f t="shared" si="119"/>
        <v>1335.193885479835</v>
      </c>
      <c r="L190" s="54">
        <f t="shared" si="120"/>
        <v>5.7449921350902519E-5</v>
      </c>
      <c r="M190" s="10">
        <f t="shared" si="121"/>
        <v>0.1016542684371444</v>
      </c>
      <c r="N190" s="10">
        <f t="shared" si="122"/>
        <v>4.5393034782034291E-4</v>
      </c>
      <c r="O190" s="10">
        <f t="shared" si="123"/>
        <v>1.8787658566508345E-4</v>
      </c>
      <c r="P190" s="10">
        <f t="shared" si="124"/>
        <v>1.1713509039210136E-5</v>
      </c>
      <c r="Q190" s="54">
        <f t="shared" si="125"/>
        <v>1.7326523290198868E-2</v>
      </c>
      <c r="R190" s="10">
        <f t="shared" si="126"/>
        <v>1.3432468098568184E-4</v>
      </c>
      <c r="S190" s="10">
        <f t="shared" si="127"/>
        <v>4.9123048216836562E-4</v>
      </c>
      <c r="T190" s="10">
        <f t="shared" si="128"/>
        <v>0.29737582175547256</v>
      </c>
      <c r="U190" s="10">
        <f t="shared" si="129"/>
        <v>0.68467201111289944</v>
      </c>
      <c r="V190" s="10">
        <f t="shared" si="130"/>
        <v>8.6447527828723614E-8</v>
      </c>
      <c r="W190" s="10">
        <f t="shared" si="131"/>
        <v>2.2307473018743689E-9</v>
      </c>
      <c r="X190" s="163">
        <f t="shared" si="112"/>
        <v>0.99999999999999989</v>
      </c>
      <c r="Y190" s="54">
        <f t="shared" si="132"/>
        <v>0.16445867760646846</v>
      </c>
      <c r="Z190" s="54">
        <f t="shared" si="133"/>
        <v>1.5035859820469819E-2</v>
      </c>
      <c r="AA190" s="113"/>
    </row>
    <row r="191" spans="1:27" x14ac:dyDescent="0.2">
      <c r="A191" s="20">
        <f t="shared" si="113"/>
        <v>1</v>
      </c>
      <c r="B191" s="23">
        <f t="shared" si="114"/>
        <v>0</v>
      </c>
      <c r="C191" s="12">
        <f t="shared" si="115"/>
        <v>0</v>
      </c>
      <c r="D191" s="12">
        <f t="shared" si="116"/>
        <v>1198.51644454703</v>
      </c>
      <c r="E191" s="23">
        <f t="shared" si="134"/>
        <v>7.6706783709022466E-2</v>
      </c>
      <c r="F191" s="23">
        <f t="shared" si="117"/>
        <v>135.72815765020098</v>
      </c>
      <c r="G191" s="95">
        <f t="shared" si="135"/>
        <v>0.60608502484345661</v>
      </c>
      <c r="H191" s="95">
        <f t="shared" si="136"/>
        <v>0.25085166840484785</v>
      </c>
      <c r="I191" s="95">
        <f t="shared" si="137"/>
        <v>1.5639805646666151E-2</v>
      </c>
      <c r="J191" s="12">
        <f t="shared" si="118"/>
        <v>0</v>
      </c>
      <c r="K191" s="12">
        <f t="shared" si="119"/>
        <v>1335.193885479835</v>
      </c>
      <c r="L191" s="54">
        <f t="shared" si="120"/>
        <v>5.7449921350902519E-5</v>
      </c>
      <c r="M191" s="10">
        <f t="shared" si="121"/>
        <v>0.1016542684371444</v>
      </c>
      <c r="N191" s="10">
        <f t="shared" si="122"/>
        <v>4.5393034782034291E-4</v>
      </c>
      <c r="O191" s="10">
        <f t="shared" si="123"/>
        <v>1.8787658566508345E-4</v>
      </c>
      <c r="P191" s="10">
        <f t="shared" si="124"/>
        <v>1.1713509039210136E-5</v>
      </c>
      <c r="Q191" s="54">
        <f t="shared" si="125"/>
        <v>1.7326523290198868E-2</v>
      </c>
      <c r="R191" s="10">
        <f t="shared" si="126"/>
        <v>1.3432468098568184E-4</v>
      </c>
      <c r="S191" s="10">
        <f t="shared" si="127"/>
        <v>4.9123048216836562E-4</v>
      </c>
      <c r="T191" s="10">
        <f t="shared" si="128"/>
        <v>0.29737582175547256</v>
      </c>
      <c r="U191" s="10">
        <f t="shared" si="129"/>
        <v>0.68467201111289944</v>
      </c>
      <c r="V191" s="10">
        <f t="shared" si="130"/>
        <v>8.6447527828723614E-8</v>
      </c>
      <c r="W191" s="10">
        <f t="shared" si="131"/>
        <v>2.2307473018743689E-9</v>
      </c>
      <c r="X191" s="163">
        <f t="shared" si="112"/>
        <v>0.99999999999999989</v>
      </c>
      <c r="Y191" s="54">
        <f t="shared" si="132"/>
        <v>0.16445867760646846</v>
      </c>
      <c r="Z191" s="54">
        <f t="shared" si="133"/>
        <v>1.5035859820469819E-2</v>
      </c>
      <c r="AA191" s="113"/>
    </row>
    <row r="192" spans="1:27" x14ac:dyDescent="0.2">
      <c r="A192" s="20">
        <f t="shared" si="113"/>
        <v>1</v>
      </c>
      <c r="B192" s="23">
        <f t="shared" si="114"/>
        <v>0</v>
      </c>
      <c r="C192" s="12">
        <f t="shared" si="115"/>
        <v>0</v>
      </c>
      <c r="D192" s="12">
        <f t="shared" si="116"/>
        <v>1198.51644454703</v>
      </c>
      <c r="E192" s="23">
        <f t="shared" si="134"/>
        <v>7.6706783709022466E-2</v>
      </c>
      <c r="F192" s="23">
        <f t="shared" si="117"/>
        <v>135.72815765020098</v>
      </c>
      <c r="G192" s="95">
        <f t="shared" si="135"/>
        <v>0.60608502484345661</v>
      </c>
      <c r="H192" s="95">
        <f t="shared" si="136"/>
        <v>0.25085166840484785</v>
      </c>
      <c r="I192" s="95">
        <f t="shared" si="137"/>
        <v>1.5639805646666151E-2</v>
      </c>
      <c r="J192" s="12">
        <f t="shared" si="118"/>
        <v>0</v>
      </c>
      <c r="K192" s="12">
        <f t="shared" si="119"/>
        <v>1335.193885479835</v>
      </c>
      <c r="L192" s="54">
        <f t="shared" si="120"/>
        <v>5.7449921350902519E-5</v>
      </c>
      <c r="M192" s="10">
        <f t="shared" si="121"/>
        <v>0.1016542684371444</v>
      </c>
      <c r="N192" s="10">
        <f t="shared" si="122"/>
        <v>4.5393034782034291E-4</v>
      </c>
      <c r="O192" s="10">
        <f t="shared" si="123"/>
        <v>1.8787658566508345E-4</v>
      </c>
      <c r="P192" s="10">
        <f t="shared" si="124"/>
        <v>1.1713509039210136E-5</v>
      </c>
      <c r="Q192" s="54">
        <f t="shared" si="125"/>
        <v>1.7326523290198868E-2</v>
      </c>
      <c r="R192" s="10">
        <f t="shared" si="126"/>
        <v>1.3432468098568184E-4</v>
      </c>
      <c r="S192" s="10">
        <f t="shared" si="127"/>
        <v>4.9123048216836562E-4</v>
      </c>
      <c r="T192" s="10">
        <f t="shared" si="128"/>
        <v>0.29737582175547256</v>
      </c>
      <c r="U192" s="10">
        <f t="shared" si="129"/>
        <v>0.68467201111289944</v>
      </c>
      <c r="V192" s="10">
        <f t="shared" si="130"/>
        <v>8.6447527828723614E-8</v>
      </c>
      <c r="W192" s="10">
        <f t="shared" si="131"/>
        <v>2.2307473018743689E-9</v>
      </c>
      <c r="X192" s="163">
        <f t="shared" si="112"/>
        <v>0.99999999999999989</v>
      </c>
      <c r="Y192" s="54">
        <f t="shared" si="132"/>
        <v>0.16445867760646846</v>
      </c>
      <c r="Z192" s="54">
        <f t="shared" si="133"/>
        <v>1.5035859820469819E-2</v>
      </c>
      <c r="AA192" s="113"/>
    </row>
    <row r="193" spans="1:27" x14ac:dyDescent="0.2">
      <c r="A193" s="20">
        <f t="shared" si="113"/>
        <v>1</v>
      </c>
      <c r="B193" s="23">
        <f t="shared" si="114"/>
        <v>0</v>
      </c>
      <c r="C193" s="12">
        <f t="shared" si="115"/>
        <v>0</v>
      </c>
      <c r="D193" s="12">
        <f t="shared" si="116"/>
        <v>1198.51644454703</v>
      </c>
      <c r="E193" s="23">
        <f t="shared" si="134"/>
        <v>7.6706783709022466E-2</v>
      </c>
      <c r="F193" s="23">
        <f t="shared" si="117"/>
        <v>135.72815765020098</v>
      </c>
      <c r="G193" s="95">
        <f t="shared" si="135"/>
        <v>0.60608502484345661</v>
      </c>
      <c r="H193" s="95">
        <f t="shared" si="136"/>
        <v>0.25085166840484785</v>
      </c>
      <c r="I193" s="95">
        <f t="shared" si="137"/>
        <v>1.5639805646666151E-2</v>
      </c>
      <c r="J193" s="12">
        <f t="shared" si="118"/>
        <v>0</v>
      </c>
      <c r="K193" s="12">
        <f t="shared" si="119"/>
        <v>1335.193885479835</v>
      </c>
      <c r="L193" s="54">
        <f t="shared" si="120"/>
        <v>5.7449921350902519E-5</v>
      </c>
      <c r="M193" s="10">
        <f t="shared" si="121"/>
        <v>0.1016542684371444</v>
      </c>
      <c r="N193" s="10">
        <f t="shared" si="122"/>
        <v>4.5393034782034291E-4</v>
      </c>
      <c r="O193" s="10">
        <f t="shared" si="123"/>
        <v>1.8787658566508345E-4</v>
      </c>
      <c r="P193" s="10">
        <f t="shared" si="124"/>
        <v>1.1713509039210136E-5</v>
      </c>
      <c r="Q193" s="54">
        <f t="shared" si="125"/>
        <v>1.7326523290198868E-2</v>
      </c>
      <c r="R193" s="10">
        <f t="shared" si="126"/>
        <v>1.3432468098568184E-4</v>
      </c>
      <c r="S193" s="10">
        <f t="shared" si="127"/>
        <v>4.9123048216836562E-4</v>
      </c>
      <c r="T193" s="10">
        <f t="shared" si="128"/>
        <v>0.29737582175547256</v>
      </c>
      <c r="U193" s="10">
        <f t="shared" si="129"/>
        <v>0.68467201111289944</v>
      </c>
      <c r="V193" s="10">
        <f t="shared" si="130"/>
        <v>8.6447527828723614E-8</v>
      </c>
      <c r="W193" s="10">
        <f t="shared" si="131"/>
        <v>2.2307473018743689E-9</v>
      </c>
      <c r="X193" s="163">
        <f t="shared" si="112"/>
        <v>0.99999999999999989</v>
      </c>
      <c r="Y193" s="54">
        <f t="shared" si="132"/>
        <v>0.16445867760646846</v>
      </c>
      <c r="Z193" s="54">
        <f t="shared" si="133"/>
        <v>1.5035859820469819E-2</v>
      </c>
      <c r="AA193" s="113"/>
    </row>
    <row r="194" spans="1:27" x14ac:dyDescent="0.2">
      <c r="A194" s="20">
        <f t="shared" si="113"/>
        <v>1</v>
      </c>
      <c r="B194" s="23">
        <f t="shared" si="114"/>
        <v>0</v>
      </c>
      <c r="C194" s="12">
        <f t="shared" si="115"/>
        <v>0</v>
      </c>
      <c r="D194" s="12">
        <f t="shared" si="116"/>
        <v>1198.51644454703</v>
      </c>
      <c r="E194" s="23">
        <f t="shared" si="134"/>
        <v>7.6706783709022466E-2</v>
      </c>
      <c r="F194" s="23">
        <f t="shared" si="117"/>
        <v>135.72815765020098</v>
      </c>
      <c r="G194" s="95">
        <f t="shared" si="135"/>
        <v>0.60608502484345661</v>
      </c>
      <c r="H194" s="95">
        <f t="shared" si="136"/>
        <v>0.25085166840484785</v>
      </c>
      <c r="I194" s="95">
        <f t="shared" si="137"/>
        <v>1.5639805646666151E-2</v>
      </c>
      <c r="J194" s="12">
        <f t="shared" si="118"/>
        <v>0</v>
      </c>
      <c r="K194" s="12">
        <f t="shared" si="119"/>
        <v>1335.193885479835</v>
      </c>
      <c r="L194" s="54">
        <f t="shared" si="120"/>
        <v>5.7449921350902519E-5</v>
      </c>
      <c r="M194" s="10">
        <f t="shared" si="121"/>
        <v>0.1016542684371444</v>
      </c>
      <c r="N194" s="10">
        <f t="shared" si="122"/>
        <v>4.5393034782034291E-4</v>
      </c>
      <c r="O194" s="10">
        <f t="shared" si="123"/>
        <v>1.8787658566508345E-4</v>
      </c>
      <c r="P194" s="10">
        <f t="shared" si="124"/>
        <v>1.1713509039210136E-5</v>
      </c>
      <c r="Q194" s="54">
        <f t="shared" si="125"/>
        <v>1.7326523290198868E-2</v>
      </c>
      <c r="R194" s="10">
        <f t="shared" si="126"/>
        <v>1.3432468098568184E-4</v>
      </c>
      <c r="S194" s="10">
        <f t="shared" si="127"/>
        <v>4.9123048216836562E-4</v>
      </c>
      <c r="T194" s="10">
        <f t="shared" si="128"/>
        <v>0.29737582175547256</v>
      </c>
      <c r="U194" s="10">
        <f t="shared" si="129"/>
        <v>0.68467201111289944</v>
      </c>
      <c r="V194" s="10">
        <f t="shared" si="130"/>
        <v>8.6447527828723614E-8</v>
      </c>
      <c r="W194" s="10">
        <f t="shared" si="131"/>
        <v>2.2307473018743689E-9</v>
      </c>
      <c r="X194" s="163">
        <f t="shared" si="112"/>
        <v>0.99999999999999989</v>
      </c>
      <c r="Y194" s="54">
        <f t="shared" si="132"/>
        <v>0.16445867760646846</v>
      </c>
      <c r="Z194" s="54">
        <f t="shared" si="133"/>
        <v>1.5035859820469819E-2</v>
      </c>
      <c r="AA194" s="113"/>
    </row>
    <row r="195" spans="1:27" x14ac:dyDescent="0.2">
      <c r="A195" s="20">
        <f t="shared" si="113"/>
        <v>1</v>
      </c>
      <c r="B195" s="23">
        <f t="shared" si="114"/>
        <v>0</v>
      </c>
      <c r="C195" s="12">
        <f t="shared" si="115"/>
        <v>0</v>
      </c>
      <c r="D195" s="12">
        <f t="shared" si="116"/>
        <v>1198.51644454703</v>
      </c>
      <c r="E195" s="23">
        <f t="shared" si="134"/>
        <v>7.6706783709022466E-2</v>
      </c>
      <c r="F195" s="23">
        <f t="shared" si="117"/>
        <v>135.72815765020098</v>
      </c>
      <c r="G195" s="95">
        <f t="shared" si="135"/>
        <v>0.60608502484345661</v>
      </c>
      <c r="H195" s="95">
        <f t="shared" si="136"/>
        <v>0.25085166840484785</v>
      </c>
      <c r="I195" s="95">
        <f t="shared" si="137"/>
        <v>1.5639805646666151E-2</v>
      </c>
      <c r="J195" s="12">
        <f t="shared" si="118"/>
        <v>0</v>
      </c>
      <c r="K195" s="12">
        <f t="shared" si="119"/>
        <v>1335.193885479835</v>
      </c>
      <c r="L195" s="54">
        <f t="shared" si="120"/>
        <v>5.7449921350902519E-5</v>
      </c>
      <c r="M195" s="10">
        <f t="shared" si="121"/>
        <v>0.1016542684371444</v>
      </c>
      <c r="N195" s="10">
        <f t="shared" si="122"/>
        <v>4.5393034782034291E-4</v>
      </c>
      <c r="O195" s="10">
        <f t="shared" si="123"/>
        <v>1.8787658566508345E-4</v>
      </c>
      <c r="P195" s="10">
        <f t="shared" si="124"/>
        <v>1.1713509039210136E-5</v>
      </c>
      <c r="Q195" s="54">
        <f t="shared" si="125"/>
        <v>1.7326523290198868E-2</v>
      </c>
      <c r="R195" s="10">
        <f t="shared" si="126"/>
        <v>1.3432468098568184E-4</v>
      </c>
      <c r="S195" s="10">
        <f t="shared" si="127"/>
        <v>4.9123048216836562E-4</v>
      </c>
      <c r="T195" s="10">
        <f t="shared" si="128"/>
        <v>0.29737582175547256</v>
      </c>
      <c r="U195" s="10">
        <f t="shared" si="129"/>
        <v>0.68467201111289944</v>
      </c>
      <c r="V195" s="10">
        <f t="shared" si="130"/>
        <v>8.6447527828723614E-8</v>
      </c>
      <c r="W195" s="10">
        <f t="shared" si="131"/>
        <v>2.2307473018743689E-9</v>
      </c>
      <c r="X195" s="163">
        <f t="shared" si="112"/>
        <v>0.99999999999999989</v>
      </c>
      <c r="Y195" s="54">
        <f t="shared" si="132"/>
        <v>0.16445867760646846</v>
      </c>
      <c r="Z195" s="54">
        <f t="shared" si="133"/>
        <v>1.5035859820469819E-2</v>
      </c>
      <c r="AA195" s="113"/>
    </row>
    <row r="196" spans="1:27" x14ac:dyDescent="0.2">
      <c r="A196" s="20">
        <f t="shared" si="113"/>
        <v>1</v>
      </c>
      <c r="B196" s="23">
        <f t="shared" si="114"/>
        <v>0</v>
      </c>
      <c r="C196" s="12">
        <f t="shared" si="115"/>
        <v>0</v>
      </c>
      <c r="D196" s="12">
        <f t="shared" si="116"/>
        <v>1198.51644454703</v>
      </c>
      <c r="E196" s="23">
        <f t="shared" si="134"/>
        <v>7.6706783709022466E-2</v>
      </c>
      <c r="F196" s="23">
        <f t="shared" si="117"/>
        <v>135.72815765020098</v>
      </c>
      <c r="G196" s="95">
        <f t="shared" si="135"/>
        <v>0.60608502484345661</v>
      </c>
      <c r="H196" s="95">
        <f t="shared" si="136"/>
        <v>0.25085166840484785</v>
      </c>
      <c r="I196" s="95">
        <f t="shared" si="137"/>
        <v>1.5639805646666151E-2</v>
      </c>
      <c r="J196" s="12">
        <f t="shared" si="118"/>
        <v>0</v>
      </c>
      <c r="K196" s="12">
        <f t="shared" si="119"/>
        <v>1335.193885479835</v>
      </c>
      <c r="L196" s="54">
        <f t="shared" si="120"/>
        <v>5.7449921350902519E-5</v>
      </c>
      <c r="M196" s="10">
        <f t="shared" si="121"/>
        <v>0.1016542684371444</v>
      </c>
      <c r="N196" s="10">
        <f t="shared" si="122"/>
        <v>4.5393034782034291E-4</v>
      </c>
      <c r="O196" s="10">
        <f t="shared" si="123"/>
        <v>1.8787658566508345E-4</v>
      </c>
      <c r="P196" s="10">
        <f t="shared" si="124"/>
        <v>1.1713509039210136E-5</v>
      </c>
      <c r="Q196" s="54">
        <f t="shared" si="125"/>
        <v>1.7326523290198868E-2</v>
      </c>
      <c r="R196" s="10">
        <f t="shared" si="126"/>
        <v>1.3432468098568184E-4</v>
      </c>
      <c r="S196" s="10">
        <f t="shared" si="127"/>
        <v>4.9123048216836562E-4</v>
      </c>
      <c r="T196" s="10">
        <f t="shared" si="128"/>
        <v>0.29737582175547256</v>
      </c>
      <c r="U196" s="10">
        <f t="shared" si="129"/>
        <v>0.68467201111289944</v>
      </c>
      <c r="V196" s="10">
        <f t="shared" si="130"/>
        <v>8.6447527828723614E-8</v>
      </c>
      <c r="W196" s="10">
        <f t="shared" si="131"/>
        <v>2.2307473018743689E-9</v>
      </c>
      <c r="X196" s="163">
        <f t="shared" si="112"/>
        <v>0.99999999999999989</v>
      </c>
      <c r="Y196" s="54">
        <f t="shared" si="132"/>
        <v>0.16445867760646846</v>
      </c>
      <c r="Z196" s="54">
        <f t="shared" si="133"/>
        <v>1.5035859820469819E-2</v>
      </c>
      <c r="AA196" s="113"/>
    </row>
    <row r="197" spans="1:27" x14ac:dyDescent="0.2">
      <c r="A197" s="20">
        <f t="shared" si="113"/>
        <v>1</v>
      </c>
      <c r="B197" s="23">
        <f t="shared" si="114"/>
        <v>0</v>
      </c>
      <c r="C197" s="12">
        <f t="shared" si="115"/>
        <v>0</v>
      </c>
      <c r="D197" s="12">
        <f t="shared" si="116"/>
        <v>1198.51644454703</v>
      </c>
      <c r="E197" s="23">
        <f t="shared" si="134"/>
        <v>7.6706783709022466E-2</v>
      </c>
      <c r="F197" s="23">
        <f t="shared" si="117"/>
        <v>135.72815765020098</v>
      </c>
      <c r="G197" s="95">
        <f t="shared" si="135"/>
        <v>0.60608502484345661</v>
      </c>
      <c r="H197" s="95">
        <f t="shared" si="136"/>
        <v>0.25085166840484785</v>
      </c>
      <c r="I197" s="95">
        <f t="shared" si="137"/>
        <v>1.5639805646666151E-2</v>
      </c>
      <c r="J197" s="12">
        <f t="shared" si="118"/>
        <v>0</v>
      </c>
      <c r="K197" s="12">
        <f t="shared" ref="K197:K199" si="138">SUM(C197:J197)</f>
        <v>1335.193885479835</v>
      </c>
      <c r="L197" s="54">
        <f t="shared" si="120"/>
        <v>5.7449921350902519E-5</v>
      </c>
      <c r="M197" s="10">
        <f t="shared" si="121"/>
        <v>0.1016542684371444</v>
      </c>
      <c r="N197" s="10">
        <f t="shared" si="122"/>
        <v>4.5393034782034291E-4</v>
      </c>
      <c r="O197" s="10">
        <f t="shared" si="123"/>
        <v>1.8787658566508345E-4</v>
      </c>
      <c r="P197" s="10">
        <f t="shared" si="124"/>
        <v>1.1713509039210136E-5</v>
      </c>
      <c r="Q197" s="54">
        <f t="shared" ref="Q197:Q199" si="139">1/(1+K1_*L197+K2_*M197+SQRT(K2_*K3_*M197)+1/K6_*N197+K7_*O197+P197/K10_)</f>
        <v>1.7326523290198868E-2</v>
      </c>
      <c r="R197" s="10">
        <f t="shared" ref="R197:R199" si="140">K1_*L197*Q197</f>
        <v>1.3432468098568184E-4</v>
      </c>
      <c r="S197" s="10">
        <f t="shared" si="127"/>
        <v>4.9123048216836562E-4</v>
      </c>
      <c r="T197" s="10">
        <f t="shared" si="128"/>
        <v>0.29737582175547256</v>
      </c>
      <c r="U197" s="10">
        <f t="shared" si="129"/>
        <v>0.68467201111289944</v>
      </c>
      <c r="V197" s="10">
        <f t="shared" si="130"/>
        <v>8.6447527828723614E-8</v>
      </c>
      <c r="W197" s="10">
        <f t="shared" si="131"/>
        <v>2.2307473018743689E-9</v>
      </c>
      <c r="X197" s="163">
        <f t="shared" si="112"/>
        <v>0.99999999999999989</v>
      </c>
      <c r="Y197" s="54">
        <f t="shared" si="132"/>
        <v>0.16445867760646846</v>
      </c>
      <c r="Z197" s="54">
        <f t="shared" si="133"/>
        <v>1.5035859820469819E-2</v>
      </c>
      <c r="AA197" s="113"/>
    </row>
    <row r="198" spans="1:27" x14ac:dyDescent="0.2">
      <c r="A198" s="20">
        <f t="shared" si="113"/>
        <v>1</v>
      </c>
      <c r="B198" s="23">
        <f t="shared" si="114"/>
        <v>0</v>
      </c>
      <c r="C198" s="12">
        <f t="shared" si="115"/>
        <v>0</v>
      </c>
      <c r="D198" s="12">
        <f t="shared" si="116"/>
        <v>1198.51644454703</v>
      </c>
      <c r="E198" s="23">
        <f t="shared" si="134"/>
        <v>7.6706783709022466E-2</v>
      </c>
      <c r="F198" s="23">
        <f t="shared" si="117"/>
        <v>135.72815765020098</v>
      </c>
      <c r="G198" s="95">
        <f t="shared" si="135"/>
        <v>0.60608502484345661</v>
      </c>
      <c r="H198" s="95">
        <f t="shared" si="136"/>
        <v>0.25085166840484785</v>
      </c>
      <c r="I198" s="95">
        <f t="shared" si="137"/>
        <v>1.5639805646666151E-2</v>
      </c>
      <c r="J198" s="12">
        <f t="shared" si="118"/>
        <v>0</v>
      </c>
      <c r="K198" s="12">
        <f t="shared" si="138"/>
        <v>1335.193885479835</v>
      </c>
      <c r="L198" s="54">
        <f t="shared" si="120"/>
        <v>5.7449921350902519E-5</v>
      </c>
      <c r="M198" s="10">
        <f t="shared" si="121"/>
        <v>0.1016542684371444</v>
      </c>
      <c r="N198" s="10">
        <f t="shared" si="122"/>
        <v>4.5393034782034291E-4</v>
      </c>
      <c r="O198" s="10">
        <f t="shared" si="123"/>
        <v>1.8787658566508345E-4</v>
      </c>
      <c r="P198" s="10">
        <f t="shared" si="124"/>
        <v>1.1713509039210136E-5</v>
      </c>
      <c r="Q198" s="54">
        <f t="shared" si="139"/>
        <v>1.7326523290198868E-2</v>
      </c>
      <c r="R198" s="10">
        <f t="shared" si="140"/>
        <v>1.3432468098568184E-4</v>
      </c>
      <c r="S198" s="10">
        <f t="shared" si="127"/>
        <v>4.9123048216836562E-4</v>
      </c>
      <c r="T198" s="10">
        <f t="shared" si="128"/>
        <v>0.29737582175547256</v>
      </c>
      <c r="U198" s="10">
        <f t="shared" si="129"/>
        <v>0.68467201111289944</v>
      </c>
      <c r="V198" s="10">
        <f t="shared" si="130"/>
        <v>8.6447527828723614E-8</v>
      </c>
      <c r="W198" s="10">
        <f t="shared" si="131"/>
        <v>2.2307473018743689E-9</v>
      </c>
      <c r="X198" s="163">
        <f t="shared" ref="X198:X199" si="141">SUM(Q198:W198)</f>
        <v>0.99999999999999989</v>
      </c>
      <c r="Y198" s="54">
        <f t="shared" si="132"/>
        <v>0.16445867760646846</v>
      </c>
      <c r="Z198" s="54">
        <f t="shared" si="133"/>
        <v>1.5035859820469819E-2</v>
      </c>
      <c r="AA198" s="113"/>
    </row>
    <row r="199" spans="1:27" x14ac:dyDescent="0.2">
      <c r="A199" s="20">
        <f t="shared" ref="A199" si="142">+A198-B199</f>
        <v>1</v>
      </c>
      <c r="C199" s="12">
        <f t="shared" ref="C199:D199" si="143">+C198</f>
        <v>0</v>
      </c>
      <c r="D199" s="12">
        <f t="shared" si="143"/>
        <v>1198.51644454703</v>
      </c>
      <c r="E199" s="23">
        <f t="shared" si="134"/>
        <v>7.6706783709022466E-2</v>
      </c>
      <c r="F199" s="23">
        <f t="shared" ref="F199" si="144">+F198-$B198*(Y198/2+Z198/2)</f>
        <v>135.72815765020098</v>
      </c>
      <c r="G199" s="95">
        <f t="shared" si="135"/>
        <v>0.60608502484345661</v>
      </c>
      <c r="H199" s="95">
        <f t="shared" si="136"/>
        <v>0.25085166840484785</v>
      </c>
      <c r="I199" s="95">
        <f t="shared" si="137"/>
        <v>1.5639805646666151E-2</v>
      </c>
      <c r="J199" s="12">
        <f t="shared" ref="J199" si="145">+J198</f>
        <v>0</v>
      </c>
      <c r="K199" s="12">
        <f t="shared" si="138"/>
        <v>1335.193885479835</v>
      </c>
      <c r="L199" s="54">
        <f t="shared" si="120"/>
        <v>5.7449921350902519E-5</v>
      </c>
      <c r="M199" s="10">
        <f t="shared" si="121"/>
        <v>0.1016542684371444</v>
      </c>
      <c r="N199" s="10">
        <f t="shared" si="122"/>
        <v>4.5393034782034291E-4</v>
      </c>
      <c r="O199" s="10">
        <f t="shared" si="123"/>
        <v>1.8787658566508345E-4</v>
      </c>
      <c r="P199" s="10">
        <f t="shared" si="124"/>
        <v>1.1713509039210136E-5</v>
      </c>
      <c r="Q199" s="54">
        <f t="shared" si="139"/>
        <v>1.7326523290198868E-2</v>
      </c>
      <c r="R199" s="10">
        <f t="shared" si="140"/>
        <v>1.3432468098568184E-4</v>
      </c>
      <c r="S199" s="10">
        <f t="shared" si="127"/>
        <v>4.9123048216836562E-4</v>
      </c>
      <c r="T199" s="10">
        <f t="shared" si="128"/>
        <v>0.29737582175547256</v>
      </c>
      <c r="U199" s="10">
        <f t="shared" si="129"/>
        <v>0.68467201111289944</v>
      </c>
      <c r="V199" s="10">
        <f t="shared" si="130"/>
        <v>8.6447527828723614E-8</v>
      </c>
      <c r="W199" s="10">
        <f t="shared" si="131"/>
        <v>2.2307473018743689E-9</v>
      </c>
      <c r="X199" s="163">
        <f t="shared" si="141"/>
        <v>0.99999999999999989</v>
      </c>
      <c r="Y199" s="54">
        <f t="shared" si="132"/>
        <v>0.16445867760646846</v>
      </c>
      <c r="Z199" s="54">
        <f t="shared" si="133"/>
        <v>1.5035859820469819E-2</v>
      </c>
      <c r="AA199" s="113"/>
    </row>
    <row r="200" spans="1:27" x14ac:dyDescent="0.2">
      <c r="A200" s="20"/>
      <c r="C200" s="12"/>
      <c r="D200" s="12"/>
      <c r="J200" s="12"/>
      <c r="K200" s="12"/>
      <c r="L200" s="54"/>
      <c r="M200" s="10"/>
      <c r="N200" s="10"/>
      <c r="O200" s="10"/>
      <c r="P200" s="10"/>
      <c r="Q200" s="54"/>
      <c r="R200" s="10"/>
      <c r="S200" s="10"/>
      <c r="T200" s="10"/>
      <c r="U200" s="10"/>
      <c r="V200" s="10"/>
      <c r="W200" s="10"/>
      <c r="X200" s="10"/>
      <c r="Y200" s="54"/>
      <c r="Z200" s="10"/>
      <c r="AA200" s="113"/>
    </row>
  </sheetData>
  <pageMargins left="0.7" right="0.7" top="0.75" bottom="0.75" header="0.3" footer="0.3"/>
  <pageSetup orientation="portrait" horizontalDpi="4294967293" verticalDpi="1200" r:id="rId1"/>
  <drawing r:id="rId2"/>
  <legacyDrawing r:id="rId3"/>
  <oleObjects>
    <mc:AlternateContent xmlns:mc="http://schemas.openxmlformats.org/markup-compatibility/2006">
      <mc:Choice Requires="x14">
        <oleObject progId="Equation.DSMT4" shapeId="2050" r:id="rId4">
          <objectPr defaultSize="0" autoPict="0" r:id="rId5">
            <anchor moveWithCells="1" sizeWithCells="1">
              <from>
                <xdr:col>27</xdr:col>
                <xdr:colOff>0</xdr:colOff>
                <xdr:row>13</xdr:row>
                <xdr:rowOff>0</xdr:rowOff>
              </from>
              <to>
                <xdr:col>37</xdr:col>
                <xdr:colOff>12700</xdr:colOff>
                <xdr:row>18</xdr:row>
                <xdr:rowOff>63500</xdr:rowOff>
              </to>
            </anchor>
          </objectPr>
        </oleObject>
      </mc:Choice>
      <mc:Fallback>
        <oleObject progId="Equation.DSMT4" shapeId="2050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B9"/>
  <sheetViews>
    <sheetView workbookViewId="0">
      <selection activeCell="B9" sqref="B9"/>
    </sheetView>
  </sheetViews>
  <sheetFormatPr baseColWidth="10" defaultColWidth="8.83203125" defaultRowHeight="15" x14ac:dyDescent="0.2"/>
  <sheetData>
    <row r="1" spans="1:2" x14ac:dyDescent="0.2">
      <c r="A1" t="s">
        <v>63</v>
      </c>
      <c r="B1" t="s">
        <v>89</v>
      </c>
    </row>
    <row r="2" spans="1:2" x14ac:dyDescent="0.2">
      <c r="B2" t="s">
        <v>90</v>
      </c>
    </row>
    <row r="3" spans="1:2" x14ac:dyDescent="0.2">
      <c r="B3" t="s">
        <v>113</v>
      </c>
    </row>
    <row r="4" spans="1:2" x14ac:dyDescent="0.2">
      <c r="A4" t="s">
        <v>116</v>
      </c>
      <c r="B4" t="s">
        <v>117</v>
      </c>
    </row>
    <row r="5" spans="1:2" x14ac:dyDescent="0.2">
      <c r="A5" t="s">
        <v>156</v>
      </c>
      <c r="B5" t="s">
        <v>157</v>
      </c>
    </row>
    <row r="6" spans="1:2" x14ac:dyDescent="0.2">
      <c r="A6" t="s">
        <v>170</v>
      </c>
      <c r="B6" t="s">
        <v>171</v>
      </c>
    </row>
    <row r="7" spans="1:2" x14ac:dyDescent="0.2">
      <c r="B7" t="s">
        <v>178</v>
      </c>
    </row>
    <row r="8" spans="1:2" x14ac:dyDescent="0.2">
      <c r="A8" t="s">
        <v>180</v>
      </c>
      <c r="B8" t="s">
        <v>181</v>
      </c>
    </row>
    <row r="9" spans="1:2" x14ac:dyDescent="0.2">
      <c r="B9" t="s">
        <v>205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L24"/>
  <sheetViews>
    <sheetView workbookViewId="0">
      <selection activeCell="M1" sqref="M1"/>
    </sheetView>
  </sheetViews>
  <sheetFormatPr baseColWidth="10" defaultColWidth="8.83203125" defaultRowHeight="15" x14ac:dyDescent="0.2"/>
  <sheetData>
    <row r="1" spans="1:12" ht="32" x14ac:dyDescent="0.2">
      <c r="A1" s="1" t="s">
        <v>4</v>
      </c>
      <c r="B1" s="1" t="s">
        <v>5</v>
      </c>
      <c r="C1" s="2" t="s">
        <v>6</v>
      </c>
      <c r="D1" s="4" t="s">
        <v>7</v>
      </c>
      <c r="E1" s="4" t="s">
        <v>45</v>
      </c>
      <c r="F1" s="4" t="s">
        <v>46</v>
      </c>
      <c r="G1" s="4" t="s">
        <v>47</v>
      </c>
      <c r="H1" s="4" t="s">
        <v>48</v>
      </c>
      <c r="I1" s="4" t="s">
        <v>49</v>
      </c>
      <c r="J1" s="4" t="s">
        <v>50</v>
      </c>
      <c r="K1" s="4" t="s">
        <v>51</v>
      </c>
      <c r="L1" s="4" t="s">
        <v>61</v>
      </c>
    </row>
    <row r="2" spans="1:12" x14ac:dyDescent="0.2">
      <c r="A2" t="s">
        <v>10</v>
      </c>
      <c r="B2" t="s">
        <v>32</v>
      </c>
      <c r="C2" s="3">
        <v>-252.9</v>
      </c>
      <c r="D2" s="3">
        <f>2*1.00794</f>
        <v>2.0158800000000001</v>
      </c>
      <c r="E2" s="35">
        <v>33.066178000000001</v>
      </c>
      <c r="F2" s="35">
        <v>-11.363417</v>
      </c>
      <c r="G2" s="35">
        <v>11.432816000000001</v>
      </c>
      <c r="H2" s="35">
        <v>-2.7728739999999998</v>
      </c>
      <c r="I2" s="35">
        <v>-0.158558</v>
      </c>
      <c r="J2" s="35">
        <v>-9.9807970000000008</v>
      </c>
      <c r="K2" s="35">
        <v>172.70797400000001</v>
      </c>
      <c r="L2" s="35">
        <v>0</v>
      </c>
    </row>
    <row r="3" spans="1:12" x14ac:dyDescent="0.2">
      <c r="A3" t="s">
        <v>29</v>
      </c>
      <c r="B3" t="s">
        <v>31</v>
      </c>
      <c r="C3" s="3">
        <v>-195.8</v>
      </c>
      <c r="D3" s="3">
        <v>28</v>
      </c>
      <c r="E3" s="35">
        <v>19.50583</v>
      </c>
      <c r="F3" s="35">
        <v>19.887049999999999</v>
      </c>
      <c r="G3" s="35">
        <v>-8.598535</v>
      </c>
      <c r="H3" s="35">
        <v>1.3697839999999999</v>
      </c>
      <c r="I3" s="35">
        <v>0.52760099999999999</v>
      </c>
      <c r="J3" s="35">
        <v>-4.9352020000000003</v>
      </c>
      <c r="K3" s="35">
        <v>212.39</v>
      </c>
      <c r="L3" s="35">
        <v>0</v>
      </c>
    </row>
    <row r="4" spans="1:12" x14ac:dyDescent="0.2">
      <c r="A4" t="s">
        <v>30</v>
      </c>
      <c r="B4" t="s">
        <v>27</v>
      </c>
      <c r="C4" s="34" t="s">
        <v>37</v>
      </c>
      <c r="D4" s="3">
        <v>28.01</v>
      </c>
      <c r="E4" s="35">
        <v>25.567589999999999</v>
      </c>
      <c r="F4" s="35">
        <v>6.0961299999999996</v>
      </c>
      <c r="G4" s="35">
        <v>4.0546559999999996</v>
      </c>
      <c r="H4" s="35">
        <v>-2.6713010000000001</v>
      </c>
      <c r="I4" s="35">
        <v>0.131021</v>
      </c>
      <c r="J4" s="35">
        <v>-118.0089</v>
      </c>
      <c r="K4" s="35">
        <v>227.3665</v>
      </c>
      <c r="L4" s="35">
        <v>-110.5271</v>
      </c>
    </row>
    <row r="5" spans="1:12" x14ac:dyDescent="0.2">
      <c r="A5" t="s">
        <v>36</v>
      </c>
      <c r="B5" t="s">
        <v>35</v>
      </c>
      <c r="C5" s="34">
        <v>-183</v>
      </c>
      <c r="D5" s="3">
        <v>32</v>
      </c>
      <c r="E5" s="35">
        <v>31.322340000000001</v>
      </c>
      <c r="F5" s="35">
        <v>-20.235309999999998</v>
      </c>
      <c r="G5" s="35">
        <v>57.866439999999997</v>
      </c>
      <c r="H5" s="35">
        <v>-36.506239999999998</v>
      </c>
      <c r="I5" s="35">
        <v>-7.3740000000000003E-3</v>
      </c>
      <c r="J5" s="35">
        <v>-8.9034709999999997</v>
      </c>
      <c r="K5" s="35">
        <v>246.7945</v>
      </c>
      <c r="L5" s="35">
        <v>0</v>
      </c>
    </row>
    <row r="6" spans="1:12" x14ac:dyDescent="0.2">
      <c r="A6" t="s">
        <v>33</v>
      </c>
      <c r="B6" t="s">
        <v>34</v>
      </c>
      <c r="C6" s="34">
        <v>-78.5</v>
      </c>
      <c r="D6" s="3">
        <v>44.01</v>
      </c>
      <c r="E6" s="35">
        <v>24.997350000000001</v>
      </c>
      <c r="F6" s="35">
        <v>55.186959999999999</v>
      </c>
      <c r="G6" s="35">
        <v>-33.691369999999999</v>
      </c>
      <c r="H6" s="35">
        <v>7.9483870000000003</v>
      </c>
      <c r="I6" s="35">
        <v>-0.13663800000000001</v>
      </c>
      <c r="J6" s="35">
        <v>-403.60750000000002</v>
      </c>
      <c r="K6" s="35">
        <v>228.2431</v>
      </c>
      <c r="L6" s="35">
        <v>-393.5224</v>
      </c>
    </row>
    <row r="7" spans="1:12" x14ac:dyDescent="0.2">
      <c r="A7" t="s">
        <v>38</v>
      </c>
      <c r="B7" t="s">
        <v>41</v>
      </c>
      <c r="C7" s="3">
        <f>111-273.15</f>
        <v>-162.14999999999998</v>
      </c>
      <c r="D7" s="34">
        <f>12.011+4*1.008</f>
        <v>16.042999999999999</v>
      </c>
      <c r="E7" s="35">
        <v>-0.70302900000000002</v>
      </c>
      <c r="F7" s="35">
        <v>108.4773</v>
      </c>
      <c r="G7" s="35">
        <v>-42.521569999999997</v>
      </c>
      <c r="H7" s="35">
        <v>5.8627880000000001</v>
      </c>
      <c r="I7" s="35">
        <v>0.67856499999999997</v>
      </c>
      <c r="J7" s="35">
        <v>-76.843760000000003</v>
      </c>
      <c r="K7" s="35">
        <v>158.71629999999999</v>
      </c>
      <c r="L7" s="35">
        <v>-74.873099999999994</v>
      </c>
    </row>
    <row r="8" spans="1:12" x14ac:dyDescent="0.2">
      <c r="A8" t="s">
        <v>39</v>
      </c>
      <c r="B8" t="s">
        <v>42</v>
      </c>
      <c r="C8" s="34">
        <f>184.6-273.15</f>
        <v>-88.549999999999983</v>
      </c>
      <c r="D8" s="34">
        <f>2*12.011+6*1.008</f>
        <v>30.07</v>
      </c>
      <c r="E8" s="35"/>
      <c r="F8" s="35"/>
      <c r="G8" s="35"/>
      <c r="H8" s="35"/>
      <c r="I8" s="35"/>
      <c r="J8" s="35"/>
      <c r="K8" s="35"/>
      <c r="L8" s="35">
        <v>-84</v>
      </c>
    </row>
    <row r="9" spans="1:12" x14ac:dyDescent="0.2">
      <c r="A9" t="s">
        <v>0</v>
      </c>
      <c r="B9" t="s">
        <v>1</v>
      </c>
      <c r="C9" s="3">
        <v>-50.582062424429921</v>
      </c>
      <c r="D9" s="3">
        <v>44.096200000000003</v>
      </c>
      <c r="E9" s="3"/>
      <c r="F9" s="3"/>
      <c r="G9" s="3"/>
      <c r="H9" s="3"/>
      <c r="I9" s="3"/>
      <c r="J9" s="3"/>
      <c r="K9" s="3"/>
      <c r="L9" s="3"/>
    </row>
    <row r="10" spans="1:12" x14ac:dyDescent="0.2">
      <c r="A10" t="s">
        <v>2</v>
      </c>
      <c r="B10" t="s">
        <v>3</v>
      </c>
      <c r="C10" s="3">
        <v>-0.50116964272865516</v>
      </c>
      <c r="D10" s="3">
        <v>58.122999999999998</v>
      </c>
      <c r="E10" s="3"/>
      <c r="F10" s="3"/>
      <c r="G10" s="3"/>
      <c r="H10" s="3"/>
      <c r="I10" s="3"/>
      <c r="J10" s="3"/>
      <c r="K10" s="3"/>
      <c r="L10" s="3"/>
    </row>
    <row r="11" spans="1:12" x14ac:dyDescent="0.2">
      <c r="A11" t="s">
        <v>40</v>
      </c>
      <c r="B11" t="s">
        <v>43</v>
      </c>
      <c r="C11" s="34">
        <v>0</v>
      </c>
      <c r="D11" s="34">
        <f>0*12.011+2*1.008+15.999</f>
        <v>18.015000000000001</v>
      </c>
      <c r="E11" s="35">
        <v>30.091999999999999</v>
      </c>
      <c r="F11" s="35">
        <v>6.8325139999999998</v>
      </c>
      <c r="G11" s="35">
        <v>6.7934349999999997</v>
      </c>
      <c r="H11" s="35">
        <v>-2.5344799999999998</v>
      </c>
      <c r="I11" s="35">
        <v>8.2139000000000004E-2</v>
      </c>
      <c r="J11" s="35">
        <v>-250.881</v>
      </c>
      <c r="K11" s="35">
        <v>223.39670000000001</v>
      </c>
      <c r="L11" s="35">
        <v>-241.82640000000001</v>
      </c>
    </row>
    <row r="12" spans="1:12" ht="16" thickBot="1" x14ac:dyDescent="0.25">
      <c r="A12" s="27" t="s">
        <v>8</v>
      </c>
      <c r="B12" s="28"/>
      <c r="C12" s="29"/>
      <c r="D12" s="29"/>
      <c r="E12" s="29"/>
      <c r="F12" s="29"/>
      <c r="G12" s="29"/>
      <c r="H12" s="29"/>
      <c r="I12" s="29"/>
      <c r="J12" s="29"/>
      <c r="K12" s="29"/>
      <c r="L12" s="29"/>
    </row>
    <row r="20" spans="3:8" x14ac:dyDescent="0.2">
      <c r="C20">
        <v>-800.27918490224101</v>
      </c>
      <c r="D20">
        <v>-1413.9107927811065</v>
      </c>
      <c r="E20">
        <v>-2040.6625254823832</v>
      </c>
      <c r="F20">
        <v>-2653.5735130146204</v>
      </c>
    </row>
    <row r="21" spans="3:8" x14ac:dyDescent="0.2">
      <c r="C21">
        <v>2</v>
      </c>
      <c r="D21">
        <f>7/2</f>
        <v>3.5</v>
      </c>
      <c r="E21">
        <v>5</v>
      </c>
      <c r="F21">
        <f>13/2</f>
        <v>6.5</v>
      </c>
    </row>
    <row r="22" spans="3:8" x14ac:dyDescent="0.2">
      <c r="C22">
        <f>+C20/C21</f>
        <v>-400.13959245112051</v>
      </c>
      <c r="D22">
        <f t="shared" ref="D22:F22" si="0">+D20/D21</f>
        <v>-403.97451222317329</v>
      </c>
      <c r="E22">
        <f t="shared" si="0"/>
        <v>-408.13250509647662</v>
      </c>
      <c r="F22">
        <f t="shared" si="0"/>
        <v>-408.24207892532621</v>
      </c>
    </row>
    <row r="24" spans="3:8" x14ac:dyDescent="0.2">
      <c r="D24">
        <f>+IO!O7</f>
        <v>41.732018160908503</v>
      </c>
      <c r="H24" s="51">
        <f>D24/1000/D22</f>
        <v>-1.0330359193021044E-4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39</vt:i4>
      </vt:variant>
    </vt:vector>
  </HeadingPairs>
  <TitlesOfParts>
    <vt:vector size="48" baseType="lpstr">
      <vt:lpstr>Cases</vt:lpstr>
      <vt:lpstr>IO</vt:lpstr>
      <vt:lpstr>Model</vt:lpstr>
      <vt:lpstr>Revisions</vt:lpstr>
      <vt:lpstr>Sheet1</vt:lpstr>
      <vt:lpstr>surface</vt:lpstr>
      <vt:lpstr>O2</vt:lpstr>
      <vt:lpstr>CO</vt:lpstr>
      <vt:lpstr>NO</vt:lpstr>
      <vt:lpstr>cal</vt:lpstr>
      <vt:lpstr>cal_J</vt:lpstr>
      <vt:lpstr>Case</vt:lpstr>
      <vt:lpstr>Cases</vt:lpstr>
      <vt:lpstr>K1_</vt:lpstr>
      <vt:lpstr>K10_</vt:lpstr>
      <vt:lpstr>k10f</vt:lpstr>
      <vt:lpstr>k10r</vt:lpstr>
      <vt:lpstr>k1f</vt:lpstr>
      <vt:lpstr>k1r</vt:lpstr>
      <vt:lpstr>K2_</vt:lpstr>
      <vt:lpstr>k2f</vt:lpstr>
      <vt:lpstr>k2r</vt:lpstr>
      <vt:lpstr>K3_</vt:lpstr>
      <vt:lpstr>k3f</vt:lpstr>
      <vt:lpstr>k3r</vt:lpstr>
      <vt:lpstr>K4_</vt:lpstr>
      <vt:lpstr>k4f</vt:lpstr>
      <vt:lpstr>k4r</vt:lpstr>
      <vt:lpstr>K5_</vt:lpstr>
      <vt:lpstr>k5f</vt:lpstr>
      <vt:lpstr>k5r</vt:lpstr>
      <vt:lpstr>K6_</vt:lpstr>
      <vt:lpstr>k6f</vt:lpstr>
      <vt:lpstr>k6r</vt:lpstr>
      <vt:lpstr>K7_</vt:lpstr>
      <vt:lpstr>k7f</vt:lpstr>
      <vt:lpstr>k7r</vt:lpstr>
      <vt:lpstr>K8_</vt:lpstr>
      <vt:lpstr>k8f</vt:lpstr>
      <vt:lpstr>k8r</vt:lpstr>
      <vt:lpstr>K9_</vt:lpstr>
      <vt:lpstr>k9f</vt:lpstr>
      <vt:lpstr>k9r</vt:lpstr>
      <vt:lpstr>P_t</vt:lpstr>
      <vt:lpstr>IO!Print_Area</vt:lpstr>
      <vt:lpstr>ratio_3_4</vt:lpstr>
      <vt:lpstr>sample</vt:lpstr>
      <vt:lpstr>T_cat</vt:lpstr>
    </vt:vector>
  </TitlesOfParts>
  <Company>Johnson Matthey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Gildert</dc:creator>
  <cp:lastModifiedBy>Kusima, Kenneth L</cp:lastModifiedBy>
  <cp:lastPrinted>2014-08-12T19:36:44Z</cp:lastPrinted>
  <dcterms:created xsi:type="dcterms:W3CDTF">2010-04-21T14:16:07Z</dcterms:created>
  <dcterms:modified xsi:type="dcterms:W3CDTF">2023-12-13T19:20:32Z</dcterms:modified>
</cp:coreProperties>
</file>